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definedNames>
    <definedName name="_xlnm._FilterDatabase" localSheetId="0" hidden="1">'Sheet1'!A1:N3000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 #,##0.00_ ;_ * \-#,##0.00_ ;_ * &quot;-&quot;??_ ;_ @_ "/>
    <numFmt numFmtId="56" formatCode="&quot;上午/下午 &quot;hh&quot;時&quot;mm&quot;分&quot;ss&quot;秒 &quot;"/>
    <numFmt numFmtId="176" formatCode="_ * #,##0_ ;_ * \-#,##0_ ;_ * &quot;-&quot;??_ ;_ @_ "/>
    <numFmt numFmtId="177" formatCode="_-&quot;\&quot;* #,##0_-\ ;\-&quot;\&quot;* #,##0_-\ ;_-&quot;\&quot;* &quot;-&quot;??_-\ ;_-@_-"/>
    <numFmt numFmtId="178" formatCode="_-&quot;\&quot;* #,##0.00_-\ ;\-&quot;\&quot;* #,##0.00_-\ ;_-&quot;\&quot;* &quot;-&quot;??_-\ ;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001"/>
  <sheetViews>
    <sheetView workbookViewId="0" rightToLeft="0"/>
  </sheetViews>
  <sheetData>
    <row r="1">
      <c r="A1" t="str">
        <v>漢字</v>
      </c>
      <c r="B1" t="str">
        <v>画数</v>
      </c>
      <c r="C1" t="str">
        <v>常用漢字</v>
      </c>
      <c r="D1" t="str">
        <v>音</v>
      </c>
      <c r="E1" t="str">
        <v>訓</v>
      </c>
      <c r="F1" t="str">
        <v>伝統名のり</v>
      </c>
      <c r="G1" t="str">
        <v>意味</v>
      </c>
      <c r="H1" t="str">
        <v>分類</v>
      </c>
      <c r="I1" t="str">
        <v>おすすめ度</v>
      </c>
      <c r="J1" t="str">
        <v>男のおすすめ度</v>
      </c>
      <c r="K1" t="str">
        <v>女のおすすめ度</v>
      </c>
      <c r="L1" t="str">
        <v>不適切フラグ</v>
      </c>
    </row>
    <row r="2">
      <c r="A2" t="str">
        <v>一</v>
      </c>
      <c r="B2">
        <v>1</v>
      </c>
      <c r="C2" t="b">
        <v>1</v>
      </c>
      <c r="D2" t="str">
        <v>イチ イツ</v>
      </c>
      <c r="E2" t="str">
        <v>ひと ひと（つ） はじ（め）</v>
      </c>
      <c r="F2" t="str">
        <v>い おさむ か かず かつ はじめ ひ ひで ひとし まこと もと</v>
      </c>
      <c r="G2" t="str">
        <v>いち。ひとつ。数の名。 いち。数の単位。 ひとたび。いちど。 はじめ。最初。物事のいち番目。 同じ。等しい。 ひとつにする。同じにする。 すべて。全部。 もっぱら。ひたすら。 すこし。わずか。ちょっと。 あるひとつの。 あるとき。ある時間。 あるいは。または。 なんと。まったく。</v>
      </c>
      <c r="H2" t="str">
        <v>#調和</v>
      </c>
      <c r="I2">
        <v>100</v>
      </c>
      <c r="J2">
        <v>85</v>
      </c>
      <c r="K2">
        <v>45</v>
      </c>
      <c r="L2">
        <v>0</v>
      </c>
      <c r="M2">
        <f>VLOOKUP(A2,[1]kanji_data!$A:$N,14,FALSE)</f>
        <v>0</v>
      </c>
    </row>
    <row r="3">
      <c r="A3" t="str">
        <v>乙</v>
      </c>
      <c r="B3">
        <v>1</v>
      </c>
      <c r="C3" t="b">
        <v>1</v>
      </c>
      <c r="D3" t="str">
        <v>オツ イツ</v>
      </c>
      <c r="E3" t="str">
        <v>おと きのと</v>
      </c>
      <c r="F3" t="str">
        <v>お き くに たか つぎ つぐ</v>
      </c>
      <c r="G3" t="str">
        <v>十干の二番目。きのと。五行では木。方位では東。 順位の二番目。第二位。 つばめ。例：乙鳥 邦楽で、甲よりも一段低い音。 幼い。若い。 しゃれているさま。気がきいているさま。</v>
      </c>
      <c r="H3" t="str">
        <v>#品格 #花・彩</v>
      </c>
      <c r="I3">
        <v>40</v>
      </c>
      <c r="J3">
        <v>55</v>
      </c>
      <c r="K3">
        <v>55</v>
      </c>
      <c r="L3">
        <v>0</v>
      </c>
      <c r="M3">
        <f>VLOOKUP(A3,[1]kanji_data!$A:$N,14,FALSE)</f>
        <v>0</v>
      </c>
    </row>
    <row r="4">
      <c r="A4" t="str">
        <v>九</v>
      </c>
      <c r="B4">
        <v>2</v>
      </c>
      <c r="C4" t="b">
        <v>1</v>
      </c>
      <c r="D4" t="str">
        <v>キュウ ク</v>
      </c>
      <c r="E4" t="str">
        <v>ここの ここの（つ） あまた</v>
      </c>
      <c r="F4" t="str">
        <v>かず ここ ただ ちか ひさ ひさし</v>
      </c>
      <c r="G4" t="str">
        <v>ここの。ここのつ。数の名。 ここのたび。くど。きゅうど。きゅう回目。 あまた。たくさん。おおい。なんども。 あつまる。あつめる。あわせる。</v>
      </c>
      <c r="H4" t="str">
        <v>#調和</v>
      </c>
      <c r="I4">
        <v>30</v>
      </c>
      <c r="J4">
        <v>50</v>
      </c>
      <c r="K4">
        <v>50</v>
      </c>
      <c r="L4">
        <v>0</v>
      </c>
      <c r="M4">
        <f>VLOOKUP(A4,[1]kanji_data!$A:$N,14,FALSE)</f>
        <v>0</v>
      </c>
    </row>
    <row r="5">
      <c r="A5" t="str">
        <v>七</v>
      </c>
      <c r="B5">
        <v>2</v>
      </c>
      <c r="C5" t="b">
        <v>1</v>
      </c>
      <c r="D5" t="str">
        <v>シチ シツ</v>
      </c>
      <c r="E5" t="str">
        <v>なな なな（つ） なの</v>
      </c>
      <c r="F5" t="str">
        <v>かず な</v>
      </c>
      <c r="G5" t="str">
        <v>ななつ。七番目。七つ目。 ななかい。しちど。ななど。また、何度も。何回も。</v>
      </c>
      <c r="H5" t="str">
        <v>#調和</v>
      </c>
      <c r="I5">
        <v>70</v>
      </c>
      <c r="J5">
        <v>85</v>
      </c>
      <c r="K5">
        <v>35</v>
      </c>
      <c r="L5">
        <v>0</v>
      </c>
      <c r="M5">
        <f>VLOOKUP(A5,[1]kanji_data!$A:$N,14,FALSE)</f>
        <v>0</v>
      </c>
    </row>
    <row r="6">
      <c r="A6" t="str">
        <v>十</v>
      </c>
      <c r="B6">
        <v>2</v>
      </c>
      <c r="C6" t="b">
        <v>1</v>
      </c>
      <c r="D6" t="str">
        <v>ジッ ジュウ ジュッ</v>
      </c>
      <c r="E6" t="str">
        <v>と とお</v>
      </c>
      <c r="F6" t="str">
        <v>かず しげ じつ そ ただ とみ ひさし みつ みつる</v>
      </c>
      <c r="G6" t="str">
        <v>と。とお。じゅう。数の名。 じゅう。数の単位。 とたび。十回。十度。 十番目。 多数。数が多い。 完全。満ち足りている。</v>
      </c>
      <c r="H6" t="str">
        <v>#幸福 #繁栄 #調和</v>
      </c>
      <c r="I6">
        <v>80</v>
      </c>
      <c r="J6">
        <v>60</v>
      </c>
      <c r="K6">
        <v>50</v>
      </c>
      <c r="L6">
        <v>0</v>
      </c>
      <c r="M6">
        <f>VLOOKUP(A6,[1]kanji_data!$A:$N,14,FALSE)</f>
        <v>0</v>
      </c>
    </row>
    <row r="7">
      <c r="A7" t="str">
        <v>人</v>
      </c>
      <c r="B7">
        <v>2</v>
      </c>
      <c r="C7" t="b">
        <v>1</v>
      </c>
      <c r="D7" t="str">
        <v>ジン ニン</v>
      </c>
      <c r="E7" t="str">
        <v>ひと</v>
      </c>
      <c r="F7" t="str">
        <v>きよ たみ と ひこ ひとし め</v>
      </c>
      <c r="G7" t="str">
        <v>ひと。にんげん。人類。 ひと。他人。 ひとりひとり。人ごとに。 ひとを数えることば。例：一人、二人</v>
      </c>
      <c r="H7" t="str">
        <v>#慈愛 #調和</v>
      </c>
      <c r="I7">
        <v>85</v>
      </c>
      <c r="J7">
        <v>50</v>
      </c>
      <c r="K7">
        <v>75</v>
      </c>
      <c r="L7">
        <v>0</v>
      </c>
      <c r="M7">
        <f>VLOOKUP(A7,[1]kanji_data!$A:$N,14,FALSE)</f>
        <v>0</v>
      </c>
    </row>
    <row r="8">
      <c r="A8" t="str">
        <v>二</v>
      </c>
      <c r="B8">
        <v>2</v>
      </c>
      <c r="C8" t="b">
        <v>1</v>
      </c>
      <c r="D8" t="str">
        <v>ニ ジ</v>
      </c>
      <c r="E8" t="str">
        <v>ふた ふた（つ）</v>
      </c>
      <c r="F8" t="str">
        <v>かず つぎ つぐ ならぶ ふ</v>
      </c>
      <c r="G8" t="str">
        <v>ふた。ふたつ。数の名。 ふたたび。再度。 つぐ。つぎ。つぎの。 ならぶ。ならび。匹敵する。 別の。違った。ふたごころ。 うたがう。そむく。</v>
      </c>
      <c r="H8" t="str">
        <v>#調和</v>
      </c>
      <c r="I8">
        <v>60</v>
      </c>
      <c r="J8">
        <v>40</v>
      </c>
      <c r="K8">
        <v>75</v>
      </c>
      <c r="L8">
        <v>0</v>
      </c>
      <c r="M8">
        <f>VLOOKUP(A8,[1]kanji_data!$A:$N,14,FALSE)</f>
        <v>0</v>
      </c>
    </row>
    <row r="9">
      <c r="A9" t="str">
        <v>入</v>
      </c>
      <c r="B9">
        <v>2</v>
      </c>
      <c r="C9" t="b">
        <v>1</v>
      </c>
      <c r="D9" t="str">
        <v>ニュウ ジュ ジュウ</v>
      </c>
      <c r="E9" t="str">
        <v>い（る） い（れる） はい（る） しお</v>
      </c>
      <c r="F9">
        <v>0</v>
      </c>
      <c r="G9" t="str">
        <v>いる。いれる。はいる。中にはいる。 いれる。受けいれる。おさめる。 いり。実いり。収入。 漢字の四声（しせい）のひとつ入声（にっしょう）。 しお。物を染色するときに、染料につける回数を数える言葉。</v>
      </c>
      <c r="H9" t="str">
        <v>#自然</v>
      </c>
      <c r="I9">
        <v>10</v>
      </c>
      <c r="J9">
        <v>90</v>
      </c>
      <c r="K9">
        <v>35</v>
      </c>
      <c r="L9">
        <v>0</v>
      </c>
      <c r="M9">
        <f>VLOOKUP(A9,[1]kanji_data!$A:$N,14,FALSE)</f>
        <v>0</v>
      </c>
    </row>
    <row r="10">
      <c r="A10" t="str">
        <v>八</v>
      </c>
      <c r="B10">
        <v>2</v>
      </c>
      <c r="C10" t="b">
        <v>1</v>
      </c>
      <c r="D10" t="str">
        <v>ハチ</v>
      </c>
      <c r="E10" t="str">
        <v>や や（つ） やっ（つ） よう</v>
      </c>
      <c r="F10" t="str">
        <v>かず は やつ わ わかつ</v>
      </c>
      <c r="G10" t="str">
        <v>や。やつ。やっつ。よう。数の名。 やたび。はちかい。はっかい。八度。 順序の八番目。 わける。わかれる。 やつ。昔の時刻の呼び方で現在の午前二時ごろ、または午後二時ごろ。</v>
      </c>
      <c r="H10" t="str">
        <v>#調和</v>
      </c>
      <c r="I10">
        <v>60</v>
      </c>
      <c r="J10">
        <v>50</v>
      </c>
      <c r="K10">
        <v>55</v>
      </c>
      <c r="L10">
        <v>0</v>
      </c>
      <c r="M10">
        <f>VLOOKUP(A10,[1]kanji_data!$A:$N,14,FALSE)</f>
        <v>0</v>
      </c>
    </row>
    <row r="11">
      <c r="A11" t="str">
        <v>力</v>
      </c>
      <c r="B11">
        <v>2</v>
      </c>
      <c r="C11" t="b">
        <v>1</v>
      </c>
      <c r="D11" t="str">
        <v>リキ リョク</v>
      </c>
      <c r="E11" t="str">
        <v>ちから つと（める） りき（む）</v>
      </c>
      <c r="F11" t="str">
        <v>いさお いさむ お か ちか つとむ よし り</v>
      </c>
      <c r="G11" t="str">
        <v>ちから。体の筋肉などのはたらき。 ちから。才能。例：力量 能力 ちから。勢い。例：勢力 つとめる。はげむ。例：努力 尽力 りきむ。ちからをいれる。 りき。ちからの量、また仕事量の単位。例：百人力</v>
      </c>
      <c r="H11" t="str">
        <v>#勇気 #知性 #繁栄</v>
      </c>
      <c r="I11">
        <v>80</v>
      </c>
      <c r="J11">
        <v>100</v>
      </c>
      <c r="K11">
        <v>30</v>
      </c>
      <c r="L11">
        <v>0</v>
      </c>
      <c r="M11">
        <f>VLOOKUP(A11,[1]kanji_data!$A:$N,14,FALSE)</f>
        <v>0</v>
      </c>
    </row>
    <row r="12">
      <c r="A12" t="str">
        <v>刀</v>
      </c>
      <c r="B12">
        <v>2</v>
      </c>
      <c r="C12" t="b">
        <v>1</v>
      </c>
      <c r="D12" t="str">
        <v>トウ</v>
      </c>
      <c r="E12" t="str">
        <v>かたな</v>
      </c>
      <c r="F12" t="str">
        <v>と はかし</v>
      </c>
      <c r="G12" t="str">
        <v>かたな。刃物。 かたなの形をした古銭の名。 ふね。小さいふね。小舟。</v>
      </c>
      <c r="H12" t="str">
        <v>#勇気</v>
      </c>
      <c r="I12">
        <v>20</v>
      </c>
      <c r="J12">
        <v>85</v>
      </c>
      <c r="K12">
        <v>30</v>
      </c>
      <c r="L12">
        <v>0</v>
      </c>
      <c r="M12">
        <f>VLOOKUP(A12,[1]kanji_data!$A:$N,14,FALSE)</f>
        <v>0</v>
      </c>
    </row>
    <row r="13">
      <c r="A13" t="str">
        <v>丁</v>
      </c>
      <c r="B13">
        <v>2</v>
      </c>
      <c r="C13" t="b">
        <v>1</v>
      </c>
      <c r="D13" t="str">
        <v>チョウ テイ トウ</v>
      </c>
      <c r="E13" t="str">
        <v>あ（たる） ひのと</v>
      </c>
      <c r="F13">
        <v>0</v>
      </c>
      <c r="G13" t="str">
        <v>十干の四番目。ひのと。五行では火。方位では南。 つよい。さかん。 働き盛りの男性。壮年の男性。 しもべ。下働き、雑用の男性。 あたる。出遭う。遭遇する。 よほろ（よぼろ）。公用に徴発された男子。 斧などで木を切る音。 書物の枚数を数える語。 町を細かく分けた区分。例：二丁目 長さ・面積の単位。「町」とも。一丁は六十間。約１０９メートル。  サイコロの目での偶数。例：丁（ちょう）か半（はん）か。 国名「丁抹（デンマーク）」の略。 豆腐・拳銃などを数える語。 飲食物を数える語。例：一丁あがり</v>
      </c>
      <c r="H13" t="str">
        <v>#健康 #繁栄</v>
      </c>
      <c r="I13">
        <v>10</v>
      </c>
      <c r="J13">
        <v>60</v>
      </c>
      <c r="K13">
        <v>50</v>
      </c>
      <c r="L13">
        <v>0</v>
      </c>
      <c r="M13">
        <f>VLOOKUP(A13,[1]kanji_data!$A:$N,14,FALSE)</f>
        <v>0</v>
      </c>
    </row>
    <row r="14">
      <c r="A14" t="str">
        <v>宜</v>
      </c>
      <c r="B14">
        <v>8</v>
      </c>
      <c r="C14" t="b">
        <v>1</v>
      </c>
      <c r="D14" t="str">
        <v>ギ</v>
      </c>
      <c r="E14" t="str">
        <v>むべ よ（い） よろ（しい） よろ（しく）</v>
      </c>
      <c r="F14" t="str">
        <v>き すみ たか なり のぶ のり まさ よし</v>
      </c>
      <c r="G14" t="str">
        <v>よろしい。ちょうどよい。ふさわしい。都合がよい。 むべ。うべ。もっともである。当然である。 「よろしく～べし」と読み、「～するのがよい」「～すべきである」の意を表す。</v>
      </c>
      <c r="I14">
        <v>65</v>
      </c>
      <c r="J14">
        <v>65</v>
      </c>
      <c r="K14">
        <v>55</v>
      </c>
      <c r="L14">
        <v>0</v>
      </c>
      <c r="M14">
        <f>VLOOKUP(A14,[1]kanji_data!$A:$N,14,FALSE)</f>
        <v>0</v>
      </c>
    </row>
    <row r="15">
      <c r="A15" t="str">
        <v>了</v>
      </c>
      <c r="B15">
        <v>2</v>
      </c>
      <c r="C15" t="b">
        <v>1</v>
      </c>
      <c r="D15" t="str">
        <v>リョウ</v>
      </c>
      <c r="E15" t="str">
        <v>お（わる） さと（る） しま（う）</v>
      </c>
      <c r="F15" t="str">
        <v>あき あきら おさむ さと さとし さとる すみ のり</v>
      </c>
      <c r="G15" t="str">
        <v>おわる。おえる。済む。物事の始末がつく。 さとる。よくわかる。はっきりとわかる。 まったく。少しも。さっぱり。</v>
      </c>
      <c r="H15" t="str">
        <v>#知性</v>
      </c>
      <c r="I15">
        <v>50</v>
      </c>
      <c r="J15">
        <v>55</v>
      </c>
      <c r="K15">
        <v>60</v>
      </c>
      <c r="L15">
        <v>0</v>
      </c>
      <c r="M15">
        <f>VLOOKUP(A15,[1]kanji_data!$A:$N,14,FALSE)</f>
        <v>0</v>
      </c>
    </row>
    <row r="16">
      <c r="A16" t="str">
        <v>乃</v>
      </c>
      <c r="B16">
        <v>2</v>
      </c>
      <c r="C16" t="b">
        <v>0</v>
      </c>
      <c r="D16" t="str">
        <v>ダイ ナイ</v>
      </c>
      <c r="E16" t="str">
        <v>すなわ（ち） なんじ の</v>
      </c>
      <c r="F16" t="str">
        <v>おさむ</v>
      </c>
      <c r="G16" t="str">
        <v>すなわち。そこで。そういう理由で。つまり。 すなわち。やっと。ようやく。 なんじ。あなた。君。おまえ。 助詞の「の」に当てて用いられる字。</v>
      </c>
      <c r="H16" t="str">
        <v>#心・志</v>
      </c>
      <c r="I16">
        <v>90</v>
      </c>
      <c r="J16">
        <v>55</v>
      </c>
      <c r="K16">
        <v>55</v>
      </c>
      <c r="L16">
        <v>0</v>
      </c>
      <c r="M16">
        <f>VLOOKUP(A16,[1]kanji_data!$A:$N,14,FALSE)</f>
        <v>0</v>
      </c>
    </row>
    <row r="17">
      <c r="A17" t="str">
        <v>卜</v>
      </c>
      <c r="B17">
        <v>2</v>
      </c>
      <c r="C17" t="b">
        <v>0</v>
      </c>
      <c r="D17" t="str">
        <v>ホク ボク</v>
      </c>
      <c r="E17" t="str">
        <v>うらな（い） うらな（う）</v>
      </c>
      <c r="F17" t="str">
        <v>うら</v>
      </c>
      <c r="G17" t="str">
        <v>うらない。うらなう。物事の吉凶を判断する。 選ぶ。選定する。</v>
      </c>
      <c r="H17" t="str">
        <v>#知性</v>
      </c>
      <c r="I17">
        <v>20</v>
      </c>
      <c r="J17">
        <v>45</v>
      </c>
      <c r="K17">
        <v>70</v>
      </c>
      <c r="L17">
        <v>0</v>
      </c>
      <c r="M17">
        <f>VLOOKUP(A17,[1]kanji_data!$A:$N,14,FALSE)</f>
        <v>0</v>
      </c>
    </row>
    <row r="18">
      <c r="A18" t="str">
        <v>柾</v>
      </c>
      <c r="B18">
        <v>9</v>
      </c>
      <c r="C18" t="b">
        <v>0</v>
      </c>
      <c r="D18">
        <v>0</v>
      </c>
      <c r="E18" t="str">
        <v>まさ まさき</v>
      </c>
      <c r="F18" t="str">
        <v>ただ</v>
      </c>
      <c r="G18" t="str">
        <v>まさ。まさめ。まっすぐに通った木目。また、その木材。 まさき。ニシキギ科の常緑低木。</v>
      </c>
      <c r="I18">
        <v>65</v>
      </c>
      <c r="J18">
        <v>60</v>
      </c>
      <c r="K18">
        <v>50</v>
      </c>
      <c r="L18">
        <v>0</v>
      </c>
      <c r="M18">
        <f>VLOOKUP(A18,[1]kanji_data!$A:$N,14,FALSE)</f>
        <v>0</v>
      </c>
    </row>
    <row r="19">
      <c r="A19" t="str">
        <v>口</v>
      </c>
      <c r="B19">
        <v>3</v>
      </c>
      <c r="C19" t="b">
        <v>1</v>
      </c>
      <c r="D19" t="str">
        <v>ク コウ</v>
      </c>
      <c r="E19" t="str">
        <v>くち</v>
      </c>
      <c r="F19">
        <v>0</v>
      </c>
      <c r="G19" t="str">
        <v>くち。飲食や発声をする器官。 人や物が出入りするところ。 しゃべる。くちに出す。また、そのことば。 人や家を数えることば。 くちずから。自分のくちで。自分の言葉で。 刀剣を数えることば。 くち。分割されたものを一つとして数える単位。例：寄付は一口千円 くち。物事の分類。種類。例：甘口、 別口 くち。勤め先。仕事先。また、嫁入り先。例：就職口 物事のはじめ。はし。例：序の口</v>
      </c>
      <c r="H19" t="str">
        <v>#自然</v>
      </c>
      <c r="I19">
        <v>10</v>
      </c>
      <c r="J19">
        <v>40</v>
      </c>
      <c r="K19">
        <v>75</v>
      </c>
      <c r="L19">
        <v>0</v>
      </c>
      <c r="M19">
        <f>VLOOKUP(A19,[1]kanji_data!$A:$N,14,FALSE)</f>
        <v>0</v>
      </c>
    </row>
    <row r="20">
      <c r="A20" t="str">
        <v>三</v>
      </c>
      <c r="B20">
        <v>3</v>
      </c>
      <c r="C20" t="b">
        <v>1</v>
      </c>
      <c r="D20" t="str">
        <v>サン</v>
      </c>
      <c r="E20" t="str">
        <v>み み（つ） みっ（つ）</v>
      </c>
      <c r="F20" t="str">
        <v>かず さ さぶ そ ぞう なお みつ</v>
      </c>
      <c r="G20" t="str">
        <v>みっつ。 みたび。さんど。 みっつ目。三番目。 たびたび。何度も。</v>
      </c>
      <c r="H20" t="str">
        <v>#調和</v>
      </c>
      <c r="I20">
        <v>50</v>
      </c>
      <c r="J20">
        <v>55</v>
      </c>
      <c r="K20">
        <v>55</v>
      </c>
      <c r="L20">
        <v>0</v>
      </c>
      <c r="M20">
        <f>VLOOKUP(A20,[1]kanji_data!$A:$N,14,FALSE)</f>
        <v>0</v>
      </c>
    </row>
    <row r="21">
      <c r="A21" t="str">
        <v>山</v>
      </c>
      <c r="B21">
        <v>3</v>
      </c>
      <c r="C21" t="b">
        <v>1</v>
      </c>
      <c r="D21" t="str">
        <v>サン セン</v>
      </c>
      <c r="E21" t="str">
        <v>やま</v>
      </c>
      <c r="F21" t="str">
        <v>たか たかし たけし</v>
      </c>
      <c r="G21" t="str">
        <v>やま。高く盛り上がった場所や地形。また、そのような形をしたもの。 寺院。寺院の名につける語。 土を盛ってつくった墓。 やま。物事の関心が最も高まる所。最高潮。 やま。「山をはる」「山をかける」は万一の幸運をねらうこと。 やま。比叡山（ひえいざん）の延暦寺（えんりゃくじ）のこと。</v>
      </c>
      <c r="H21" t="str">
        <v>#幸福 #自然</v>
      </c>
      <c r="I21">
        <v>40</v>
      </c>
      <c r="J21">
        <v>80</v>
      </c>
      <c r="K21">
        <v>45</v>
      </c>
      <c r="L21">
        <v>0</v>
      </c>
      <c r="M21">
        <f>VLOOKUP(A21,[1]kanji_data!$A:$N,14,FALSE)</f>
        <v>0</v>
      </c>
    </row>
    <row r="22">
      <c r="A22" t="str">
        <v>子</v>
      </c>
      <c r="B22">
        <v>3</v>
      </c>
      <c r="C22" t="b">
        <v>1</v>
      </c>
      <c r="D22" t="str">
        <v>シ ス</v>
      </c>
      <c r="E22" t="str">
        <v>こ おとこ ね み</v>
      </c>
      <c r="F22" t="str">
        <v>たか とし やす</v>
      </c>
      <c r="G22" t="str">
        <v>こ。こども。親から生まれたこども。 おとこ。男の子。男の子を「子」、女の子を「女」とする用法の場合。 成人男性の敬称。 先生や師、学問や地位のある人に対する敬称。 思想家。学問に精通する人。また、その著書やその思想、学問についての書物。 み。たね。果実。また、生物のたまご。 小さいもの。細かいもの。 五等級の爵位（公・侯・伯・子・男）の四番目。 ね。十二支の一番目。方位では北。時刻では夜の十二時、および前後の二時間。動物では鼠（ねずみ）。 こ。女性の名に用いる。</v>
      </c>
      <c r="H22" t="str">
        <v>#知性</v>
      </c>
      <c r="I22">
        <v>85</v>
      </c>
      <c r="J22">
        <v>50</v>
      </c>
      <c r="K22">
        <v>55</v>
      </c>
      <c r="L22">
        <v>0</v>
      </c>
      <c r="M22">
        <f>VLOOKUP(A22,[1]kanji_data!$A:$N,14,FALSE)</f>
        <v>0</v>
      </c>
    </row>
    <row r="23">
      <c r="A23" t="str">
        <v>女</v>
      </c>
      <c r="B23">
        <v>3</v>
      </c>
      <c r="C23" t="b">
        <v>1</v>
      </c>
      <c r="D23" t="str">
        <v>ジョ ニョ ニョウ</v>
      </c>
      <c r="E23" t="str">
        <v>おんな め なんじ むすめ めあ（わせる）</v>
      </c>
      <c r="F23" t="str">
        <v>こ たか よし</v>
      </c>
      <c r="G23" t="str">
        <v>おんな。め。女性。 むすめ。女の子。 むすめ。若い未婚の女性。 二十八宿の一つ。うるきぼし。 小さくかよわいもの。 なんじ。おまえ。＝汝 めあわせる。とつがせる。嫁にやる。</v>
      </c>
      <c r="H23" t="str">
        <v>#慈愛 #花・彩</v>
      </c>
      <c r="I23">
        <v>10</v>
      </c>
      <c r="J23">
        <v>30</v>
      </c>
      <c r="K23">
        <v>85</v>
      </c>
      <c r="L23">
        <v>0</v>
      </c>
      <c r="M23">
        <f>VLOOKUP(A23,[1]kanji_data!$A:$N,14,FALSE)</f>
        <v>0</v>
      </c>
    </row>
    <row r="24">
      <c r="A24" t="str">
        <v>殊</v>
      </c>
      <c r="B24">
        <v>10</v>
      </c>
      <c r="C24" t="b">
        <v>1</v>
      </c>
      <c r="D24" t="str">
        <v>シュ</v>
      </c>
      <c r="E24" t="str">
        <v>こと</v>
      </c>
      <c r="F24">
        <v>0</v>
      </c>
      <c r="G24" t="str">
        <v>ころす。死ぬ。死刑にする。 たつ。断ち切る。切り離す。 ことなる。普通と違う。同じでない。 わける。別にする。区別する。 ことに。とりわけ。特に。特別に。</v>
      </c>
      <c r="I24">
        <v>10</v>
      </c>
      <c r="J24">
        <v>80</v>
      </c>
      <c r="K24">
        <v>50</v>
      </c>
      <c r="L24">
        <v>0</v>
      </c>
      <c r="M24">
        <f>VLOOKUP(A24,[1]kanji_data!$A:$N,14,FALSE)</f>
        <v>0</v>
      </c>
    </row>
    <row r="25">
      <c r="A25" t="str">
        <v>上</v>
      </c>
      <c r="B25">
        <v>3</v>
      </c>
      <c r="C25" t="b">
        <v>1</v>
      </c>
      <c r="D25" t="str">
        <v>ジョウ ショウ</v>
      </c>
      <c r="E25" t="str">
        <v>あ（がる） あ（げる） うえ うわ かみ のぼ（る） のぼ（す） のぼ（せる） たてまつ（る） ほとり</v>
      </c>
      <c r="F25">
        <v>0</v>
      </c>
      <c r="G25" t="str">
        <v>あがる。あげる。のぼる。低い所から高い所へ移動する。 うえ。うわ。かみ。位置・地位・価値・年齢・などが高い。すぐれている。 かみ。時間・順序・物事の流れなどの前の方。 たてまつる。さしあげる。献上する。 のぼる。中央へ行く。 おかみ。人の妻。女主人。</v>
      </c>
      <c r="H25" t="str">
        <v>#品格 #繁栄</v>
      </c>
      <c r="I25">
        <v>40</v>
      </c>
      <c r="J25">
        <v>65</v>
      </c>
      <c r="K25">
        <v>45</v>
      </c>
      <c r="L25">
        <v>0</v>
      </c>
      <c r="M25">
        <f>VLOOKUP(A25,[1]kanji_data!$A:$N,14,FALSE)</f>
        <v>0</v>
      </c>
    </row>
    <row r="26">
      <c r="A26" t="str">
        <v>夕</v>
      </c>
      <c r="B26">
        <v>3</v>
      </c>
      <c r="C26" t="b">
        <v>1</v>
      </c>
      <c r="D26" t="str">
        <v>セキ</v>
      </c>
      <c r="E26" t="str">
        <v>ゆう ゆう（べ）</v>
      </c>
      <c r="F26" t="str">
        <v>ゆ</v>
      </c>
      <c r="G26" t="str">
        <v>ゆう。ゆうべ。夕方。日暮れ。 夜。 年や月の末。</v>
      </c>
      <c r="H26" t="str">
        <v>#天空</v>
      </c>
      <c r="I26">
        <v>60</v>
      </c>
      <c r="J26">
        <v>20</v>
      </c>
      <c r="K26">
        <v>100</v>
      </c>
      <c r="L26">
        <v>0</v>
      </c>
      <c r="M26">
        <f>VLOOKUP(A26,[1]kanji_data!$A:$N,14,FALSE)</f>
        <v>0</v>
      </c>
    </row>
    <row r="27">
      <c r="A27" t="str">
        <v>千</v>
      </c>
      <c r="B27">
        <v>3</v>
      </c>
      <c r="C27" t="b">
        <v>1</v>
      </c>
      <c r="D27" t="str">
        <v>セン</v>
      </c>
      <c r="E27" t="str">
        <v>ち</v>
      </c>
      <c r="F27" t="str">
        <v>かず ゆき</v>
      </c>
      <c r="G27" t="str">
        <v>せん。ち。数の名。数の単位。十の百倍。 ちたび。千回。千度。 たくさん。数が多いことを表す。</v>
      </c>
      <c r="H27" t="str">
        <v>#繁栄</v>
      </c>
      <c r="I27">
        <v>90</v>
      </c>
      <c r="J27">
        <v>55</v>
      </c>
      <c r="K27">
        <v>60</v>
      </c>
      <c r="L27">
        <v>0</v>
      </c>
      <c r="M27">
        <f>VLOOKUP(A27,[1]kanji_data!$A:$N,14,FALSE)</f>
        <v>0</v>
      </c>
    </row>
    <row r="28">
      <c r="A28" t="str">
        <v>川</v>
      </c>
      <c r="B28">
        <v>3</v>
      </c>
      <c r="C28" t="b">
        <v>1</v>
      </c>
      <c r="D28" t="str">
        <v>セン</v>
      </c>
      <c r="E28" t="str">
        <v>かわ</v>
      </c>
      <c r="F28">
        <v>0</v>
      </c>
      <c r="G28" t="str">
        <v>かわ。水の流れ。水流。</v>
      </c>
      <c r="H28" t="str">
        <v>#海・水</v>
      </c>
      <c r="I28">
        <v>10</v>
      </c>
      <c r="J28">
        <v>55</v>
      </c>
      <c r="K28">
        <v>55</v>
      </c>
      <c r="L28">
        <v>0</v>
      </c>
      <c r="M28">
        <f>VLOOKUP(A28,[1]kanji_data!$A:$N,14,FALSE)</f>
        <v>0</v>
      </c>
    </row>
    <row r="29">
      <c r="A29" t="str">
        <v>大</v>
      </c>
      <c r="B29">
        <v>3</v>
      </c>
      <c r="C29" t="b">
        <v>1</v>
      </c>
      <c r="D29" t="str">
        <v>タイ ダイ タ ダ</v>
      </c>
      <c r="E29" t="str">
        <v>おお おお（いに） おお（きい）</v>
      </c>
      <c r="F29" t="str">
        <v>お た たけし とも はじめ はる ひろ ひろし まさる もと</v>
      </c>
      <c r="G29" t="str">
        <v>おおきい。程度がおおきい。数や量がおおい。 おおきい。すぐれている。立派。 おおいに。はなはだ。非常に。 おごる。態度が大きい。態度が偉そう。 おおよそ。おおむね。だいたい。 名詞の上につけて、他人を敬うことば。 尊敬や広大などの意味の接頭語。</v>
      </c>
      <c r="H29" t="str">
        <v>#品格 #心・志 #繁栄</v>
      </c>
      <c r="I29">
        <v>100</v>
      </c>
      <c r="J29">
        <v>75</v>
      </c>
      <c r="K29">
        <v>45</v>
      </c>
      <c r="L29">
        <v>0</v>
      </c>
      <c r="M29">
        <f>VLOOKUP(A29,[1]kanji_data!$A:$N,14,FALSE)</f>
        <v>0</v>
      </c>
    </row>
    <row r="30">
      <c r="A30" t="str">
        <v>土</v>
      </c>
      <c r="B30">
        <v>3</v>
      </c>
      <c r="C30" t="b">
        <v>1</v>
      </c>
      <c r="D30" t="str">
        <v>ト ド</v>
      </c>
      <c r="E30" t="str">
        <v>つち</v>
      </c>
      <c r="F30">
        <v>0</v>
      </c>
      <c r="G30" t="str">
        <v>つち。地面。土壌。 土地。領地。大地。 いなか。ふるさと。地方。 五行の一つ。方位では中央。色では黄。 はかる。＝度 焼いたつちで作られた楽器。八音（「金」「石」「糸」「竹」「匏」「土」「革」「木」）の一つ。 ど。土曜日。七曜のひとつ。 国名「土耳古（トルコ）」の略。</v>
      </c>
      <c r="H30" t="str">
        <v>#自然</v>
      </c>
      <c r="I30">
        <v>10</v>
      </c>
      <c r="J30">
        <v>55</v>
      </c>
      <c r="K30">
        <v>55</v>
      </c>
      <c r="L30">
        <v>0</v>
      </c>
      <c r="M30">
        <f>VLOOKUP(A30,[1]kanji_data!$A:$N,14,FALSE)</f>
        <v>0</v>
      </c>
    </row>
    <row r="31">
      <c r="A31" t="str">
        <v>丸</v>
      </c>
      <c r="B31">
        <v>3</v>
      </c>
      <c r="C31" t="b">
        <v>1</v>
      </c>
      <c r="D31" t="str">
        <v>ガン</v>
      </c>
      <c r="E31" t="str">
        <v>まる まる（い） まる（める） たま</v>
      </c>
      <c r="F31" t="str">
        <v>まろ</v>
      </c>
      <c r="G31" t="str">
        <v>まる。まるい。円形。球形。 まるめる。まるくする。 まるまる。全部。完全に。 たま。鉄砲や弓などのたま。 「～丸」など人や船の名に添える。</v>
      </c>
      <c r="H31" t="str">
        <v>#幸福 #調和</v>
      </c>
      <c r="I31">
        <v>40</v>
      </c>
      <c r="J31">
        <v>35</v>
      </c>
      <c r="K31">
        <v>70</v>
      </c>
      <c r="L31">
        <v>0</v>
      </c>
      <c r="M31">
        <f>VLOOKUP(A31,[1]kanji_data!$A:$N,14,FALSE)</f>
        <v>0</v>
      </c>
    </row>
    <row r="32">
      <c r="A32" t="str">
        <v>弓</v>
      </c>
      <c r="B32">
        <v>3</v>
      </c>
      <c r="C32" t="b">
        <v>1</v>
      </c>
      <c r="D32" t="str">
        <v>キュウ</v>
      </c>
      <c r="E32" t="str">
        <v>ゆみ</v>
      </c>
      <c r="F32" t="str">
        <v>ゆ</v>
      </c>
      <c r="G32" t="str">
        <v>ゆみ。矢を射る道具。 ゆみなり。ゆみのような形。 長さの単位。一弓は六尺（一説に八尺、また五尺とも）。</v>
      </c>
      <c r="H32" t="str">
        <v>#勇気</v>
      </c>
      <c r="I32">
        <v>50</v>
      </c>
      <c r="J32">
        <v>80</v>
      </c>
      <c r="K32">
        <v>45</v>
      </c>
      <c r="L32">
        <v>0</v>
      </c>
      <c r="M32">
        <f>VLOOKUP(A32,[1]kanji_data!$A:$N,14,FALSE)</f>
        <v>0</v>
      </c>
    </row>
    <row r="33">
      <c r="A33" t="str">
        <v>工</v>
      </c>
      <c r="B33">
        <v>3</v>
      </c>
      <c r="C33" t="b">
        <v>1</v>
      </c>
      <c r="D33" t="str">
        <v>ク コウ</v>
      </c>
      <c r="E33" t="str">
        <v>たくみ たく（む） わざ</v>
      </c>
      <c r="F33" t="str">
        <v>たくむ ただ よし</v>
      </c>
      <c r="G33" t="str">
        <v>たくみ。わざ。技術。 たくみ。すぐれた技術で物をつくる職人。 たくむ。作る。細工をする。</v>
      </c>
      <c r="H33" t="str">
        <v>#知性</v>
      </c>
      <c r="I33">
        <v>20</v>
      </c>
      <c r="J33">
        <v>55</v>
      </c>
      <c r="K33">
        <v>55</v>
      </c>
      <c r="L33">
        <v>0</v>
      </c>
      <c r="M33">
        <f>VLOOKUP(A33,[1]kanji_data!$A:$N,14,FALSE)</f>
        <v>0</v>
      </c>
    </row>
    <row r="34">
      <c r="A34" t="str">
        <v>才</v>
      </c>
      <c r="B34">
        <v>3</v>
      </c>
      <c r="C34" t="b">
        <v>1</v>
      </c>
      <c r="D34" t="str">
        <v>サイ</v>
      </c>
      <c r="E34" t="str">
        <v>かど ざえ</v>
      </c>
      <c r="F34" t="str">
        <v>かた さ たえ とし もち</v>
      </c>
      <c r="G34" t="str">
        <v>生まれつきもっている能力。素質。 はたらき。能力。知恵。 わずか。わずかに。たった。そればかり。ようやく。やっと。＝纔 「歳」の代わりに、年齢を示す字として用いられる。</v>
      </c>
      <c r="H34" t="str">
        <v>#慈愛 #知性</v>
      </c>
      <c r="I34">
        <v>60</v>
      </c>
      <c r="J34">
        <v>55</v>
      </c>
      <c r="K34">
        <v>55</v>
      </c>
      <c r="L34">
        <v>0</v>
      </c>
      <c r="M34">
        <f>VLOOKUP(A34,[1]kanji_data!$A:$N,14,FALSE)</f>
        <v>0</v>
      </c>
    </row>
    <row r="35">
      <c r="A35" t="str">
        <v>万</v>
      </c>
      <c r="B35">
        <v>3</v>
      </c>
      <c r="C35" t="b">
        <v>1</v>
      </c>
      <c r="D35" t="str">
        <v>マン バン</v>
      </c>
      <c r="E35" t="str">
        <v>よろず</v>
      </c>
      <c r="F35" t="str">
        <v>かず かつ すすむ たか つむ つもる ま</v>
      </c>
      <c r="G35" t="str">
        <v>まん。数の単位。千の十倍。 よろず。すべて。すべての。数が非常に多い。 決して。絶対に。どんなことがあっても。 さそり。毒虫。</v>
      </c>
      <c r="H35" t="str">
        <v>#繁栄 #調和</v>
      </c>
      <c r="I35">
        <v>60</v>
      </c>
      <c r="J35">
        <v>75</v>
      </c>
      <c r="K35">
        <v>40</v>
      </c>
      <c r="L35">
        <v>0</v>
      </c>
      <c r="M35">
        <f>VLOOKUP(A35,[1]kanji_data!$A:$N,14,FALSE)</f>
        <v>0</v>
      </c>
    </row>
    <row r="36">
      <c r="A36" t="str">
        <v>士</v>
      </c>
      <c r="B36">
        <v>3</v>
      </c>
      <c r="C36" t="b">
        <v>1</v>
      </c>
      <c r="D36" t="str">
        <v>シ</v>
      </c>
      <c r="E36" t="str">
        <v>さむらい</v>
      </c>
      <c r="F36" t="str">
        <v>あき あきら お おさむ こと さち ただ つかさ と のり ひと まもる</v>
      </c>
      <c r="G36" t="str">
        <v>おとこ。成人男性。 役人。特に中堅層の役人や裁判をつかさどる役人。 職務をこなす。また、仕官する。 学問や知識のすぐれた人。 立派な男性。男性の美称。 さむらい。武士。 ある資格や技能を持つ人。</v>
      </c>
      <c r="H36" t="str">
        <v>#勇気 #品格 #知性</v>
      </c>
      <c r="I36">
        <v>85</v>
      </c>
      <c r="J36">
        <v>100</v>
      </c>
      <c r="K36">
        <v>25</v>
      </c>
      <c r="L36">
        <v>0</v>
      </c>
      <c r="M36">
        <f>VLOOKUP(A36,[1]kanji_data!$A:$N,14,FALSE)</f>
        <v>0</v>
      </c>
    </row>
    <row r="37">
      <c r="A37" t="str">
        <v>久</v>
      </c>
      <c r="B37">
        <v>3</v>
      </c>
      <c r="C37" t="b">
        <v>1</v>
      </c>
      <c r="D37" t="str">
        <v>キュウ ク</v>
      </c>
      <c r="E37" t="str">
        <v>ひさ（しい）</v>
      </c>
      <c r="F37" t="str">
        <v>ぐ なが ひこ ひさ ひさし</v>
      </c>
      <c r="G37" t="str">
        <v>ひさしい。長い。時間が長い。 ひさしい。古くからの。昔からの。 ひさしくする。時間を長くかける。長い間そのままにする。</v>
      </c>
      <c r="H37" t="str">
        <v>#健康 #繁栄</v>
      </c>
      <c r="I37">
        <v>95</v>
      </c>
      <c r="J37">
        <v>55</v>
      </c>
      <c r="K37">
        <v>55</v>
      </c>
      <c r="L37">
        <v>0</v>
      </c>
      <c r="M37">
        <f>VLOOKUP(A37,[1]kanji_data!$A:$N,14,FALSE)</f>
        <v>0</v>
      </c>
    </row>
    <row r="38">
      <c r="A38" t="str">
        <v>必</v>
      </c>
      <c r="B38">
        <v>5</v>
      </c>
      <c r="C38" t="b">
        <v>1</v>
      </c>
      <c r="D38" t="str">
        <v>ヒツ</v>
      </c>
      <c r="E38" t="str">
        <v>かなら（ず）</v>
      </c>
      <c r="F38">
        <v>0</v>
      </c>
      <c r="G38" t="str">
        <v>かならず。きっと。間違いなく。 かならず。なんとしても。どんなことがあっても。断固として。</v>
      </c>
      <c r="I38">
        <v>10</v>
      </c>
      <c r="J38">
        <v>60</v>
      </c>
      <c r="K38">
        <v>55</v>
      </c>
      <c r="L38">
        <v>0</v>
      </c>
      <c r="M38">
        <f>VLOOKUP(A38,[1]kanji_data!$A:$N,14,FALSE)</f>
        <v>0</v>
      </c>
    </row>
    <row r="39">
      <c r="A39" t="str">
        <v>己</v>
      </c>
      <c r="B39">
        <v>3</v>
      </c>
      <c r="C39" t="b">
        <v>1</v>
      </c>
      <c r="D39" t="str">
        <v>コ キ</v>
      </c>
      <c r="E39" t="str">
        <v>おのれ つちのと</v>
      </c>
      <c r="F39" t="str">
        <v>お な み</v>
      </c>
      <c r="G39" t="str">
        <v>おのれ。自分。私。 十干の六番目。つちのと。五行では土。方位では中央。 おのれ。相手をののしって呼ぶことば。</v>
      </c>
      <c r="H39" t="str">
        <v>#心・志</v>
      </c>
      <c r="I39">
        <v>40</v>
      </c>
      <c r="J39">
        <v>50</v>
      </c>
      <c r="K39">
        <v>55</v>
      </c>
      <c r="L39">
        <v>0</v>
      </c>
      <c r="M39">
        <f>VLOOKUP(A39,[1]kanji_data!$A:$N,14,FALSE)</f>
        <v>0</v>
      </c>
    </row>
    <row r="40">
      <c r="A40" t="str">
        <v>布</v>
      </c>
      <c r="B40">
        <v>5</v>
      </c>
      <c r="C40" t="b">
        <v>1</v>
      </c>
      <c r="D40" t="str">
        <v>フ ホ</v>
      </c>
      <c r="E40" t="str">
        <v>ぬの し（く）</v>
      </c>
      <c r="F40" t="str">
        <v>う しき しく たえ のぶ よし</v>
      </c>
      <c r="G40" t="str">
        <v>ぬの。麻や葛などで織ったきれ。 しく。広げる。広く行き渡らせる。 貨幣。古代の貨幣。</v>
      </c>
      <c r="I40">
        <v>60</v>
      </c>
      <c r="J40">
        <v>60</v>
      </c>
      <c r="K40">
        <v>60</v>
      </c>
      <c r="L40">
        <v>0</v>
      </c>
      <c r="M40">
        <f>VLOOKUP(A40,[1]kanji_data!$A:$N,14,FALSE)</f>
        <v>0</v>
      </c>
    </row>
    <row r="41">
      <c r="A41" t="str">
        <v>先</v>
      </c>
      <c r="B41">
        <v>6</v>
      </c>
      <c r="C41" t="b">
        <v>1</v>
      </c>
      <c r="D41" t="str">
        <v>セン</v>
      </c>
      <c r="E41" t="str">
        <v>さき ま（ず）</v>
      </c>
      <c r="F41" t="str">
        <v>すすむ ゆき</v>
      </c>
      <c r="G41" t="str">
        <v>さき。まえ。位置が前のほう。 さき。以前。時間が早いほう。 さき。第一。 さきんずる。さきだつ。さきにする。 まず。さきに。はじめに。第一に。</v>
      </c>
      <c r="I41">
        <v>60</v>
      </c>
      <c r="J41">
        <v>100</v>
      </c>
      <c r="K41">
        <v>20</v>
      </c>
      <c r="L41">
        <v>0</v>
      </c>
      <c r="M41">
        <f>VLOOKUP(A41,[1]kanji_data!$A:$N,14,FALSE)</f>
        <v>0</v>
      </c>
    </row>
    <row r="42">
      <c r="A42" t="str">
        <v>合</v>
      </c>
      <c r="B42">
        <v>6</v>
      </c>
      <c r="C42" t="b">
        <v>1</v>
      </c>
      <c r="D42" t="str">
        <v>カッ ガッ ゴウ コウ</v>
      </c>
      <c r="E42" t="str">
        <v>あ（う） あ（わす） あ（わせる）</v>
      </c>
      <c r="F42" t="str">
        <v>あい かい はる り</v>
      </c>
      <c r="G42" t="str">
        <v>あう。同じになる。一つになる。 あわす。あわせる。一致させる。一つにする。 あつまる。あつめる。 あてはまる。あてはめる。 つれあい。夫婦。配偶者。 ごう。容量の単位。一合は一升の十分の一。 「まさに～べし」と読み、「～するべきである」「当然～しなければならない」の意を表わす。 土地の面積の単位。一坪の十分の一。 山の高さの単位。山のふもとから頂上までの十分の一。</v>
      </c>
      <c r="I42">
        <v>60</v>
      </c>
      <c r="J42">
        <v>90</v>
      </c>
      <c r="K42">
        <v>35</v>
      </c>
      <c r="L42">
        <v>0</v>
      </c>
      <c r="M42">
        <f>VLOOKUP(A42,[1]kanji_data!$A:$N,14,FALSE)</f>
        <v>0</v>
      </c>
    </row>
    <row r="43">
      <c r="A43" t="str">
        <v>丈</v>
      </c>
      <c r="B43">
        <v>3</v>
      </c>
      <c r="C43" t="b">
        <v>1</v>
      </c>
      <c r="D43" t="str">
        <v>ジョウ</v>
      </c>
      <c r="E43" t="str">
        <v>たけ</v>
      </c>
      <c r="F43" t="str">
        <v>たけし とも ひろ ます</v>
      </c>
      <c r="G43" t="str">
        <v>たけ。身長。 はかる。土地を測る。 長さの単位。一丈は十尺。日本での１丈は約３０３センチメートル。 老人・長老などを敬って呼ぶ語。 歌舞伎役者の芸名につける敬称。 助詞の「たけ」「だけ」に当てて用いられる字。</v>
      </c>
      <c r="H43" t="str">
        <v>#健康 #品格</v>
      </c>
      <c r="I43">
        <v>75</v>
      </c>
      <c r="J43">
        <v>100</v>
      </c>
      <c r="K43">
        <v>20</v>
      </c>
      <c r="L43">
        <v>0</v>
      </c>
      <c r="M43">
        <f>VLOOKUP(A43,[1]kanji_data!$A:$N,14,FALSE)</f>
        <v>0</v>
      </c>
    </row>
    <row r="44">
      <c r="A44" t="str">
        <v>両</v>
      </c>
      <c r="B44">
        <v>6</v>
      </c>
      <c r="C44" t="b">
        <v>1</v>
      </c>
      <c r="D44" t="str">
        <v>リョウ</v>
      </c>
      <c r="E44" t="str">
        <v>ふた（つ）</v>
      </c>
      <c r="F44" t="str">
        <v>ふた ふる</v>
      </c>
      <c r="G44" t="str">
        <v>二つで一つの組みになるもの。または対をなすもの。二個。双方。 重さの単位。一斤の十六分の一。 車を数えることば。＝輌 りょう。昔の貨幣の単位。</v>
      </c>
      <c r="I44">
        <v>60</v>
      </c>
      <c r="J44">
        <v>60</v>
      </c>
      <c r="K44">
        <v>60</v>
      </c>
      <c r="L44">
        <v>0</v>
      </c>
      <c r="M44">
        <f>VLOOKUP(A44,[1]kanji_data!$A:$N,14,FALSE)</f>
        <v>0</v>
      </c>
    </row>
    <row r="45">
      <c r="A45" t="str">
        <v>与</v>
      </c>
      <c r="B45">
        <v>3</v>
      </c>
      <c r="C45" t="b">
        <v>1</v>
      </c>
      <c r="D45" t="str">
        <v>ヨ</v>
      </c>
      <c r="E45" t="str">
        <v>あた（える） あずか（る） くみ（する）</v>
      </c>
      <c r="F45" t="str">
        <v>くみ ため とも のぶ よし</v>
      </c>
      <c r="G45" t="str">
        <v>あたえる。 くみする。力をあわせる。仲間になる。味方になる。 ともに。いっしょに。つれだって。 「～と」と読み、並列の意を表す。 「～と」と読み、動作の対象を示す意を表す。 「～より」と読み、比較の意を表す。 あずかる。かかわる。関係する。参加する。 「か」と読み、疑問の意を表す。 「や」と読み、反語の意を表す。 「か」「かな」と読み、詠嘆を表す。</v>
      </c>
      <c r="H45" t="str">
        <v>#慈愛 #調和</v>
      </c>
      <c r="I45">
        <v>40</v>
      </c>
      <c r="J45">
        <v>45</v>
      </c>
      <c r="K45">
        <v>70</v>
      </c>
      <c r="L45">
        <v>0</v>
      </c>
      <c r="M45">
        <f>VLOOKUP(A45,[1]kanji_data!$A:$N,14,FALSE)</f>
        <v>0</v>
      </c>
    </row>
    <row r="46">
      <c r="A46" t="str">
        <v>兆</v>
      </c>
      <c r="B46">
        <v>6</v>
      </c>
      <c r="C46" t="b">
        <v>1</v>
      </c>
      <c r="D46" t="str">
        <v>チョウ ジョウ</v>
      </c>
      <c r="E46" t="str">
        <v>きざ（し） きざ（す） うらな（い）</v>
      </c>
      <c r="F46">
        <v>0</v>
      </c>
      <c r="G46" t="str">
        <v>きざし。しるし。前ぶれ。 きざす。前ぶれがあらわれる。 うらない。うらなう。 ちょう。数の単位。億の一万倍。 はか。墓地。</v>
      </c>
      <c r="I46">
        <v>10</v>
      </c>
      <c r="J46">
        <v>50</v>
      </c>
      <c r="K46">
        <v>55</v>
      </c>
      <c r="L46">
        <v>0</v>
      </c>
      <c r="M46">
        <f>VLOOKUP(A46,[1]kanji_data!$A:$N,14,FALSE)</f>
        <v>0</v>
      </c>
    </row>
    <row r="47">
      <c r="A47" t="str">
        <v>見</v>
      </c>
      <c r="B47">
        <v>7</v>
      </c>
      <c r="C47" t="b">
        <v>1</v>
      </c>
      <c r="D47" t="str">
        <v>ケン ゲン</v>
      </c>
      <c r="E47" t="str">
        <v>み（える） み（せる） み（る） あらわ（す） あらわ（れる） まみ（える）</v>
      </c>
      <c r="F47" t="str">
        <v>あき あきら ちか まゆみ み</v>
      </c>
      <c r="G47" t="str">
        <v>みる。みえる。目でみる。目にはいる。 まみえる。人に会う。対面する。 「る」「らる」と読み、「～される」と受け身の意を表す。 あらわれる。あらわす。外に出る。表に出る。 まのあたり。目の前。また、現在。今。</v>
      </c>
      <c r="H47" t="str">
        <v>#知性</v>
      </c>
      <c r="I47">
        <v>60</v>
      </c>
      <c r="J47">
        <v>65</v>
      </c>
      <c r="K47">
        <v>55</v>
      </c>
      <c r="L47">
        <v>0</v>
      </c>
      <c r="M47">
        <f>VLOOKUP(A47,[1]kanji_data!$A:$N,14,FALSE)</f>
        <v>0</v>
      </c>
    </row>
    <row r="48">
      <c r="A48" t="str">
        <v>作</v>
      </c>
      <c r="B48">
        <v>7</v>
      </c>
      <c r="C48" t="b">
        <v>1</v>
      </c>
      <c r="D48" t="str">
        <v>サ サク</v>
      </c>
      <c r="E48" t="str">
        <v>つく（る） な（す）</v>
      </c>
      <c r="F48" t="str">
        <v>あり とも なお なり</v>
      </c>
      <c r="G48" t="str">
        <v>つくる。新たにこしらえる。 書物などを書く。 耕す。耕作する。 なす。おこなう。 なす。成し遂げる。つくり上げる。 立つ。立ち上げる。 ふるまい。うごき。はたらき。 つくられてできたもの。作品。 さく。制作したもののできばえ。</v>
      </c>
      <c r="I48">
        <v>60</v>
      </c>
      <c r="J48">
        <v>65</v>
      </c>
      <c r="K48">
        <v>55</v>
      </c>
      <c r="L48">
        <v>0</v>
      </c>
      <c r="M48">
        <f>VLOOKUP(A48,[1]kanji_data!$A:$N,14,FALSE)</f>
        <v>0</v>
      </c>
    </row>
    <row r="49">
      <c r="A49" t="str">
        <v>体</v>
      </c>
      <c r="B49">
        <v>7</v>
      </c>
      <c r="C49" t="b">
        <v>1</v>
      </c>
      <c r="D49" t="str">
        <v>タイ テイ</v>
      </c>
      <c r="E49" t="str">
        <v>からだ</v>
      </c>
      <c r="F49" t="str">
        <v>なり み みる もと</v>
      </c>
      <c r="G49" t="str">
        <v>からだ。全身。 かたち。外からみたすがた。ありさま。 身に付ける。自分のものとする。 本性。もちまえ。本体。</v>
      </c>
      <c r="I49">
        <v>20</v>
      </c>
      <c r="J49">
        <v>90</v>
      </c>
      <c r="K49">
        <v>35</v>
      </c>
      <c r="L49">
        <v>0</v>
      </c>
      <c r="M49">
        <f>VLOOKUP(A49,[1]kanji_data!$A:$N,14,FALSE)</f>
        <v>0</v>
      </c>
    </row>
    <row r="50">
      <c r="A50" t="str">
        <v>之</v>
      </c>
      <c r="B50">
        <v>3</v>
      </c>
      <c r="C50" t="b">
        <v>0</v>
      </c>
      <c r="D50" t="str">
        <v>シ</v>
      </c>
      <c r="E50" t="str">
        <v>これ こ（の） の ゆ（く）</v>
      </c>
      <c r="F50" t="str">
        <v>いたる くに つな のぶ ひさ ひで ゆき よし より</v>
      </c>
      <c r="G50" t="str">
        <v>これ。この。人や物、事を指し示す。 ゆく。おもむく。いたる。～に至る。 「～の」と読み、主語を表す。</v>
      </c>
      <c r="H50" t="str">
        <v>#心・志</v>
      </c>
      <c r="I50">
        <v>90</v>
      </c>
      <c r="J50">
        <v>55</v>
      </c>
      <c r="K50">
        <v>55</v>
      </c>
      <c r="L50">
        <v>0</v>
      </c>
      <c r="M50">
        <f>VLOOKUP(A50,[1]kanji_data!$A:$N,14,FALSE)</f>
        <v>0</v>
      </c>
    </row>
    <row r="51">
      <c r="A51" t="str">
        <v>改</v>
      </c>
      <c r="B51">
        <v>7</v>
      </c>
      <c r="C51" t="b">
        <v>1</v>
      </c>
      <c r="D51" t="str">
        <v>カイ</v>
      </c>
      <c r="E51" t="str">
        <v>あらた（まる） あらた（める）</v>
      </c>
      <c r="F51">
        <v>0</v>
      </c>
      <c r="G51" t="str">
        <v>あらためる。やめて新しくする。よくなるように直す。 あらためる。検査する。 あらたまる。きちんとした態度になる。</v>
      </c>
      <c r="H51" t="str">
        <v>#心・志</v>
      </c>
      <c r="I51">
        <v>10</v>
      </c>
      <c r="J51">
        <v>75</v>
      </c>
      <c r="K51">
        <v>50</v>
      </c>
      <c r="L51">
        <v>0</v>
      </c>
      <c r="M51">
        <f>VLOOKUP(A51,[1]kanji_data!$A:$N,14,FALSE)</f>
        <v>0</v>
      </c>
    </row>
    <row r="52">
      <c r="A52" t="str">
        <v>臣</v>
      </c>
      <c r="B52">
        <v>7</v>
      </c>
      <c r="C52" t="b">
        <v>1</v>
      </c>
      <c r="D52" t="str">
        <v>シン ジン</v>
      </c>
      <c r="E52" t="str">
        <v>おみ</v>
      </c>
      <c r="F52" t="str">
        <v>お おん きみ きん しげ たか とみ み</v>
      </c>
      <c r="G52" t="str">
        <v>おみ。家来。召使い。 家来となる。家来とする。 家来としての本分をつくす。 たみ。一般の人民。 君主に対して家来が謙遜する自称。 自分を謙遜していうことば。</v>
      </c>
      <c r="H52" t="str">
        <v>#品格</v>
      </c>
      <c r="I52">
        <v>60</v>
      </c>
      <c r="J52">
        <v>85</v>
      </c>
      <c r="K52">
        <v>40</v>
      </c>
      <c r="L52">
        <v>0</v>
      </c>
      <c r="M52">
        <f>VLOOKUP(A52,[1]kanji_data!$A:$N,14,FALSE)</f>
        <v>0</v>
      </c>
    </row>
    <row r="53">
      <c r="A53" t="str">
        <v>也</v>
      </c>
      <c r="B53">
        <v>3</v>
      </c>
      <c r="C53" t="b">
        <v>0</v>
      </c>
      <c r="D53" t="str">
        <v>ヤ</v>
      </c>
      <c r="E53" t="str">
        <v>か なり また や</v>
      </c>
      <c r="F53" t="str">
        <v>あり これ ただ</v>
      </c>
      <c r="G53" t="str">
        <v>「なり」と読み、「～である」の意。 「や」と読み、「～か」「～であろうか」の意。 「や」と読み、「～は」「～というものは」「～ということは」の意。 「～よ」と読み、呼びかけの意をあらわす。</v>
      </c>
      <c r="H53" t="str">
        <v>#心・志</v>
      </c>
      <c r="I53">
        <v>85</v>
      </c>
      <c r="J53">
        <v>55</v>
      </c>
      <c r="K53">
        <v>55</v>
      </c>
      <c r="L53">
        <v>0</v>
      </c>
      <c r="M53">
        <f>VLOOKUP(A53,[1]kanji_data!$A:$N,14,FALSE)</f>
        <v>0</v>
      </c>
    </row>
    <row r="54">
      <c r="A54" t="str">
        <v>軌</v>
      </c>
      <c r="B54">
        <v>9</v>
      </c>
      <c r="C54" t="b">
        <v>1</v>
      </c>
      <c r="D54" t="str">
        <v>キ</v>
      </c>
      <c r="E54" t="str">
        <v>わだち</v>
      </c>
      <c r="F54" t="str">
        <v>のり</v>
      </c>
      <c r="G54" t="str">
        <v>わだち。車が通った跡。車の両輪の間隔。 みち。道すじ。道路。 したがう。より従う。 のり。手本。すじみち。</v>
      </c>
      <c r="I54">
        <v>60</v>
      </c>
      <c r="J54">
        <v>70</v>
      </c>
      <c r="K54">
        <v>60</v>
      </c>
      <c r="L54">
        <v>0</v>
      </c>
      <c r="M54">
        <f>VLOOKUP(A54,[1]kanji_data!$A:$N,14,FALSE)</f>
        <v>0</v>
      </c>
    </row>
    <row r="55">
      <c r="A55" t="str">
        <v>円</v>
      </c>
      <c r="B55">
        <v>4</v>
      </c>
      <c r="C55" t="b">
        <v>1</v>
      </c>
      <c r="D55" t="str">
        <v>エン</v>
      </c>
      <c r="E55" t="str">
        <v>まる（い） つぶら（か） まど（か） まろ（やか）</v>
      </c>
      <c r="F55" t="str">
        <v>かず つぶら のぶ まど まどか まる みつ</v>
      </c>
      <c r="G55" t="str">
        <v>まる。まるい形。円形。 まるい。まどか。まろやか。角のないさま。 つぶら。つぶらか。まるいさま。まるくて可愛らしいさま。 まったし。完全な。欠けているところがない。 えん。日本の貨幣単位。 えん。そのあたり一帯。</v>
      </c>
      <c r="H55" t="str">
        <v>#幸福 #慈愛</v>
      </c>
      <c r="I55">
        <v>70</v>
      </c>
      <c r="J55">
        <v>40</v>
      </c>
      <c r="K55">
        <v>75</v>
      </c>
      <c r="L55">
        <v>0</v>
      </c>
      <c r="M55">
        <f>VLOOKUP(A55,[1]kanji_data!$A:$N,14,FALSE)</f>
        <v>0</v>
      </c>
    </row>
    <row r="56">
      <c r="A56" t="str">
        <v>王</v>
      </c>
      <c r="B56">
        <v>4</v>
      </c>
      <c r="C56" t="b">
        <v>1</v>
      </c>
      <c r="D56" t="str">
        <v>オウ</v>
      </c>
      <c r="E56" t="str">
        <v>きみ</v>
      </c>
      <c r="F56" t="str">
        <v>お き たか わ わか</v>
      </c>
      <c r="G56" t="str">
        <v>きみ。天子。君主。 徳によって天下を統治すること。また、その人。 祖父母の尊称。一親等高い者の尊称。 王になる。君臨する。統治する。 おう。天皇から三親等以下の男子の称。</v>
      </c>
      <c r="H56" t="str">
        <v>#品格 #心・志 #繁栄</v>
      </c>
      <c r="I56">
        <v>60</v>
      </c>
      <c r="J56">
        <v>70</v>
      </c>
      <c r="K56">
        <v>55</v>
      </c>
      <c r="L56">
        <v>0</v>
      </c>
      <c r="M56">
        <f>VLOOKUP(A56,[1]kanji_data!$A:$N,14,FALSE)</f>
        <v>0</v>
      </c>
    </row>
    <row r="57">
      <c r="A57" t="str">
        <v>眉</v>
      </c>
      <c r="B57">
        <v>9</v>
      </c>
      <c r="C57" t="b">
        <v>1</v>
      </c>
      <c r="D57" t="str">
        <v>ミ ビ</v>
      </c>
      <c r="E57" t="str">
        <v>まゆ としよ（り） ふち</v>
      </c>
      <c r="F57">
        <v>0</v>
      </c>
      <c r="G57" t="str">
        <v>まゆ。まゆ毛。 年寄り。老人。 もののふち。へり。</v>
      </c>
      <c r="I57">
        <v>10</v>
      </c>
      <c r="J57">
        <v>20</v>
      </c>
      <c r="K57">
        <v>100</v>
      </c>
      <c r="L57">
        <v>0</v>
      </c>
      <c r="M57">
        <f>VLOOKUP(A57,[1]kanji_data!$A:$N,14,FALSE)</f>
        <v>0</v>
      </c>
    </row>
    <row r="58">
      <c r="A58" t="str">
        <v>月</v>
      </c>
      <c r="B58">
        <v>4</v>
      </c>
      <c r="C58" t="b">
        <v>1</v>
      </c>
      <c r="D58" t="str">
        <v>ガツ ゲツ</v>
      </c>
      <c r="E58" t="str">
        <v>つき</v>
      </c>
      <c r="F58" t="str">
        <v>づき</v>
      </c>
      <c r="G58" t="str">
        <v>つき。空にみえるつき。地球の衛星。 つき。ひとつき。いっかげつ。一年を十二分したもの。 つきごとに。つきごとの。毎月。 げつ。月曜日。七曜のひとつ。</v>
      </c>
      <c r="H58" t="str">
        <v>#天空</v>
      </c>
      <c r="I58">
        <v>85</v>
      </c>
      <c r="J58">
        <v>20</v>
      </c>
      <c r="K58">
        <v>100</v>
      </c>
      <c r="L58">
        <v>0</v>
      </c>
      <c r="M58">
        <f>VLOOKUP(A58,[1]kanji_data!$A:$N,14,FALSE)</f>
        <v>0</v>
      </c>
    </row>
    <row r="59">
      <c r="A59" t="str">
        <v>犬</v>
      </c>
      <c r="B59">
        <v>4</v>
      </c>
      <c r="C59" t="b">
        <v>1</v>
      </c>
      <c r="D59" t="str">
        <v>ケン</v>
      </c>
      <c r="E59" t="str">
        <v>いぬ</v>
      </c>
      <c r="F59">
        <v>0</v>
      </c>
      <c r="G59" t="str">
        <v>いぬ。家畜の一種。イヌ科の哺乳動物。 つまらない者のたとえ。自分をへりくだっていう言葉。また、他人をいやしめていう言葉。 いぬ。スパイ。まわし者。</v>
      </c>
      <c r="H59" t="str">
        <v>#自然</v>
      </c>
      <c r="I59">
        <v>10</v>
      </c>
      <c r="J59">
        <v>60</v>
      </c>
      <c r="K59">
        <v>50</v>
      </c>
      <c r="L59">
        <v>0</v>
      </c>
      <c r="M59">
        <f>VLOOKUP(A59,[1]kanji_data!$A:$N,14,FALSE)</f>
        <v>0</v>
      </c>
    </row>
    <row r="60">
      <c r="A60" t="str">
        <v>胤</v>
      </c>
      <c r="B60">
        <v>9</v>
      </c>
      <c r="C60" t="b">
        <v>0</v>
      </c>
      <c r="D60" t="str">
        <v>イン</v>
      </c>
      <c r="E60" t="str">
        <v>たね</v>
      </c>
      <c r="F60" t="str">
        <v>かず つぎ つづき み</v>
      </c>
      <c r="G60" t="str">
        <v>つぐ。子孫が父祖のあとを継ぐ。 たね。ちすじ。血統。子孫。</v>
      </c>
      <c r="I60">
        <v>60</v>
      </c>
      <c r="J60">
        <v>55</v>
      </c>
      <c r="K60">
        <v>55</v>
      </c>
      <c r="L60">
        <v>0</v>
      </c>
      <c r="M60">
        <f>VLOOKUP(A60,[1]kanji_data!$A:$N,14,FALSE)</f>
        <v>0</v>
      </c>
    </row>
    <row r="61">
      <c r="A61" t="str">
        <v>手</v>
      </c>
      <c r="B61">
        <v>4</v>
      </c>
      <c r="C61" t="b">
        <v>1</v>
      </c>
      <c r="D61" t="str">
        <v>シュ ズ</v>
      </c>
      <c r="E61" t="str">
        <v>て た</v>
      </c>
      <c r="F61">
        <v>0</v>
      </c>
      <c r="G61" t="str">
        <v>て。手首。また、手首から先の部分。 て。肩から先の部分。 てにする。手に持つ。 てずから。自分自身で。自分の手で。 優れた技術や能力を持つ人。 て。やり方。方法。 て。向き。方向。 て。筆法。書き方。 て。人との関係。繋がり。</v>
      </c>
      <c r="H61" t="str">
        <v>#知性</v>
      </c>
      <c r="I61">
        <v>10</v>
      </c>
      <c r="J61">
        <v>90</v>
      </c>
      <c r="K61">
        <v>35</v>
      </c>
      <c r="L61">
        <v>0</v>
      </c>
      <c r="M61">
        <f>VLOOKUP(A61,[1]kanji_data!$A:$N,14,FALSE)</f>
        <v>0</v>
      </c>
    </row>
    <row r="62">
      <c r="A62" t="str">
        <v>水</v>
      </c>
      <c r="B62">
        <v>4</v>
      </c>
      <c r="C62" t="b">
        <v>1</v>
      </c>
      <c r="D62" t="str">
        <v>スイ</v>
      </c>
      <c r="E62" t="str">
        <v>みず</v>
      </c>
      <c r="F62" t="str">
        <v>たいら な み みな ゆ</v>
      </c>
      <c r="G62" t="str">
        <v>みず。透明な液体。一般に、液体。 河川。沼。湖。海。 みずをくむ。水仕事をする。 五行の一つ。方位では北。色では黒。 すい。水曜日。七曜のひとつ。 みず。邪魔。例：水をさす</v>
      </c>
      <c r="H62" t="str">
        <v>#海・水</v>
      </c>
      <c r="I62">
        <v>75</v>
      </c>
      <c r="J62">
        <v>55</v>
      </c>
      <c r="K62">
        <v>55</v>
      </c>
      <c r="L62">
        <v>0</v>
      </c>
      <c r="M62">
        <f>VLOOKUP(A62,[1]kanji_data!$A:$N,14,FALSE)</f>
        <v>0</v>
      </c>
    </row>
    <row r="63">
      <c r="A63" t="str">
        <v>中</v>
      </c>
      <c r="B63">
        <v>4</v>
      </c>
      <c r="C63" t="b">
        <v>1</v>
      </c>
      <c r="D63" t="str">
        <v>ジュウ チュウ</v>
      </c>
      <c r="E63" t="str">
        <v>なか あ（たる） あ（てる） うち</v>
      </c>
      <c r="F63">
        <v>0</v>
      </c>
      <c r="G63" t="str">
        <v>なか。うち。内側。内部。 なか。うち。まんなか。なかほど。どちらか一方にかたよらない。 なかば。なかほど。進行している途中。 あいだ。ものとものの間。 じゅう。期間や範囲の全体。 あたる。あてる。命中する。 国名「中国」の略。</v>
      </c>
      <c r="H63" t="str">
        <v>#天空</v>
      </c>
      <c r="I63">
        <v>10</v>
      </c>
      <c r="J63">
        <v>65</v>
      </c>
      <c r="K63">
        <v>55</v>
      </c>
      <c r="L63">
        <v>0</v>
      </c>
      <c r="M63">
        <f>VLOOKUP(A63,[1]kanji_data!$A:$N,14,FALSE)</f>
        <v>0</v>
      </c>
    </row>
    <row r="64">
      <c r="A64" t="str">
        <v>天</v>
      </c>
      <c r="B64">
        <v>4</v>
      </c>
      <c r="C64" t="b">
        <v>1</v>
      </c>
      <c r="D64" t="str">
        <v>テン</v>
      </c>
      <c r="E64" t="str">
        <v>あま あめ そら</v>
      </c>
      <c r="F64" t="str">
        <v>かみ たか たかし</v>
      </c>
      <c r="G64" t="str">
        <v>あま。あめ。そら。大空。 宇宙の支配者。万物の支配者。 自然。自然の道理。 生まれつき。生まれつきの。 神仏。また、神仏の住むところ。 天子。君。天命をうけた者。 気候。空模様。</v>
      </c>
      <c r="H64" t="str">
        <v>#天空</v>
      </c>
      <c r="I64">
        <v>95</v>
      </c>
      <c r="J64">
        <v>75</v>
      </c>
      <c r="K64">
        <v>45</v>
      </c>
      <c r="L64">
        <v>0</v>
      </c>
      <c r="M64">
        <f>VLOOKUP(A64,[1]kanji_data!$A:$N,14,FALSE)</f>
        <v>0</v>
      </c>
    </row>
    <row r="65">
      <c r="A65" t="str">
        <v>日</v>
      </c>
      <c r="B65">
        <v>4</v>
      </c>
      <c r="C65" t="b">
        <v>1</v>
      </c>
      <c r="D65" t="str">
        <v>ジツ ニチ</v>
      </c>
      <c r="E65" t="str">
        <v>か ひ</v>
      </c>
      <c r="F65" t="str">
        <v>あき はる ひる</v>
      </c>
      <c r="G65" t="str">
        <v>ひ。太陽。太陽の光。 ひる。ひるま。太陽のでている間。 いちにち。まるいちにち。二十四時間。 ひび。まいにち。 あるとき。ある時期。 「日本」の略。 か。日数をかぞえることば。 にち。日曜日。七曜のひとつ。</v>
      </c>
      <c r="H65" t="str">
        <v>#天空 #自然</v>
      </c>
      <c r="I65">
        <v>90</v>
      </c>
      <c r="J65">
        <v>85</v>
      </c>
      <c r="K65">
        <v>35</v>
      </c>
      <c r="L65">
        <v>0</v>
      </c>
      <c r="M65">
        <f>VLOOKUP(A65,[1]kanji_data!$A:$N,14,FALSE)</f>
        <v>0</v>
      </c>
    </row>
    <row r="66">
      <c r="A66" t="str">
        <v>木</v>
      </c>
      <c r="B66">
        <v>4</v>
      </c>
      <c r="C66" t="b">
        <v>1</v>
      </c>
      <c r="D66" t="str">
        <v>ボク モク</v>
      </c>
      <c r="E66" t="str">
        <v>き こ</v>
      </c>
      <c r="F66" t="str">
        <v>しげ</v>
      </c>
      <c r="G66" t="str">
        <v>き。たちき。 き。ざいもく。材料としてのき。 五行の一つ。方位では東。色では青。 すなお。飾り気がない。＝朴・樸 しびれる。感覚が失われる。 きで作られた楽器。八音（「金」「石」「糸」「竹」「匏」「土」「革」「木」）の一つ。 もく。木曜日。七曜のひとつ。</v>
      </c>
      <c r="H66" t="str">
        <v>#自然</v>
      </c>
      <c r="I66">
        <v>65</v>
      </c>
      <c r="J66">
        <v>50</v>
      </c>
      <c r="K66">
        <v>55</v>
      </c>
      <c r="L66">
        <v>0</v>
      </c>
      <c r="M66">
        <f>VLOOKUP(A66,[1]kanji_data!$A:$N,14,FALSE)</f>
        <v>0</v>
      </c>
    </row>
    <row r="67">
      <c r="A67" t="str">
        <v>文</v>
      </c>
      <c r="B67">
        <v>4</v>
      </c>
      <c r="C67" t="b">
        <v>1</v>
      </c>
      <c r="D67" t="str">
        <v>ブン モン</v>
      </c>
      <c r="E67" t="str">
        <v>ふみ あや かざ（る）</v>
      </c>
      <c r="F67" t="str">
        <v>あき いと とも のり ふ み や やす ゆき よし</v>
      </c>
      <c r="G67" t="str">
        <v>あや。いろどり。模様。 かざる。外見をよく見せる。 字。文字。 ふみ。文字で書いたもの。書物。手紙。 学問。芸術。教養。 もん。昔の貨幣の単位。一貫の千分の一。 もん。足袋（たび）や靴などの大きさの単位。約二・四センチメートル。 ふみ。手紙。</v>
      </c>
      <c r="H67" t="str">
        <v>#品格 #知性</v>
      </c>
      <c r="I67">
        <v>95</v>
      </c>
      <c r="J67">
        <v>55</v>
      </c>
      <c r="K67">
        <v>55</v>
      </c>
      <c r="L67">
        <v>0</v>
      </c>
      <c r="M67">
        <f>VLOOKUP(A67,[1]kanji_data!$A:$N,14,FALSE)</f>
        <v>0</v>
      </c>
    </row>
    <row r="68">
      <c r="A68" t="str">
        <v>馬</v>
      </c>
      <c r="B68">
        <v>10</v>
      </c>
      <c r="C68" t="b">
        <v>1</v>
      </c>
      <c r="D68" t="str">
        <v>バ マ メ</v>
      </c>
      <c r="E68" t="str">
        <v>うま ま</v>
      </c>
      <c r="F68" t="str">
        <v>たけし</v>
      </c>
      <c r="G68" t="str">
        <v>うま。ウマ科の哺乳動物。家畜の一種。 大きいもののたとえ。 将棋の駒「竜馬」「桂馬」のこと。</v>
      </c>
      <c r="H68" t="str">
        <v>#勇気</v>
      </c>
      <c r="I68">
        <v>60</v>
      </c>
      <c r="J68">
        <v>100</v>
      </c>
      <c r="K68">
        <v>25</v>
      </c>
      <c r="L68">
        <v>0</v>
      </c>
      <c r="M68">
        <f>VLOOKUP(A68,[1]kanji_data!$A:$N,14,FALSE)</f>
        <v>0</v>
      </c>
    </row>
    <row r="69">
      <c r="A69" t="str">
        <v>郞</v>
      </c>
      <c r="B69">
        <v>10</v>
      </c>
      <c r="C69" t="b">
        <v>0</v>
      </c>
      <c r="D69" t="str">
        <v>ロウ</v>
      </c>
      <c r="E69" t="str">
        <v>おとこ</v>
      </c>
      <c r="F69">
        <v>0</v>
      </c>
      <c r="G69" t="str">
        <v>おとこ。男子。夫。息子。若い男性をいうことば。 古代中国で用いられた官名。 春秋時代の魯の地名。 男子の名前につける。</v>
      </c>
      <c r="I69">
        <v>10</v>
      </c>
      <c r="J69">
        <v>35</v>
      </c>
      <c r="K69">
        <v>70</v>
      </c>
      <c r="L69">
        <v>0</v>
      </c>
      <c r="M69">
        <f>VLOOKUP(A69,[1]kanji_data!$A:$N,14,FALSE)</f>
        <v>0</v>
      </c>
    </row>
    <row r="70">
      <c r="A70" t="str">
        <v>五</v>
      </c>
      <c r="B70">
        <v>4</v>
      </c>
      <c r="C70" t="b">
        <v>1</v>
      </c>
      <c r="D70" t="str">
        <v>ゴ</v>
      </c>
      <c r="E70" t="str">
        <v>いつ いつ（つ）</v>
      </c>
      <c r="F70" t="str">
        <v>い いず かず ゆき</v>
      </c>
      <c r="G70" t="str">
        <v>いつ。いつつ。数の名。 いつたび。ごかい。ごど。 いつつ。昔の時刻の呼び方で午前八時（辰の刻）、または午後八時（戌の刻）のこと。</v>
      </c>
      <c r="H70" t="str">
        <v>#調和</v>
      </c>
      <c r="I70">
        <v>50</v>
      </c>
      <c r="J70">
        <v>50</v>
      </c>
      <c r="K70">
        <v>50</v>
      </c>
      <c r="L70">
        <v>0</v>
      </c>
      <c r="M70">
        <f>VLOOKUP(A70,[1]kanji_data!$A:$N,14,FALSE)</f>
        <v>0</v>
      </c>
    </row>
    <row r="71">
      <c r="A71" t="str">
        <v>代</v>
      </c>
      <c r="B71">
        <v>5</v>
      </c>
      <c r="C71" t="b">
        <v>1</v>
      </c>
      <c r="D71" t="str">
        <v>タイ ダイ</v>
      </c>
      <c r="E71" t="str">
        <v>か（える） か（わる） よ しろ</v>
      </c>
      <c r="F71" t="str">
        <v>とし のり より</v>
      </c>
      <c r="G71" t="str">
        <v>かえる。かわる。入れかわる。交代する。 よ。時代。時世。人の一生涯。 よよ。代々。何代も続いているさま。 しろ。代金。ねだん。あたい。 しろ。材料。 しろ。田地。田の一区画。</v>
      </c>
      <c r="H71" t="str">
        <v>#繁栄</v>
      </c>
      <c r="I71">
        <v>50</v>
      </c>
      <c r="J71">
        <v>55</v>
      </c>
      <c r="K71">
        <v>55</v>
      </c>
      <c r="L71">
        <v>0</v>
      </c>
      <c r="M71">
        <f>VLOOKUP(A71,[1]kanji_data!$A:$N,14,FALSE)</f>
        <v>0</v>
      </c>
    </row>
    <row r="72">
      <c r="A72" t="str">
        <v>元</v>
      </c>
      <c r="B72">
        <v>4</v>
      </c>
      <c r="C72" t="b">
        <v>1</v>
      </c>
      <c r="D72" t="str">
        <v>ガン ゲン</v>
      </c>
      <c r="E72" t="str">
        <v>もと はじ（め）</v>
      </c>
      <c r="F72" t="str">
        <v>あさ ちか はじめ はる まさ ゆき よし</v>
      </c>
      <c r="G72" t="str">
        <v>もと。根本。根源。物事のもととなるもの。 はじめ。はじまり。最初。第一。 かしら。あたま。こうべ。 かしら。おさ。 たみ。民衆。人民。 年号。例：紀元 中国の王朝の名前。 中国の貨幣の単位。</v>
      </c>
      <c r="H72" t="str">
        <v>#品格 #自然</v>
      </c>
      <c r="I72">
        <v>85</v>
      </c>
      <c r="J72">
        <v>85</v>
      </c>
      <c r="K72">
        <v>35</v>
      </c>
      <c r="L72">
        <v>0</v>
      </c>
      <c r="M72">
        <f>VLOOKUP(A72,[1]kanji_data!$A:$N,14,FALSE)</f>
        <v>0</v>
      </c>
    </row>
    <row r="73">
      <c r="A73" t="str">
        <v>戸</v>
      </c>
      <c r="B73">
        <v>4</v>
      </c>
      <c r="C73" t="b">
        <v>1</v>
      </c>
      <c r="D73" t="str">
        <v>コ</v>
      </c>
      <c r="E73" t="str">
        <v>と へ</v>
      </c>
      <c r="F73">
        <v>0</v>
      </c>
      <c r="G73" t="str">
        <v>と。とびら。家や部屋などの出入り口。 家屋。また、家屋を数えることば。 酒の量。飲める酒の程度。 へ。人名や地名に用いられる。</v>
      </c>
      <c r="H73" t="str">
        <v>#調和</v>
      </c>
      <c r="I73">
        <v>10</v>
      </c>
      <c r="J73">
        <v>35</v>
      </c>
      <c r="K73">
        <v>70</v>
      </c>
      <c r="L73">
        <v>0</v>
      </c>
      <c r="M73">
        <f>VLOOKUP(A73,[1]kanji_data!$A:$N,14,FALSE)</f>
        <v>0</v>
      </c>
    </row>
    <row r="74">
      <c r="A74" t="str">
        <v>包</v>
      </c>
      <c r="B74">
        <v>5</v>
      </c>
      <c r="C74" t="b">
        <v>1</v>
      </c>
      <c r="D74" t="str">
        <v>ホウ</v>
      </c>
      <c r="E74" t="str">
        <v>つつ（む） くる（む）</v>
      </c>
      <c r="F74" t="str">
        <v>かた かつ かぬ かね しげ</v>
      </c>
      <c r="G74" t="str">
        <v>つつむ。くるむ。 つつみ。つつむもの。 つつみ隠す。隠して外に出さない。</v>
      </c>
      <c r="H74" t="str">
        <v>#慈愛</v>
      </c>
      <c r="I74">
        <v>45</v>
      </c>
      <c r="J74">
        <v>40</v>
      </c>
      <c r="K74">
        <v>45</v>
      </c>
      <c r="L74">
        <v>0</v>
      </c>
      <c r="M74">
        <f>VLOOKUP(A74,[1]kanji_data!$A:$N,14,FALSE)</f>
        <v>0</v>
      </c>
    </row>
    <row r="75">
      <c r="A75" t="str">
        <v>公</v>
      </c>
      <c r="B75">
        <v>4</v>
      </c>
      <c r="C75" t="b">
        <v>1</v>
      </c>
      <c r="D75" t="str">
        <v>コウ ク</v>
      </c>
      <c r="E75" t="str">
        <v>おおやけ きみ</v>
      </c>
      <c r="F75" t="str">
        <v>あきら いさお きん さと たか ただ ただし とおる とも なお ひと ひろ まさ ゆき</v>
      </c>
      <c r="G75" t="str">
        <v>おおやけ。朝廷・国家・社会など。 かたよっていない。公正。公平。 明らかなこと。表むきなこと。 きみ。君主。天子。諸侯。 天子の補佐役の官名。 五等級の爵位（公・侯・伯・子・男）の一番目。 祖父・父など親族の年長者の敬称。 こう。動物や人物の名前の下につけて親しみや軽蔑を表すことば。</v>
      </c>
      <c r="H75" t="str">
        <v>#品格 #調和</v>
      </c>
      <c r="I75">
        <v>60</v>
      </c>
      <c r="J75">
        <v>85</v>
      </c>
      <c r="K75">
        <v>40</v>
      </c>
      <c r="L75">
        <v>0</v>
      </c>
      <c r="M75">
        <f>VLOOKUP(A75,[1]kanji_data!$A:$N,14,FALSE)</f>
        <v>0</v>
      </c>
    </row>
    <row r="76">
      <c r="A76" t="str">
        <v>止</v>
      </c>
      <c r="B76">
        <v>4</v>
      </c>
      <c r="C76" t="b">
        <v>1</v>
      </c>
      <c r="D76" t="str">
        <v>シ</v>
      </c>
      <c r="E76" t="str">
        <v>と（まる） と（める） さ（す） とど（まる） とど（める） や（む） や（める） よ（す）</v>
      </c>
      <c r="F76">
        <v>0</v>
      </c>
      <c r="G76" t="str">
        <v>とまる。とどまる。同じ所にじっとしている。 とめる。とどめる。ひきとめる。 とめる。とどめる。やめさせる。禁ずる。 やむ。やめる。おわる。 ふるまい。姿。様子。 ただ。それだけ。わずかに。 句末にそえて語調をととのえることば。</v>
      </c>
      <c r="H76" t="str">
        <v>#心・志</v>
      </c>
      <c r="I76">
        <v>10</v>
      </c>
      <c r="J76">
        <v>65</v>
      </c>
      <c r="K76">
        <v>55</v>
      </c>
      <c r="L76">
        <v>0</v>
      </c>
      <c r="M76">
        <f>VLOOKUP(A76,[1]kanji_data!$A:$N,14,FALSE)</f>
        <v>0</v>
      </c>
    </row>
    <row r="77">
      <c r="A77" t="str">
        <v>可</v>
      </c>
      <c r="B77">
        <v>5</v>
      </c>
      <c r="C77" t="b">
        <v>1</v>
      </c>
      <c r="D77" t="str">
        <v>カ コク</v>
      </c>
      <c r="E77" t="str">
        <v>べ（し） よ（い）</v>
      </c>
      <c r="F77" t="str">
        <v>あり とき よし より</v>
      </c>
      <c r="G77" t="str">
        <v>よい。よろしい。 きく。ききいれる。よいと許す。 「べし」と読み、「～できる」の意をあらわす。 「べし」と読み、「～してもよい」「～したほうがよい」「～すべきだ」の意を表す。 「べし」と読み、「～だろう」などの意。 「ばかり」と読み、「～ぐらい」「～ほど」の意。</v>
      </c>
      <c r="H77" t="str">
        <v>#品格 #幸福</v>
      </c>
      <c r="I77">
        <v>50</v>
      </c>
      <c r="J77">
        <v>40</v>
      </c>
      <c r="K77">
        <v>55</v>
      </c>
      <c r="L77">
        <v>0</v>
      </c>
      <c r="M77">
        <f>VLOOKUP(A77,[1]kanji_data!$A:$N,14,FALSE)</f>
        <v>0</v>
      </c>
    </row>
    <row r="78">
      <c r="A78" t="str">
        <v>心</v>
      </c>
      <c r="B78">
        <v>4</v>
      </c>
      <c r="C78" t="b">
        <v>1</v>
      </c>
      <c r="D78" t="str">
        <v>シン</v>
      </c>
      <c r="E78" t="str">
        <v>こころ うら</v>
      </c>
      <c r="F78" t="str">
        <v>きよ ここ ご さね なか まな み むね もと</v>
      </c>
      <c r="G78" t="str">
        <v>こころ。気持ち。精神。 五臓の一つ。血液を循環させる器官。心臓。 真ん中。中心。中央。 二十八宿の一つ。なかごぼし。</v>
      </c>
      <c r="H78" t="str">
        <v>#心・志</v>
      </c>
      <c r="I78">
        <v>90</v>
      </c>
      <c r="J78">
        <v>60</v>
      </c>
      <c r="K78">
        <v>55</v>
      </c>
      <c r="L78">
        <v>0</v>
      </c>
      <c r="M78">
        <f>VLOOKUP(A78,[1]kanji_data!$A:$N,14,FALSE)</f>
        <v>0</v>
      </c>
    </row>
    <row r="79">
      <c r="A79" t="str">
        <v>切</v>
      </c>
      <c r="B79">
        <v>4</v>
      </c>
      <c r="C79" t="b">
        <v>1</v>
      </c>
      <c r="D79" t="str">
        <v>セツ サイ</v>
      </c>
      <c r="E79" t="str">
        <v>き（る） き（れる）</v>
      </c>
      <c r="F79">
        <v>0</v>
      </c>
      <c r="G79" t="str">
        <v>きる。きれる。さく。 せまる。近づく。さしせまる。例：切迫 ぴったり合う。ちょうど合う。 熱心。心がこもる。 漢字二字を合わせて音を表す方法。反切。 すべて。例：一切 きれ。きれ端。断片。 きり。区切り。</v>
      </c>
      <c r="H79" t="str">
        <v>#心・志</v>
      </c>
      <c r="I79">
        <v>10</v>
      </c>
      <c r="J79">
        <v>75</v>
      </c>
      <c r="K79">
        <v>45</v>
      </c>
      <c r="L79">
        <v>0</v>
      </c>
      <c r="M79">
        <f>VLOOKUP(A79,[1]kanji_data!$A:$N,14,FALSE)</f>
        <v>0</v>
      </c>
    </row>
    <row r="80">
      <c r="A80" t="str">
        <v>太</v>
      </c>
      <c r="B80">
        <v>4</v>
      </c>
      <c r="C80" t="b">
        <v>1</v>
      </c>
      <c r="D80" t="str">
        <v>タ タイ ダイ</v>
      </c>
      <c r="E80" t="str">
        <v>ふと（い） ふと（る） はなは（だ）</v>
      </c>
      <c r="F80" t="str">
        <v>うず おお たか と ひろ ふと ふとし もと</v>
      </c>
      <c r="G80" t="str">
        <v>はなはだ。非常に。ひどく。 年長者や身分の高い人に対する敬称。 ふとい。ふとっている。肥えている。 ふとい。ふてぶてしい。ずぶとい。大胆。 ふとる。肥える。</v>
      </c>
      <c r="H80" t="str">
        <v>#健康 #繁栄</v>
      </c>
      <c r="I80">
        <v>98</v>
      </c>
      <c r="J80">
        <v>100</v>
      </c>
      <c r="K80">
        <v>20</v>
      </c>
      <c r="L80">
        <v>0</v>
      </c>
      <c r="M80">
        <f>VLOOKUP(A80,[1]kanji_data!$A:$N,14,FALSE)</f>
        <v>0</v>
      </c>
    </row>
    <row r="81">
      <c r="A81" t="str">
        <v>内</v>
      </c>
      <c r="B81">
        <v>4</v>
      </c>
      <c r="C81" t="b">
        <v>1</v>
      </c>
      <c r="D81" t="str">
        <v>ナイ ダイ ドウ ノウ</v>
      </c>
      <c r="E81" t="str">
        <v>うち い（る） い（れる）</v>
      </c>
      <c r="F81">
        <v>0</v>
      </c>
      <c r="G81" t="str">
        <v>うち。ある範囲のうち側。内部。 うち。期間のあいだ。 うち。宮中。 うち。家庭の中。妻。身内。 いる。入れる。入る。 うちうち。ひそかに。 したしむ。大切にする。重んじる。 入れる。中に入れる。納める。</v>
      </c>
      <c r="H81" t="str">
        <v>#心・志 #慈愛 #調和</v>
      </c>
      <c r="I81">
        <v>10</v>
      </c>
      <c r="J81">
        <v>65</v>
      </c>
      <c r="K81">
        <v>55</v>
      </c>
      <c r="L81">
        <v>0</v>
      </c>
      <c r="M81">
        <f>VLOOKUP(A81,[1]kanji_data!$A:$N,14,FALSE)</f>
        <v>0</v>
      </c>
    </row>
    <row r="82">
      <c r="A82" t="str">
        <v>父</v>
      </c>
      <c r="B82">
        <v>4</v>
      </c>
      <c r="C82" t="b">
        <v>1</v>
      </c>
      <c r="D82" t="str">
        <v>フ ブ ホ</v>
      </c>
      <c r="E82" t="str">
        <v>ちち</v>
      </c>
      <c r="F82">
        <v>0</v>
      </c>
      <c r="G82" t="str">
        <v>ちち。ちちおや。男親。 じじ。親族の男性の中で年長者。 老年の男性に対する敬称。年寄り。</v>
      </c>
      <c r="H82" t="str">
        <v>#調和</v>
      </c>
      <c r="I82">
        <v>10</v>
      </c>
      <c r="J82">
        <v>35</v>
      </c>
      <c r="K82">
        <v>70</v>
      </c>
      <c r="L82">
        <v>0</v>
      </c>
      <c r="M82">
        <f>VLOOKUP(A82,[1]kanji_data!$A:$N,14,FALSE)</f>
        <v>0</v>
      </c>
    </row>
    <row r="83">
      <c r="A83" t="str">
        <v>分</v>
      </c>
      <c r="B83">
        <v>4</v>
      </c>
      <c r="C83" t="b">
        <v>1</v>
      </c>
      <c r="D83" t="str">
        <v>ブ フン ブン</v>
      </c>
      <c r="E83" t="str">
        <v>わ（かつ） わ（かる） わ（かれる） わ（ける）</v>
      </c>
      <c r="F83" t="str">
        <v>くまり ちか わか</v>
      </c>
      <c r="G83" t="str">
        <v>わかつ。わける。区別する。ばらばらにする。 わかれる。ばらばらになる。いくつかにわける。 わける。わけあう。配る。例：分配 みわける。明らかにする。 長さ・面積・時間などの単位。 もちまえ。性質。例：本分 さだめ。おきて。きまり。 身のほど。身分。 わかる。理解する。了解する。</v>
      </c>
      <c r="H83" t="str">
        <v>#知性</v>
      </c>
      <c r="I83">
        <v>30</v>
      </c>
      <c r="J83">
        <v>65</v>
      </c>
      <c r="K83">
        <v>55</v>
      </c>
      <c r="L83">
        <v>0</v>
      </c>
      <c r="M83">
        <f>VLOOKUP(A83,[1]kanji_data!$A:$N,14,FALSE)</f>
        <v>0</v>
      </c>
    </row>
    <row r="84">
      <c r="A84" t="str">
        <v>方</v>
      </c>
      <c r="B84">
        <v>4</v>
      </c>
      <c r="C84" t="b">
        <v>1</v>
      </c>
      <c r="D84" t="str">
        <v>ホウ</v>
      </c>
      <c r="E84" t="str">
        <v>かた かく ただ（しい） まさ（に）</v>
      </c>
      <c r="F84">
        <v>0</v>
      </c>
      <c r="G84" t="str">
        <v>かた。むき。方位。方向。方角。 行き先。向かう場所。 いなか。地方。ある一定の地域。 四角。四角形。方形。 ただしい。正直である。また、きちんとしている。 ならべる。ならぶ。 くらべる。比較する。 やりかた。手段。技術。 同じ数を掛け合わせる。二乗。自乗。 「まさに」と読み、「ちょうど今」「まさしく」などの意を表す。 「はじめて」と読み、「やっと」「ようやく」などの意を表す。 さまよう。あてもなくぶらぶらと歩きまわる。＝彷 かた。他人を呼ぶ敬称。 かた。係。担当する人。 かた。ころ。例：夕方 朝方</v>
      </c>
      <c r="H84" t="str">
        <v>#品格 #天空 #心・志 #知性</v>
      </c>
      <c r="I84">
        <v>10</v>
      </c>
      <c r="J84">
        <v>65</v>
      </c>
      <c r="K84">
        <v>55</v>
      </c>
      <c r="L84">
        <v>0</v>
      </c>
      <c r="M84">
        <f>VLOOKUP(A84,[1]kanji_data!$A:$N,14,FALSE)</f>
        <v>0</v>
      </c>
    </row>
    <row r="85">
      <c r="A85" t="str">
        <v>毛</v>
      </c>
      <c r="B85">
        <v>4</v>
      </c>
      <c r="C85" t="b">
        <v>1</v>
      </c>
      <c r="D85" t="str">
        <v>モウ ボウ</v>
      </c>
      <c r="E85" t="str">
        <v>け</v>
      </c>
      <c r="F85" t="str">
        <v>あつ</v>
      </c>
      <c r="G85" t="str">
        <v>け。人や動物など、生物の表皮に生える、け。 ごく小さく、わずかなもののたとえ。 草木が生ずること。作物が実る。 もう。割合の単位。厘の十分の一。 長さ・重さ・貨幣の単位。</v>
      </c>
      <c r="H85" t="str">
        <v>#自然</v>
      </c>
      <c r="I85">
        <v>15</v>
      </c>
      <c r="J85">
        <v>50</v>
      </c>
      <c r="K85">
        <v>50</v>
      </c>
      <c r="L85">
        <v>1</v>
      </c>
    </row>
    <row r="86">
      <c r="A86" t="str">
        <v>友</v>
      </c>
      <c r="B86">
        <v>4</v>
      </c>
      <c r="C86" t="b">
        <v>1</v>
      </c>
      <c r="D86" t="str">
        <v>ユウ ウ</v>
      </c>
      <c r="E86" t="str">
        <v>とも</v>
      </c>
      <c r="F86" t="str">
        <v>すけ ゆ</v>
      </c>
      <c r="G86" t="str">
        <v>とも。ともだち。仲間。 ともとする。親しくする。付き合う。仲良くする。 仲が良いさま。味方であるさま。助け合うさま。</v>
      </c>
      <c r="H86" t="str">
        <v>#慈愛 #調和</v>
      </c>
      <c r="I86">
        <v>95</v>
      </c>
      <c r="J86">
        <v>60</v>
      </c>
      <c r="K86">
        <v>60</v>
      </c>
      <c r="L86">
        <v>0</v>
      </c>
      <c r="M86">
        <f>VLOOKUP(A86,[1]kanji_data!$A:$N,14,FALSE)</f>
        <v>0</v>
      </c>
    </row>
    <row r="87">
      <c r="A87" t="str">
        <v>如</v>
      </c>
      <c r="B87">
        <v>6</v>
      </c>
      <c r="C87" t="b">
        <v>1</v>
      </c>
      <c r="D87" t="str">
        <v>ジョ ニョ</v>
      </c>
      <c r="E87" t="str">
        <v>ごと（し） し（く） も（し） ゆ（く）</v>
      </c>
      <c r="F87" t="str">
        <v>いく なお もと ゆき よし</v>
      </c>
      <c r="G87" t="str">
        <v>「ごとし」と読み、「～のようだ」「～のようである」の意を表す。 「しく」と読み、「およぶ」の意を表す。「不如」の形で「しかず」と読み、「およばない」「かなわない」の意を表す。 「もし」と読み、仮定条件の意を表す。 ゆく。いく。おもむく。</v>
      </c>
      <c r="I87">
        <v>50</v>
      </c>
      <c r="J87">
        <v>50</v>
      </c>
      <c r="K87">
        <v>60</v>
      </c>
      <c r="L87">
        <v>0</v>
      </c>
      <c r="M87">
        <f>VLOOKUP(A87,[1]kanji_data!$A:$N,14,FALSE)</f>
        <v>0</v>
      </c>
    </row>
    <row r="88">
      <c r="A88" t="str">
        <v>化</v>
      </c>
      <c r="B88">
        <v>4</v>
      </c>
      <c r="C88" t="b">
        <v>1</v>
      </c>
      <c r="D88" t="str">
        <v>カ ケ</v>
      </c>
      <c r="E88" t="str">
        <v>ば（かす） ば（ける） か（える） か（わる）</v>
      </c>
      <c r="F88" t="str">
        <v>のり</v>
      </c>
      <c r="G88" t="str">
        <v>ばかす。ばける。姿をかえる。 かえる。かわる。今とは違う形・状態になる。新しいものになる。 人を教え導いて心や考えをかえる。 天地自然が万物をつくる働き。 手品。魔術。</v>
      </c>
      <c r="H88" t="str">
        <v>#知性 #繁栄 #自然</v>
      </c>
      <c r="I88">
        <v>5</v>
      </c>
      <c r="J88">
        <v>85</v>
      </c>
      <c r="K88">
        <v>30</v>
      </c>
      <c r="L88">
        <v>1</v>
      </c>
    </row>
    <row r="89">
      <c r="A89" t="str">
        <v>反</v>
      </c>
      <c r="B89">
        <v>4</v>
      </c>
      <c r="C89" t="b">
        <v>1</v>
      </c>
      <c r="D89" t="str">
        <v>ハン タン ホン</v>
      </c>
      <c r="E89" t="str">
        <v>そ（らす） そ（る） かえ（す） かえ（る） そむ（く）</v>
      </c>
      <c r="F89">
        <v>0</v>
      </c>
      <c r="G89" t="str">
        <v>かえす。かえる。裏がえす。逆にする。 かえす。かえる。元にもどす。元にかえる。 かえりみる。振り返って考える。 かえって。逆に。 そむく。逆らう。 漢字二字を合わせて音を表す方法。反切。 そらす。そる。体や物などが弓なりに曲がる。 たん。田の面積の単位。十畝。 たん。布地の長さの単位。鯨尺で二丈八尺。</v>
      </c>
      <c r="H89" t="str">
        <v>#心・志</v>
      </c>
      <c r="I89">
        <v>10</v>
      </c>
      <c r="J89">
        <v>50</v>
      </c>
      <c r="K89">
        <v>50</v>
      </c>
      <c r="L89">
        <v>1</v>
      </c>
    </row>
    <row r="90">
      <c r="A90" t="str">
        <v>予</v>
      </c>
      <c r="B90">
        <v>4</v>
      </c>
      <c r="C90" t="b">
        <v>1</v>
      </c>
      <c r="D90" t="str">
        <v>ヨ</v>
      </c>
      <c r="E90" t="str">
        <v>あらかじ（め） かね（て） あた（える） ゆる（す） われ</v>
      </c>
      <c r="F90" t="str">
        <v>かね やす やすし</v>
      </c>
      <c r="G90" t="str">
        <v>あらかじめ。かねて。前もって。 ためらう。ぐずぐずする。 よろこぶ。楽しむ。 あたえる。さずける。 われ。自分。＝余</v>
      </c>
      <c r="H90" t="str">
        <v>#希望 #伝統</v>
      </c>
      <c r="I90">
        <v>50</v>
      </c>
      <c r="J90">
        <v>50</v>
      </c>
      <c r="K90">
        <v>55</v>
      </c>
      <c r="L90">
        <v>0</v>
      </c>
      <c r="M90">
        <f>VLOOKUP(A90,[1]kanji_data!$A:$N,14,FALSE)</f>
        <v>0</v>
      </c>
    </row>
    <row r="91">
      <c r="A91" t="str">
        <v>欠</v>
      </c>
      <c r="B91">
        <v>4</v>
      </c>
      <c r="C91" t="b">
        <v>1</v>
      </c>
      <c r="D91" t="str">
        <v>ケツ ケン</v>
      </c>
      <c r="E91" t="str">
        <v>か（く） か（ける） あくび</v>
      </c>
      <c r="F91">
        <v>0</v>
      </c>
      <c r="G91" t="str">
        <v>かく。かける。足りない。不十分。かけている。 かけ。傷。 かけ。不足や不備。 かけ。官職や地位などの空き。 あくび。口を大きくあけて息を吸う。欠伸はあくびとせのびの意。 かける。たりない。不足する。 かり。未払い。借金。</v>
      </c>
      <c r="H91" t="str">
        <v>#天空</v>
      </c>
      <c r="I91">
        <v>10</v>
      </c>
      <c r="J91">
        <v>50</v>
      </c>
      <c r="K91">
        <v>50</v>
      </c>
      <c r="L91">
        <v>1</v>
      </c>
    </row>
    <row r="92">
      <c r="A92" t="str">
        <v>氏</v>
      </c>
      <c r="B92">
        <v>4</v>
      </c>
      <c r="C92" t="b">
        <v>1</v>
      </c>
      <c r="D92" t="str">
        <v>シ</v>
      </c>
      <c r="E92" t="str">
        <v>うじ</v>
      </c>
      <c r="F92">
        <v>0</v>
      </c>
      <c r="G92" t="str">
        <v>うじ。みょうじ。同じ血族である集団。 人の姓につけることば。主に男性に対して用いる。 うじ。家の名の下につけ、家柄を表す名称。</v>
      </c>
      <c r="H92" t="str">
        <v>#品格</v>
      </c>
      <c r="I92">
        <v>10</v>
      </c>
      <c r="J92">
        <v>50</v>
      </c>
      <c r="K92">
        <v>50</v>
      </c>
      <c r="L92">
        <v>1</v>
      </c>
    </row>
    <row r="93">
      <c r="A93" t="str">
        <v>固</v>
      </c>
      <c r="B93">
        <v>8</v>
      </c>
      <c r="C93" t="b">
        <v>1</v>
      </c>
      <c r="D93" t="str">
        <v>コ</v>
      </c>
      <c r="E93" t="str">
        <v>かた（い） かた（まる） かた（める） もと（より）</v>
      </c>
      <c r="F93">
        <v>0</v>
      </c>
      <c r="G93" t="str">
        <v>かたい。かたまる。かためる。しっかりしている。安定している。 もとより。もともと。本来。言うまでもなく。 かたくな。ゆるぎない。</v>
      </c>
      <c r="I93">
        <v>10</v>
      </c>
      <c r="J93">
        <v>90</v>
      </c>
      <c r="K93">
        <v>35</v>
      </c>
      <c r="L93">
        <v>0</v>
      </c>
      <c r="M93">
        <f>VLOOKUP(A93,[1]kanji_data!$A:$N,14,FALSE)</f>
        <v>0</v>
      </c>
    </row>
    <row r="94">
      <c r="A94" t="str">
        <v>夫</v>
      </c>
      <c r="B94">
        <v>4</v>
      </c>
      <c r="C94" t="b">
        <v>1</v>
      </c>
      <c r="D94" t="str">
        <v>フ フウ ブ</v>
      </c>
      <c r="E94" t="str">
        <v>おっと おとこ それ</v>
      </c>
      <c r="F94" t="str">
        <v>あき お すけ</v>
      </c>
      <c r="G94" t="str">
        <v>おっと。妻の配偶者。結婚をしている男性。 おとこ。成人の男性。 （肉体的な）労働に従事する男性。 「それ」と読み、「そもそも」「いったい」「さて」などの意を表す。 「かの」と読み、「あの」「その」などの意を表す。 「かな」と読み、文末に置いて「～だなあ」「～であるなあ」の意を表す。</v>
      </c>
      <c r="H94" t="str">
        <v>#調和</v>
      </c>
      <c r="I94">
        <v>60</v>
      </c>
      <c r="J94">
        <v>35</v>
      </c>
      <c r="K94">
        <v>70</v>
      </c>
      <c r="L94">
        <v>0</v>
      </c>
      <c r="M94">
        <f>VLOOKUP(A94,[1]kanji_data!$A:$N,14,FALSE)</f>
        <v>0</v>
      </c>
    </row>
    <row r="95">
      <c r="A95" t="str">
        <v>支</v>
      </c>
      <c r="B95">
        <v>4</v>
      </c>
      <c r="C95" t="b">
        <v>1</v>
      </c>
      <c r="D95" t="str">
        <v>シ</v>
      </c>
      <c r="E95" t="str">
        <v>ささ（える） か（う） つか（える）</v>
      </c>
      <c r="F95">
        <v>0</v>
      </c>
      <c r="G95" t="str">
        <v>ささえる。もちこたえる。ふみこたえる。 わかれる。はなれる。枝分かれする。 えだ。木のえだ＝枝  てあし。人間や動物の手足。＝肢 はらう。しはらう。また、わけ与える。 「十二支」のこと。 つかえる。ふさがる。 つかえる。さしつかえる。</v>
      </c>
      <c r="H95" t="str">
        <v>#勇気 #自然 #調和</v>
      </c>
      <c r="I95">
        <v>10</v>
      </c>
      <c r="J95">
        <v>35</v>
      </c>
      <c r="K95">
        <v>70</v>
      </c>
      <c r="L95">
        <v>0</v>
      </c>
    </row>
    <row r="96">
      <c r="A96" t="str">
        <v>比</v>
      </c>
      <c r="B96">
        <v>4</v>
      </c>
      <c r="C96" t="b">
        <v>1</v>
      </c>
      <c r="D96" t="str">
        <v>ヒ ビ</v>
      </c>
      <c r="E96" t="str">
        <v>くら（べる） ころ たぐい なら（ぶ）</v>
      </c>
      <c r="F96" t="str">
        <v>い これ たすく とも なみ ひさ</v>
      </c>
      <c r="G96" t="str">
        <v>くらべる。並べて違いを見つける。優劣を考える。例：比較 ならう。たとえる。まねする。なぞらえる。 仲間。同類。ともがら。たぐい。 ためし。決まり。先例。 割合。例：比率 「詩経」の六義（りくぎ）の一つ。 ならぶ。ならべる。となりあう。同列に並べる。 親しむ。近づく。親しみあう。 くみする。えこひいきする。 ころ。ころおい。 合う。合わせる。 ころ。ころおい。このごろ。 易（エキ）の六十四卦の一つ。 国名「比律賓（フィリピン）」の略。</v>
      </c>
      <c r="H96" t="str">
        <v>#調和</v>
      </c>
      <c r="I96">
        <v>40</v>
      </c>
      <c r="J96">
        <v>40</v>
      </c>
      <c r="K96">
        <v>75</v>
      </c>
      <c r="L96">
        <v>0</v>
      </c>
      <c r="M96">
        <f>VLOOKUP(A96,[1]kanji_data!$A:$N,14,FALSE)</f>
        <v>0</v>
      </c>
    </row>
    <row r="97">
      <c r="A97" t="str">
        <v>仏</v>
      </c>
      <c r="B97">
        <v>4</v>
      </c>
      <c r="C97" t="b">
        <v>1</v>
      </c>
      <c r="D97" t="str">
        <v>ブツ フツ</v>
      </c>
      <c r="E97" t="str">
        <v>ほとけ</v>
      </c>
      <c r="F97">
        <v>0</v>
      </c>
      <c r="G97" t="str">
        <v>ほとけ。悟りを開いた者。 仏教。また、仏教徒。 国名「仏蘭西（フランス）」の略。</v>
      </c>
      <c r="H97" t="str">
        <v>#知性</v>
      </c>
      <c r="I97">
        <v>10</v>
      </c>
      <c r="J97">
        <v>55</v>
      </c>
      <c r="K97">
        <v>55</v>
      </c>
      <c r="L97">
        <v>1</v>
      </c>
    </row>
    <row r="98">
      <c r="A98" t="str">
        <v>津</v>
      </c>
      <c r="B98">
        <v>9</v>
      </c>
      <c r="C98" t="b">
        <v>1</v>
      </c>
      <c r="D98" t="str">
        <v>シン</v>
      </c>
      <c r="E98" t="str">
        <v>つ しる</v>
      </c>
      <c r="F98" t="str">
        <v>す ず づ</v>
      </c>
      <c r="G98" t="str">
        <v>つ。みなと。渡し場。船着場。 水がしみ出る。わき出る。あふれる。うるおう。 しる。つば・あせ・涙などの体液。 つて。手がかり。手だて。手引き。</v>
      </c>
      <c r="H98" t="str">
        <v>#海・水</v>
      </c>
      <c r="I98">
        <v>50</v>
      </c>
      <c r="J98">
        <v>90</v>
      </c>
      <c r="K98">
        <v>35</v>
      </c>
      <c r="L98">
        <v>0</v>
      </c>
      <c r="M98">
        <f>VLOOKUP(A98,[1]kanji_data!$A:$N,14,FALSE)</f>
        <v>0</v>
      </c>
    </row>
    <row r="99">
      <c r="A99" t="str">
        <v>収</v>
      </c>
      <c r="B99">
        <v>4</v>
      </c>
      <c r="C99" t="b">
        <v>1</v>
      </c>
      <c r="D99" t="str">
        <v>シュウ</v>
      </c>
      <c r="E99" t="str">
        <v>おさ（まる） おさ（める）</v>
      </c>
      <c r="F99" t="str">
        <v>おさむ かず さね すすむ なお なか のぶ もと もり もろ</v>
      </c>
      <c r="G99" t="str">
        <v>おさまる。ちぢむ。ちぢまる。まとまる。 おさめる。一ヶ所にまとめる。一つにまとめる。 おさめる。手に入れる。受け入れる。中に入れる。 おさめる。（国などが）取り上げる。</v>
      </c>
      <c r="H99" t="str">
        <v>#繁栄</v>
      </c>
      <c r="I99">
        <v>5</v>
      </c>
      <c r="J99">
        <v>65</v>
      </c>
      <c r="K99">
        <v>45</v>
      </c>
      <c r="L99">
        <v>0</v>
      </c>
      <c r="M99">
        <f>VLOOKUP(A99,[1]kanji_data!$A:$N,14,FALSE)</f>
        <v>0</v>
      </c>
    </row>
    <row r="100">
      <c r="A100" t="str">
        <v>仁</v>
      </c>
      <c r="B100">
        <v>4</v>
      </c>
      <c r="C100" t="b">
        <v>1</v>
      </c>
      <c r="D100" t="str">
        <v>ジン ニ ニン</v>
      </c>
      <c r="E100">
        <v>0</v>
      </c>
      <c r="F100" t="str">
        <v>きみ さと と のぶ ひさし ひと ひとし ひろし まさ み めぐみ やすし よし</v>
      </c>
      <c r="G100" t="str">
        <v>いつくしみ。おもいやり。したしみ。 ひと。＝人 人の心。人道。 さね。果実の種。</v>
      </c>
      <c r="H100" t="str">
        <v>#品格 #慈愛</v>
      </c>
      <c r="I100">
        <v>100</v>
      </c>
      <c r="J100">
        <v>45</v>
      </c>
      <c r="K100">
        <v>70</v>
      </c>
      <c r="L100">
        <v>0</v>
      </c>
      <c r="M100">
        <f>VLOOKUP(A100,[1]kanji_data!$A:$N,14,FALSE)</f>
        <v>0</v>
      </c>
    </row>
    <row r="101">
      <c r="A101" t="str">
        <v>介</v>
      </c>
      <c r="B101">
        <v>4</v>
      </c>
      <c r="C101" t="b">
        <v>1</v>
      </c>
      <c r="D101" t="str">
        <v>カイ</v>
      </c>
      <c r="E101" t="str">
        <v>すけ たす（ける）</v>
      </c>
      <c r="F101" t="str">
        <v>あき かたし たすく ゆき よし</v>
      </c>
      <c r="G101" t="str">
        <v>たすける。 はさまる。間にはいる。仲立ちする。 へだてる。わける。 よろい。よろいを身につける。 ひとり。孤立する。 大きい。大きくする。 際。ほとり。 甲羅。または、甲羅のある動物。 すけ。四等官で、国司の第二位。</v>
      </c>
      <c r="H101" t="str">
        <v>#天空 #慈愛</v>
      </c>
      <c r="I101">
        <v>80</v>
      </c>
      <c r="J101">
        <v>85</v>
      </c>
      <c r="K101">
        <v>35</v>
      </c>
      <c r="L101">
        <v>0</v>
      </c>
      <c r="M101">
        <f>VLOOKUP(A101,[1]kanji_data!$A:$N,14,FALSE)</f>
        <v>0</v>
      </c>
    </row>
    <row r="102">
      <c r="A102" t="str">
        <v>柑</v>
      </c>
      <c r="B102">
        <v>9</v>
      </c>
      <c r="C102" t="b">
        <v>0</v>
      </c>
      <c r="D102" t="str">
        <v>カン</v>
      </c>
      <c r="E102" t="str">
        <v>こうじ みかん</v>
      </c>
      <c r="F102">
        <v>0</v>
      </c>
      <c r="G102" t="str">
        <v>こうじ。みかんの一種。ミカン科の小高木。</v>
      </c>
      <c r="H102" t="str">
        <v>#自然</v>
      </c>
      <c r="I102">
        <v>10</v>
      </c>
      <c r="J102">
        <v>50</v>
      </c>
      <c r="K102">
        <v>50</v>
      </c>
      <c r="L102">
        <v>0</v>
      </c>
      <c r="M102">
        <f>VLOOKUP(A102,[1]kanji_data!$A:$N,14,FALSE)</f>
        <v>0</v>
      </c>
    </row>
    <row r="103">
      <c r="A103" t="str">
        <v>庸</v>
      </c>
      <c r="B103">
        <v>11</v>
      </c>
      <c r="C103" t="b">
        <v>1</v>
      </c>
      <c r="D103" t="str">
        <v>ヨウ</v>
      </c>
      <c r="E103" t="str">
        <v>おろ（か） つね なん（ぞ） もち（いる）</v>
      </c>
      <c r="F103" t="str">
        <v>のぶ のり やす</v>
      </c>
      <c r="G103" t="str">
        <v>もちいる。採用する。利用する。 雇う。雇い人。＝傭 つね。なみ。普通。 おろか。平凡。 唐代の税法「租・庸・調」の一つ。一定期間、公の労役を行う、またはそのかわりに絹などを納めるもの。 「なんぞ」「いずくんぞ」「あに」と読み、「どうして～であろうか（いやそんなことはない）」と反語の意を表す。</v>
      </c>
      <c r="H103" t="str">
        <v>#調和</v>
      </c>
      <c r="I103">
        <v>50</v>
      </c>
      <c r="J103">
        <v>50</v>
      </c>
      <c r="K103">
        <v>50</v>
      </c>
      <c r="L103">
        <v>0</v>
      </c>
      <c r="M103">
        <f>VLOOKUP(A103,[1]kanji_data!$A:$N,14,FALSE)</f>
        <v>0</v>
      </c>
    </row>
    <row r="104">
      <c r="A104" t="str">
        <v>互</v>
      </c>
      <c r="B104">
        <v>4</v>
      </c>
      <c r="C104" t="b">
        <v>1</v>
      </c>
      <c r="D104" t="str">
        <v>ゴ</v>
      </c>
      <c r="E104" t="str">
        <v>たが（い） かたみ（に）</v>
      </c>
      <c r="F104">
        <v>0</v>
      </c>
      <c r="G104" t="str">
        <v>たがい。たがいに。 かたみ。かたみに。かわるがわる。 入りまじる。くいちがい入り乱れる。 いけにえの獣肉をさげる棚。</v>
      </c>
      <c r="H104" t="str">
        <v>#調和</v>
      </c>
      <c r="I104">
        <v>10</v>
      </c>
      <c r="J104">
        <v>40</v>
      </c>
      <c r="K104">
        <v>75</v>
      </c>
      <c r="L104">
        <v>0</v>
      </c>
      <c r="M104">
        <f>VLOOKUP(A104,[1]kanji_data!$A:$N,14,FALSE)</f>
        <v>0</v>
      </c>
    </row>
    <row r="105">
      <c r="A105" t="str">
        <v>禅</v>
      </c>
      <c r="B105">
        <v>13</v>
      </c>
      <c r="C105" t="b">
        <v>1</v>
      </c>
      <c r="D105" t="str">
        <v>ゼン セン</v>
      </c>
      <c r="E105" t="str">
        <v>ゆず（る）</v>
      </c>
      <c r="F105" t="str">
        <v>さと さとる しず しずか よし</v>
      </c>
      <c r="G105" t="str">
        <v>ゆずる。天子が位をゆずる。 天子が行う祭り。地をまつった儀式。 梵語の音訳に用いる字。</v>
      </c>
      <c r="H105" t="str">
        <v>#品格</v>
      </c>
      <c r="I105">
        <v>50</v>
      </c>
      <c r="J105">
        <v>45</v>
      </c>
      <c r="K105">
        <v>70</v>
      </c>
      <c r="L105">
        <v>0</v>
      </c>
      <c r="M105">
        <f>VLOOKUP(A105,[1]kanji_data!$A:$N,14,FALSE)</f>
        <v>0</v>
      </c>
    </row>
    <row r="106">
      <c r="A106" t="str">
        <v>丹</v>
      </c>
      <c r="B106">
        <v>4</v>
      </c>
      <c r="C106" t="b">
        <v>1</v>
      </c>
      <c r="D106" t="str">
        <v>タン</v>
      </c>
      <c r="E106" t="str">
        <v>あか に まごころ</v>
      </c>
      <c r="F106" t="str">
        <v>あきら まこと</v>
      </c>
      <c r="G106" t="str">
        <v>あか。赤い色。 に。赤い色をした鉱物。 まごころ。精気。</v>
      </c>
      <c r="H106" t="str">
        <v>#心・志</v>
      </c>
      <c r="I106">
        <v>80</v>
      </c>
      <c r="J106">
        <v>30</v>
      </c>
      <c r="K106">
        <v>95</v>
      </c>
      <c r="L106">
        <v>0</v>
      </c>
      <c r="M106">
        <f>VLOOKUP(A106,[1]kanji_data!$A:$N,14,FALSE)</f>
        <v>0</v>
      </c>
    </row>
    <row r="107">
      <c r="A107" t="str">
        <v>匹</v>
      </c>
      <c r="B107">
        <v>4</v>
      </c>
      <c r="C107" t="b">
        <v>1</v>
      </c>
      <c r="D107" t="str">
        <v>ヒツ ヒキ</v>
      </c>
      <c r="E107" t="str">
        <v>ひき たぐ（う）</v>
      </c>
      <c r="F107">
        <v>0</v>
      </c>
      <c r="G107" t="str">
        <v>たぐう。並ぶ。つれあう。 たぐい。対になる相手。二つで一組のもの。 たぐい。仲間。同類。 牛や馬などを数えることば。 布地の長さの単位。一匹は四丈。 ひき。動物を数えることば。 ひき。布地を数えることば。一匹は二反。 ひき。昔の金銭の単位。一匹は十文、また後には二十五文。</v>
      </c>
      <c r="H107" t="str">
        <v>#調和</v>
      </c>
      <c r="I107">
        <v>10</v>
      </c>
      <c r="J107">
        <v>50</v>
      </c>
      <c r="K107">
        <v>50</v>
      </c>
      <c r="L107">
        <v>1</v>
      </c>
    </row>
    <row r="108">
      <c r="A108" t="str">
        <v>閣</v>
      </c>
      <c r="B108">
        <v>14</v>
      </c>
      <c r="C108" t="b">
        <v>1</v>
      </c>
      <c r="D108" t="str">
        <v>カク</v>
      </c>
      <c r="E108" t="str">
        <v>たかどの たな</v>
      </c>
      <c r="F108" t="str">
        <v>はる</v>
      </c>
      <c r="G108" t="str">
        <v>たかどの。高い建物。御殿や高い蔵。また、役所。官庁。 開いた門の扉を止めるくい。また、閉じた門の扉を止めるかんぬき。 かけはし。かけ渡した橋。また、かけ渡した廊下。 たな。物をしまう棚。 行政の最高機関である「内閣」の略。</v>
      </c>
      <c r="I108">
        <v>50</v>
      </c>
      <c r="J108">
        <v>50</v>
      </c>
      <c r="K108">
        <v>70</v>
      </c>
      <c r="L108">
        <v>0</v>
      </c>
      <c r="M108">
        <f>VLOOKUP(A108,[1]kanji_data!$A:$N,14,FALSE)</f>
        <v>0</v>
      </c>
    </row>
    <row r="109">
      <c r="A109" t="str">
        <v>樫</v>
      </c>
      <c r="B109">
        <v>16</v>
      </c>
      <c r="C109" t="b">
        <v>0</v>
      </c>
      <c r="D109">
        <v>0</v>
      </c>
      <c r="E109" t="str">
        <v>かし</v>
      </c>
      <c r="F109">
        <v>0</v>
      </c>
      <c r="G109" t="str">
        <v>かし。ブナ科の常緑高木。実はどんぐり。</v>
      </c>
      <c r="H109" t="str">
        <v>#自然</v>
      </c>
      <c r="I109">
        <v>10</v>
      </c>
      <c r="J109">
        <v>90</v>
      </c>
      <c r="K109">
        <v>35</v>
      </c>
      <c r="L109">
        <v>0</v>
      </c>
      <c r="M109">
        <f>VLOOKUP(A109,[1]kanji_data!$A:$N,14,FALSE)</f>
        <v>0</v>
      </c>
    </row>
    <row r="110">
      <c r="A110" t="str">
        <v>孔</v>
      </c>
      <c r="B110">
        <v>4</v>
      </c>
      <c r="C110" t="b">
        <v>1</v>
      </c>
      <c r="D110" t="str">
        <v>コウ ク</v>
      </c>
      <c r="E110" t="str">
        <v>あな はなは（だ）</v>
      </c>
      <c r="F110" t="str">
        <v>みち よし</v>
      </c>
      <c r="G110" t="str">
        <v>あな。すきま。くぼみ。空洞。 はなはだ。たいへん。非常に。 「孔子」の略。</v>
      </c>
      <c r="H110" t="str">
        <v>#天空</v>
      </c>
      <c r="I110">
        <v>70</v>
      </c>
      <c r="J110">
        <v>50</v>
      </c>
      <c r="K110">
        <v>70</v>
      </c>
      <c r="L110">
        <v>0</v>
      </c>
      <c r="M110">
        <f>VLOOKUP(A110,[1]kanji_data!$A:$N,14,FALSE)</f>
        <v>0</v>
      </c>
    </row>
    <row r="111">
      <c r="A111" t="str">
        <v>檜</v>
      </c>
      <c r="B111">
        <v>17</v>
      </c>
      <c r="C111" t="b">
        <v>0</v>
      </c>
      <c r="D111" t="str">
        <v>カイ</v>
      </c>
      <c r="E111" t="str">
        <v>ひ ひのき</v>
      </c>
      <c r="F111">
        <v>0</v>
      </c>
      <c r="G111" t="str">
        <v>いぶき。びゃくしん。いぶきびゃくしん。ヒノキ科の常緑高木。 ひのき。ひ。ヒノキ科の常緑高木。</v>
      </c>
      <c r="H111" t="str">
        <v>#自然</v>
      </c>
      <c r="I111">
        <v>10</v>
      </c>
      <c r="J111">
        <v>90</v>
      </c>
      <c r="K111">
        <v>35</v>
      </c>
      <c r="L111">
        <v>0</v>
      </c>
      <c r="M111">
        <f>VLOOKUP(A111,[1]kanji_data!$A:$N,14,FALSE)</f>
        <v>0</v>
      </c>
    </row>
    <row r="112">
      <c r="A112" t="str">
        <v>双</v>
      </c>
      <c r="B112">
        <v>4</v>
      </c>
      <c r="C112" t="b">
        <v>1</v>
      </c>
      <c r="D112" t="str">
        <v>ソウ</v>
      </c>
      <c r="E112" t="str">
        <v>ふた たぐい なら（ぶ） ふた（つ） もろ</v>
      </c>
      <c r="F112" t="str">
        <v>とも ふ</v>
      </c>
      <c r="G112" t="str">
        <v>ふた。ふたつ。たぐい。もろ。対。二つで一組のものの両方とも。 ならぶ。ならび。同等の力を持つ。匹敵する。 二つで一組のものの組数を数える助数詞。</v>
      </c>
      <c r="H112" t="str">
        <v>#調和</v>
      </c>
      <c r="I112">
        <v>85</v>
      </c>
      <c r="J112">
        <v>55</v>
      </c>
      <c r="K112">
        <v>60</v>
      </c>
      <c r="L112">
        <v>0</v>
      </c>
      <c r="M112">
        <f>VLOOKUP(A112,[1]kanji_data!$A:$N,14,FALSE)</f>
        <v>0</v>
      </c>
    </row>
    <row r="113">
      <c r="A113" t="str">
        <v>斗</v>
      </c>
      <c r="B113">
        <v>4</v>
      </c>
      <c r="C113" t="b">
        <v>1</v>
      </c>
      <c r="D113" t="str">
        <v>ト トウ</v>
      </c>
      <c r="E113" t="str">
        <v>ひしゃく ます</v>
      </c>
      <c r="F113" t="str">
        <v>け はかる はるか ほし</v>
      </c>
      <c r="G113" t="str">
        <v>ひしゃく。水や酒などをすくうための道具。また、液体や穀物の量をはかるます。 容量の単位。一斗は十升。周代では約一・九四リットル。日本では約十八リットル。 星座の名。南斗。北斗。 ちいさい。すくない。わずか。 たちまち。にわかに。急に。</v>
      </c>
      <c r="H113" t="str">
        <v>#天空</v>
      </c>
      <c r="I113">
        <v>95</v>
      </c>
      <c r="J113">
        <v>75</v>
      </c>
      <c r="K113">
        <v>40</v>
      </c>
      <c r="L113">
        <v>0</v>
      </c>
      <c r="M113">
        <f>VLOOKUP(A113,[1]kanji_data!$A:$N,14,FALSE)</f>
        <v>0</v>
      </c>
    </row>
    <row r="114">
      <c r="A114" t="str">
        <v>六</v>
      </c>
      <c r="B114">
        <v>4</v>
      </c>
      <c r="C114" t="b">
        <v>1</v>
      </c>
      <c r="D114" t="str">
        <v>ロク リク</v>
      </c>
      <c r="E114" t="str">
        <v>む むい む（つ） むっ（つ）</v>
      </c>
      <c r="F114" t="str">
        <v>むつ</v>
      </c>
      <c r="G114" t="str">
        <v>むつ。むっつ。むい。む。数の名。 むたび。ろくど。ろっかい。 順序のろく番目。 易での陰爻。 むつ。昔の時刻の呼び方で現在の午前六時ごろ、または午後六時ごろ。</v>
      </c>
      <c r="H114" t="str">
        <v>#調和</v>
      </c>
      <c r="I114">
        <v>40</v>
      </c>
      <c r="J114">
        <v>50</v>
      </c>
      <c r="K114">
        <v>50</v>
      </c>
      <c r="L114">
        <v>0</v>
      </c>
      <c r="M114">
        <f>VLOOKUP(A114,[1]kanji_data!$A:$N,14,FALSE)</f>
        <v>0</v>
      </c>
    </row>
    <row r="115">
      <c r="A115" t="str">
        <v>升</v>
      </c>
      <c r="B115">
        <v>4</v>
      </c>
      <c r="C115" t="b">
        <v>1</v>
      </c>
      <c r="D115" t="str">
        <v>ショウ</v>
      </c>
      <c r="E115" t="str">
        <v>ます のぼ（る）</v>
      </c>
      <c r="F115">
        <v>0</v>
      </c>
      <c r="G115" t="str">
        <v>ます。穀物などの容量をはかる道具。 のぼる。上にあがる。＝昇 みのる。穀物がみのる。 容量の単位。一升は十合。 易（エキ）の六十四卦の一つ。</v>
      </c>
      <c r="H115" t="str">
        <v>#繁栄</v>
      </c>
      <c r="I115">
        <v>10</v>
      </c>
      <c r="J115">
        <v>65</v>
      </c>
      <c r="K115">
        <v>50</v>
      </c>
      <c r="L115">
        <v>0</v>
      </c>
      <c r="M115">
        <f>VLOOKUP(A115,[1]kanji_data!$A:$N,14,FALSE)</f>
        <v>0</v>
      </c>
    </row>
    <row r="116">
      <c r="A116" t="str">
        <v>弔</v>
      </c>
      <c r="B116">
        <v>4</v>
      </c>
      <c r="C116" t="b">
        <v>1</v>
      </c>
      <c r="D116" t="str">
        <v>チョウ</v>
      </c>
      <c r="E116" t="str">
        <v>とむら（う）</v>
      </c>
      <c r="F116">
        <v>0</v>
      </c>
      <c r="G116" t="str">
        <v>とむらう。人の死を悲しみ、遺族に悔みのことばを述べる。 あわれむ。同情する。 つる。つるす。ぶら下げる。＝吊</v>
      </c>
      <c r="H116" t="str">
        <v>#慈愛</v>
      </c>
      <c r="I116">
        <v>10</v>
      </c>
      <c r="J116">
        <v>50</v>
      </c>
      <c r="K116">
        <v>50</v>
      </c>
      <c r="L116">
        <v>1</v>
      </c>
    </row>
    <row r="117">
      <c r="A117" t="str">
        <v>井</v>
      </c>
      <c r="B117">
        <v>4</v>
      </c>
      <c r="C117" t="b">
        <v>1</v>
      </c>
      <c r="D117" t="str">
        <v>ショウ セイ</v>
      </c>
      <c r="E117" t="str">
        <v>い いげた</v>
      </c>
      <c r="F117" t="str">
        <v>きよ</v>
      </c>
      <c r="G117" t="str">
        <v>い。いど。いげた。地面を深く掘って地下水などを汲むためのもの。また、いどの地上部分の縁に「井」の形で組んだ木枠。 まち。人の住んでいるところ。井戸の周りに人が集まり住むことから。 易（エキ）の六十四卦の一つ。 二十八宿の一つ。ちちりぼし。 名字では井（わかし）とも読む。</v>
      </c>
      <c r="H117" t="str">
        <v>#水景 #自然</v>
      </c>
      <c r="I117">
        <v>45</v>
      </c>
      <c r="J117">
        <v>45</v>
      </c>
      <c r="K117">
        <v>45</v>
      </c>
      <c r="L117">
        <v>0</v>
      </c>
      <c r="M117">
        <f>VLOOKUP(A117,[1]kanji_data!$A:$N,14,FALSE)</f>
        <v>0</v>
      </c>
    </row>
    <row r="118">
      <c r="A118" t="str">
        <v>申</v>
      </c>
      <c r="B118">
        <v>5</v>
      </c>
      <c r="C118" t="b">
        <v>1</v>
      </c>
      <c r="D118" t="str">
        <v>シン</v>
      </c>
      <c r="E118" t="str">
        <v>もう（す） かさ（ねる） さる</v>
      </c>
      <c r="F118" t="str">
        <v>しげる のぶ み もち</v>
      </c>
      <c r="G118" t="str">
        <v>もうす。いう。述べる。説明する。 重ねる。繰り返す。 さる。十二支の九番目。方位では西南西。時刻では午後四時、および前後の二時間。動物では猿。</v>
      </c>
      <c r="I118">
        <v>40</v>
      </c>
      <c r="J118">
        <v>60</v>
      </c>
      <c r="K118">
        <v>55</v>
      </c>
      <c r="L118">
        <v>0</v>
      </c>
      <c r="M118">
        <f>VLOOKUP(A118,[1]kanji_data!$A:$N,14,FALSE)</f>
        <v>0</v>
      </c>
    </row>
    <row r="119">
      <c r="A119" t="str">
        <v>民</v>
      </c>
      <c r="B119">
        <v>5</v>
      </c>
      <c r="C119" t="b">
        <v>1</v>
      </c>
      <c r="D119" t="str">
        <v>ミン</v>
      </c>
      <c r="E119" t="str">
        <v>たみ</v>
      </c>
      <c r="F119" t="str">
        <v>た ひと み もと</v>
      </c>
      <c r="G119" t="str">
        <v>たみ。ひと。一般の人々。官位をもたない人。統治される人々。</v>
      </c>
      <c r="H119" t="str">
        <v>#繁栄</v>
      </c>
      <c r="I119">
        <v>40</v>
      </c>
      <c r="J119">
        <v>45</v>
      </c>
      <c r="K119">
        <v>70</v>
      </c>
      <c r="L119">
        <v>0</v>
      </c>
      <c r="M119">
        <f>VLOOKUP(A119,[1]kanji_data!$A:$N,14,FALSE)</f>
        <v>0</v>
      </c>
    </row>
    <row r="120">
      <c r="A120" t="str">
        <v>卯</v>
      </c>
      <c r="B120">
        <v>5</v>
      </c>
      <c r="C120" t="b">
        <v>0</v>
      </c>
      <c r="D120" t="str">
        <v>ボウ</v>
      </c>
      <c r="E120" t="str">
        <v>う</v>
      </c>
      <c r="F120" t="str">
        <v>あきら しげ しげる</v>
      </c>
      <c r="G120" t="str">
        <v>う。十二支の四番目。方位では東。時刻では午前六時、および前後の二時間。動物では兎（うさぎ）。</v>
      </c>
      <c r="I120">
        <v>40</v>
      </c>
      <c r="J120">
        <v>50</v>
      </c>
      <c r="K120">
        <v>55</v>
      </c>
      <c r="L120">
        <v>0</v>
      </c>
      <c r="M120">
        <f>VLOOKUP(A120,[1]kanji_data!$A:$N,14,FALSE)</f>
        <v>0</v>
      </c>
    </row>
    <row r="121">
      <c r="A121" t="str">
        <v>西</v>
      </c>
      <c r="B121">
        <v>6</v>
      </c>
      <c r="C121" t="b">
        <v>1</v>
      </c>
      <c r="D121" t="str">
        <v>サイ セイ スイ</v>
      </c>
      <c r="E121" t="str">
        <v>にし</v>
      </c>
      <c r="F121">
        <v>0</v>
      </c>
      <c r="G121" t="str">
        <v>にし。方位の名。 にしする。にしのほうにいく。 西洋のこと。 国名「西班牙（スペイン）」の略。</v>
      </c>
      <c r="I121">
        <v>10</v>
      </c>
      <c r="J121">
        <v>50</v>
      </c>
      <c r="K121">
        <v>50</v>
      </c>
      <c r="L121">
        <v>0</v>
      </c>
      <c r="M121">
        <f>VLOOKUP(A121,[1]kanji_data!$A:$N,14,FALSE)</f>
        <v>0</v>
      </c>
    </row>
    <row r="122">
      <c r="A122" t="str">
        <v>匂</v>
      </c>
      <c r="B122">
        <v>4</v>
      </c>
      <c r="C122" t="b">
        <v>1</v>
      </c>
      <c r="D122">
        <v>0</v>
      </c>
      <c r="E122" t="str">
        <v>にお（う）</v>
      </c>
      <c r="F122" t="str">
        <v>かおる にお</v>
      </c>
      <c r="G122" t="str">
        <v>におう。かおる。かおりがする。 つややかで美しい。 おもむき。雰囲気。 日本刀の刃にうっすらと見える模様。</v>
      </c>
      <c r="H122" t="str">
        <v>#花・彩</v>
      </c>
      <c r="I122">
        <v>40</v>
      </c>
      <c r="J122">
        <v>20</v>
      </c>
      <c r="K122">
        <v>100</v>
      </c>
      <c r="L122">
        <v>0</v>
      </c>
      <c r="M122">
        <f>VLOOKUP(A122,[1]kanji_data!$A:$N,14,FALSE)</f>
        <v>0</v>
      </c>
    </row>
    <row r="123">
      <c r="A123" t="str">
        <v>衣</v>
      </c>
      <c r="B123">
        <v>6</v>
      </c>
      <c r="C123" t="b">
        <v>1</v>
      </c>
      <c r="D123" t="str">
        <v>イ エ</v>
      </c>
      <c r="E123" t="str">
        <v>ころも きぬ き（る）</v>
      </c>
      <c r="F123" t="str">
        <v>そ みそ</v>
      </c>
      <c r="G123" t="str">
        <v>ころも。きぬ。腰から上の着物。上着。着物。衣服。 おおい。おおう。つつみ。体の一部分を覆うもの。 着る。着せる。身につける。 行う。服従して行う。</v>
      </c>
      <c r="H123" t="str">
        <v>#慈愛</v>
      </c>
      <c r="I123">
        <v>40</v>
      </c>
      <c r="J123">
        <v>25</v>
      </c>
      <c r="K123">
        <v>85</v>
      </c>
      <c r="L123">
        <v>0</v>
      </c>
      <c r="M123">
        <f>VLOOKUP(A123,[1]kanji_data!$A:$N,14,FALSE)</f>
        <v>0</v>
      </c>
    </row>
    <row r="124">
      <c r="A124" t="str">
        <v>允</v>
      </c>
      <c r="B124">
        <v>4</v>
      </c>
      <c r="C124" t="b">
        <v>0</v>
      </c>
      <c r="D124" t="str">
        <v>イン</v>
      </c>
      <c r="E124" t="str">
        <v>じょう まこと まこと（に） ゆる（す）</v>
      </c>
      <c r="F124" t="str">
        <v>い すけ ちか のぶ まさ み みつ みつる よし</v>
      </c>
      <c r="G124" t="str">
        <v>まこと。まことに。本当に。 ゆるす。認める。承認する。 じょう。四等官で、寮の第三位。</v>
      </c>
      <c r="H124" t="str">
        <v>#品格 #心・志</v>
      </c>
      <c r="I124">
        <v>85</v>
      </c>
      <c r="J124">
        <v>65</v>
      </c>
      <c r="K124">
        <v>55</v>
      </c>
      <c r="L124">
        <v>0</v>
      </c>
      <c r="M124">
        <f>VLOOKUP(A124,[1]kanji_data!$A:$N,14,FALSE)</f>
        <v>0</v>
      </c>
    </row>
    <row r="125">
      <c r="A125" t="str">
        <v>仲</v>
      </c>
      <c r="B125">
        <v>6</v>
      </c>
      <c r="C125" t="b">
        <v>1</v>
      </c>
      <c r="D125" t="str">
        <v>チュウ</v>
      </c>
      <c r="E125" t="str">
        <v>なか</v>
      </c>
      <c r="F125" t="str">
        <v>あたる つづき なかし のぶ</v>
      </c>
      <c r="G125" t="str">
        <v>中。真ん中。 兄弟の二番目。年齢の順に上から「伯・仲・叔・季」または「孟・仲・季」という。 なか。人同士のあいだがら。</v>
      </c>
      <c r="H125" t="str">
        <v>#慈愛 #調和</v>
      </c>
      <c r="I125">
        <v>55</v>
      </c>
      <c r="J125">
        <v>50</v>
      </c>
      <c r="K125">
        <v>70</v>
      </c>
      <c r="L125">
        <v>0</v>
      </c>
      <c r="M125">
        <f>VLOOKUP(A125,[1]kanji_data!$A:$N,14,FALSE)</f>
        <v>0</v>
      </c>
    </row>
    <row r="126">
      <c r="A126" t="str">
        <v>任</v>
      </c>
      <c r="B126">
        <v>6</v>
      </c>
      <c r="C126" t="b">
        <v>1</v>
      </c>
      <c r="D126" t="str">
        <v>ニン ジン</v>
      </c>
      <c r="E126" t="str">
        <v>まか（す） まか（せる）</v>
      </c>
      <c r="F126" t="str">
        <v>あたる たか たかし ただ たもつ と のり ひで まかし</v>
      </c>
      <c r="G126" t="str">
        <v>まかす。まかせる。信用して委ねる。自由にさせる。 仕事。役目。 たえる。こらえる。我慢する。 おう。になう。負担。荷物。</v>
      </c>
      <c r="H126" t="str">
        <v>#品格</v>
      </c>
      <c r="I126">
        <v>40</v>
      </c>
      <c r="J126">
        <v>75</v>
      </c>
      <c r="K126">
        <v>45</v>
      </c>
      <c r="L126">
        <v>0</v>
      </c>
      <c r="M126">
        <f>VLOOKUP(A126,[1]kanji_data!$A:$N,14,FALSE)</f>
        <v>0</v>
      </c>
    </row>
    <row r="127">
      <c r="A127" t="str">
        <v>舟</v>
      </c>
      <c r="B127">
        <v>6</v>
      </c>
      <c r="C127" t="b">
        <v>1</v>
      </c>
      <c r="D127" t="str">
        <v>シュウ シュ</v>
      </c>
      <c r="E127" t="str">
        <v>ふな ふね</v>
      </c>
      <c r="F127" t="str">
        <v>のり</v>
      </c>
      <c r="G127" t="str">
        <v>ふね。こぶね。水上を移動するための道具。 うけだらい。祭器をのせるための盤。 おびる。身につける。 ふね。水や湯などの液体を入れるおけ。例：湯舟</v>
      </c>
      <c r="H127" t="str">
        <v>#水景 #飛躍</v>
      </c>
      <c r="I127">
        <v>50</v>
      </c>
      <c r="J127">
        <v>45</v>
      </c>
      <c r="K127">
        <v>70</v>
      </c>
      <c r="L127">
        <v>0</v>
      </c>
      <c r="M127">
        <f>VLOOKUP(A127,[1]kanji_data!$A:$N,14,FALSE)</f>
        <v>0</v>
      </c>
    </row>
    <row r="128">
      <c r="A128" t="str">
        <v>亙</v>
      </c>
      <c r="B128">
        <v>6</v>
      </c>
      <c r="C128" t="b">
        <v>0</v>
      </c>
      <c r="D128" t="str">
        <v>コウ</v>
      </c>
      <c r="E128" t="str">
        <v>わた（る）</v>
      </c>
      <c r="F128" t="str">
        <v>とおる わたり わたる</v>
      </c>
      <c r="G128" t="str">
        <v>わたる。渡す。 つらなる。つなぐ。端から端まで続く。</v>
      </c>
      <c r="I128">
        <v>40</v>
      </c>
      <c r="J128">
        <v>80</v>
      </c>
      <c r="K128">
        <v>45</v>
      </c>
      <c r="L128">
        <v>0</v>
      </c>
      <c r="M128">
        <f>VLOOKUP(A128,[1]kanji_data!$A:$N,14,FALSE)</f>
        <v>0</v>
      </c>
    </row>
    <row r="129">
      <c r="A129" t="str">
        <v>巴</v>
      </c>
      <c r="B129">
        <v>4</v>
      </c>
      <c r="C129" t="b">
        <v>0</v>
      </c>
      <c r="D129" t="str">
        <v>ハ</v>
      </c>
      <c r="E129" t="str">
        <v>うずまき ともえ</v>
      </c>
      <c r="F129" t="str">
        <v>とも</v>
      </c>
      <c r="G129" t="str">
        <v>うずまき。うずまきのような形をしたもの。 大蛇。象をも飲みこむほど巨大な伝説上の蛇。 地名。現在の四川省重慶市を中心とした一帯。 ともえ。鞆（とも：弓を射るときに左手首の内側につけて、矢を放った後の弦が腕に触れるのを防ぐ道具）を図案化したもの。鞆絵（ともえ）。</v>
      </c>
      <c r="H129" t="str">
        <v>#海・水</v>
      </c>
      <c r="I129">
        <v>70</v>
      </c>
      <c r="J129">
        <v>50</v>
      </c>
      <c r="K129">
        <v>50</v>
      </c>
      <c r="L129">
        <v>0</v>
      </c>
      <c r="M129">
        <f>VLOOKUP(A129,[1]kanji_data!$A:$N,14,FALSE)</f>
        <v>0</v>
      </c>
    </row>
    <row r="130">
      <c r="A130" t="str">
        <v>男</v>
      </c>
      <c r="B130">
        <v>7</v>
      </c>
      <c r="C130" t="b">
        <v>1</v>
      </c>
      <c r="D130" t="str">
        <v>ダン ナン</v>
      </c>
      <c r="E130" t="str">
        <v>おとこ おのこ</v>
      </c>
      <c r="F130" t="str">
        <v>お おと</v>
      </c>
      <c r="G130" t="str">
        <v>おとこ。おのこ。 むすこ。 五等級の爵位（公・侯・伯・子・男）の五番目。</v>
      </c>
      <c r="H130" t="str">
        <v>#勇気</v>
      </c>
      <c r="I130">
        <v>40</v>
      </c>
      <c r="J130">
        <v>70</v>
      </c>
      <c r="K130">
        <v>50</v>
      </c>
      <c r="L130">
        <v>0</v>
      </c>
      <c r="M130">
        <f>VLOOKUP(A130,[1]kanji_data!$A:$N,14,FALSE)</f>
        <v>0</v>
      </c>
    </row>
    <row r="131">
      <c r="A131" t="str">
        <v>匁</v>
      </c>
      <c r="B131">
        <v>4</v>
      </c>
      <c r="C131" t="b">
        <v>0</v>
      </c>
      <c r="D131">
        <v>0</v>
      </c>
      <c r="E131" t="str">
        <v>め もんめ</v>
      </c>
      <c r="F131">
        <v>0</v>
      </c>
      <c r="G131" t="str">
        <v>め。もんめ。重さの単位。一貫の千分の一。 もんめ。江戸時代の貨幣の単位。一両の六十分の一。</v>
      </c>
      <c r="H131" t="str">
        <v>#海・水</v>
      </c>
      <c r="I131">
        <v>10</v>
      </c>
      <c r="J131">
        <v>50</v>
      </c>
      <c r="K131">
        <v>50</v>
      </c>
      <c r="L131">
        <v>1</v>
      </c>
    </row>
    <row r="132">
      <c r="A132" t="str">
        <v>尤</v>
      </c>
      <c r="B132">
        <v>4</v>
      </c>
      <c r="C132" t="b">
        <v>0</v>
      </c>
      <c r="D132" t="str">
        <v>ユウ</v>
      </c>
      <c r="E132" t="str">
        <v>すぐ（れる） とが（める） もっと（も）</v>
      </c>
      <c r="F132">
        <v>0</v>
      </c>
      <c r="G132" t="str">
        <v>とが。あやまち。欠点。 とがめる。責める。非難する。 もっとも。はなはだ。 すぐれる。他よりもすぐれている。目立ってすぐれている。 もっとも。その通り。その通りである。 もっとも。ただし。とはいえ。とはいうものの。</v>
      </c>
      <c r="H132" t="str">
        <v>#繁栄</v>
      </c>
      <c r="I132">
        <v>10</v>
      </c>
      <c r="J132">
        <v>55</v>
      </c>
      <c r="K132">
        <v>55</v>
      </c>
      <c r="L132">
        <v>0</v>
      </c>
      <c r="M132">
        <f>VLOOKUP(A132,[1]kanji_data!$A:$N,14,FALSE)</f>
        <v>0</v>
      </c>
    </row>
    <row r="133">
      <c r="A133" t="str">
        <v>玉</v>
      </c>
      <c r="B133">
        <v>5</v>
      </c>
      <c r="C133" t="b">
        <v>1</v>
      </c>
      <c r="D133" t="str">
        <v>ギョク ゴク</v>
      </c>
      <c r="E133" t="str">
        <v>たま</v>
      </c>
      <c r="F133" t="str">
        <v>きよ た</v>
      </c>
      <c r="G133" t="str">
        <v>たま。宝石。美しいたま。 美しい。立派な。宝石のように美しい。 たまにする。大切にする。立派にする。 天子や他人に冠し、尊敬の意をあらわす。 たま。たまのように丸いもの。真珠。 ぎょく。将棋の駒の名。 ぎょく。料理屋で、鳥のたまごのこと。</v>
      </c>
      <c r="H133" t="str">
        <v>#品格 #慈愛 #花・彩</v>
      </c>
      <c r="I133">
        <v>75</v>
      </c>
      <c r="J133">
        <v>25</v>
      </c>
      <c r="K133">
        <v>85</v>
      </c>
      <c r="L133">
        <v>0</v>
      </c>
      <c r="M133">
        <f>VLOOKUP(A133,[1]kanji_data!$A:$N,14,FALSE)</f>
        <v>0</v>
      </c>
    </row>
    <row r="134">
      <c r="A134" t="str">
        <v>左</v>
      </c>
      <c r="B134">
        <v>5</v>
      </c>
      <c r="C134" t="b">
        <v>1</v>
      </c>
      <c r="D134" t="str">
        <v>サ</v>
      </c>
      <c r="E134" t="str">
        <v>ひだり</v>
      </c>
      <c r="F134" t="str">
        <v>すけ</v>
      </c>
      <c r="G134" t="str">
        <v>ひだり。ひだりがわ。 ひだりする。左のほうにいく。 東。方位の東。南面した場合の左が東に当たることから。 下。下位。古代中国では右を尊んだことから。 あかし。しるし。証拠。 たすける。手助けをする。＝佐</v>
      </c>
      <c r="H134" t="str">
        <v>#品格 #慈愛</v>
      </c>
      <c r="I134">
        <v>20</v>
      </c>
      <c r="J134">
        <v>50</v>
      </c>
      <c r="K134">
        <v>50</v>
      </c>
      <c r="L134">
        <v>0</v>
      </c>
      <c r="M134">
        <f>VLOOKUP(A134,[1]kanji_data!$A:$N,14,FALSE)</f>
        <v>0</v>
      </c>
    </row>
    <row r="135">
      <c r="A135" t="str">
        <v>走</v>
      </c>
      <c r="B135">
        <v>7</v>
      </c>
      <c r="C135" t="b">
        <v>1</v>
      </c>
      <c r="D135" t="str">
        <v>ソウ</v>
      </c>
      <c r="E135" t="str">
        <v>はし（る）</v>
      </c>
      <c r="F135" t="str">
        <v>ゆき</v>
      </c>
      <c r="G135" t="str">
        <v>はしる。かける。速足でいく。 立ち去る。逃げる。 行く。おもむく。でかける。 けもの。 はしりつかい。こもの。めしつかい。</v>
      </c>
      <c r="H135" t="str">
        <v>#勇気</v>
      </c>
      <c r="I135">
        <v>40</v>
      </c>
      <c r="J135">
        <v>85</v>
      </c>
      <c r="K135">
        <v>30</v>
      </c>
      <c r="L135">
        <v>0</v>
      </c>
      <c r="M135">
        <f>VLOOKUP(A135,[1]kanji_data!$A:$N,14,FALSE)</f>
        <v>0</v>
      </c>
    </row>
    <row r="136">
      <c r="A136" t="str">
        <v>出</v>
      </c>
      <c r="B136">
        <v>5</v>
      </c>
      <c r="C136" t="b">
        <v>1</v>
      </c>
      <c r="D136" t="str">
        <v>シュツ スイ</v>
      </c>
      <c r="E136" t="str">
        <v>だ（す） で（る） いだ（す） い（づ）</v>
      </c>
      <c r="F136" t="str">
        <v>いず いずる</v>
      </c>
      <c r="G136" t="str">
        <v>だす。内側から外側にだす。 だす。捨てる。追いだす。 でる。内側から外側にでる。 でる。あらわれる。うまれる。うみだす。 でる。はなれる。中央からはなれる。 で。生まれ。出身（しゅっしん）。</v>
      </c>
      <c r="H136" t="str">
        <v>#天空</v>
      </c>
      <c r="I136">
        <v>50</v>
      </c>
      <c r="J136">
        <v>65</v>
      </c>
      <c r="K136">
        <v>50</v>
      </c>
      <c r="L136">
        <v>0</v>
      </c>
      <c r="M136">
        <f>VLOOKUP(A136,[1]kanji_data!$A:$N,14,FALSE)</f>
        <v>0</v>
      </c>
    </row>
    <row r="137">
      <c r="A137" t="str">
        <v>正</v>
      </c>
      <c r="B137">
        <v>5</v>
      </c>
      <c r="C137" t="b">
        <v>1</v>
      </c>
      <c r="D137" t="str">
        <v>ショウ セイ</v>
      </c>
      <c r="E137" t="str">
        <v>ただ（しい） ただ（す） まさ</v>
      </c>
      <c r="F137" t="str">
        <v>あきら かみ ただし なお まさし よし</v>
      </c>
      <c r="G137" t="str">
        <v>ただしい。まっすぐである。 ただしい。まちがいない。 ただす。まっすぐにする。 ただす。間違いを直す。 主なもの。本来のもの。公認されたもの。 まさ。まさに。まさしく。ちょうど。 せい。数の単位。１０の４０乗。 年の初め。正月。一月。 まと。弓の的。的の中心。</v>
      </c>
      <c r="H137" t="str">
        <v>#品格 #天空 #心・志</v>
      </c>
      <c r="I137">
        <v>100</v>
      </c>
      <c r="J137">
        <v>65</v>
      </c>
      <c r="K137">
        <v>55</v>
      </c>
      <c r="L137">
        <v>0</v>
      </c>
      <c r="M137">
        <f>VLOOKUP(A137,[1]kanji_data!$A:$N,14,FALSE)</f>
        <v>0</v>
      </c>
    </row>
    <row r="138">
      <c r="A138" t="str">
        <v>生</v>
      </c>
      <c r="B138">
        <v>5</v>
      </c>
      <c r="C138" t="b">
        <v>1</v>
      </c>
      <c r="D138" t="str">
        <v>ショウ セイ</v>
      </c>
      <c r="E138" t="str">
        <v>い（かす） い（きる） い（ける） う（まれる） う（む） なま は（える） は（やす） お（う） き いのち うぶ な（す） な（る）</v>
      </c>
      <c r="F138" t="str">
        <v>あり い いき いく う うまる お おき すすむ たか なり のう のり ふ ふゆ ぶ み よ</v>
      </c>
      <c r="G138" t="str">
        <v>いきる。いかす。 いきたまま。いきながら。 いのち。いきもの。いきているもの。いきていること。例：生命 暮らす。暮らし。例：生活 うむ。うまれる。子がうまれる。ものを作り出す。物事が起きる。発生する。 うまれながら。うまれつき。 はえる。おう。はやす。おこる。 なま。なまの。なまき。加工をしていない。熟れていない。習熟していない。 き。純粋な。混じり気のない。 学者・知識人などの称。先生。 学問などを学ぶ人。生徒。門下生。 男子が自らをへりくだっていう言葉。小生。 中国の旧劇の男役の一つ。</v>
      </c>
      <c r="H138" t="str">
        <v>#知性 #自然</v>
      </c>
      <c r="I138">
        <v>95</v>
      </c>
      <c r="J138">
        <v>85</v>
      </c>
      <c r="K138">
        <v>35</v>
      </c>
      <c r="L138">
        <v>0</v>
      </c>
      <c r="M138">
        <f>VLOOKUP(A138,[1]kanji_data!$A:$N,14,FALSE)</f>
        <v>0</v>
      </c>
    </row>
    <row r="139">
      <c r="A139" t="str">
        <v>石</v>
      </c>
      <c r="B139">
        <v>5</v>
      </c>
      <c r="C139" t="b">
        <v>1</v>
      </c>
      <c r="D139" t="str">
        <v>シャク セキ コク ジャク</v>
      </c>
      <c r="E139" t="str">
        <v>いし</v>
      </c>
      <c r="F139" t="str">
        <v>あつ いそ いわ かた し</v>
      </c>
      <c r="G139" t="str">
        <v>いし。いわ。いしころ。いしでできているもの。 文字を刻んだいし。いしぶみ。例：石碑（せきひ） いしで作られた楽器。八音（「金」「石」「糸」「竹」「匏」「土」「革」「木」）の一つ。 値打ちのないもの、役にたたないもの。 いしばり。治療に用いるいしばり。 かたいもののたとえ。 融通のきかないもののたとえ。 くすり。鉱物質のくすり。 容量の単位。一石は十斗。 船の積載量の単位。十立方尺。 いし。ぐう。じゃんけんで、にぎりこぶし。</v>
      </c>
      <c r="H139" t="str">
        <v>#自然</v>
      </c>
      <c r="I139">
        <v>50</v>
      </c>
      <c r="J139">
        <v>55</v>
      </c>
      <c r="K139">
        <v>55</v>
      </c>
      <c r="L139">
        <v>0</v>
      </c>
      <c r="M139">
        <f>VLOOKUP(A139,[1]kanji_data!$A:$N,14,FALSE)</f>
        <v>0</v>
      </c>
    </row>
    <row r="140">
      <c r="A140" t="str">
        <v>身</v>
      </c>
      <c r="B140">
        <v>7</v>
      </c>
      <c r="C140" t="b">
        <v>1</v>
      </c>
      <c r="D140" t="str">
        <v>シン</v>
      </c>
      <c r="E140" t="str">
        <v>み みずか（ら）</v>
      </c>
      <c r="F140">
        <v>0</v>
      </c>
      <c r="G140" t="str">
        <v>み。からだ。胴体。肉体。 自分で。自分から。みずから。 ものの中心部。木の幹。 自分。われ。おのれ。 みごもる。妊娠する。 み。肉。</v>
      </c>
      <c r="H140" t="str">
        <v>#勇気</v>
      </c>
      <c r="I140">
        <v>10</v>
      </c>
      <c r="J140">
        <v>85</v>
      </c>
      <c r="K140">
        <v>35</v>
      </c>
      <c r="L140">
        <v>0</v>
      </c>
      <c r="M140">
        <f>VLOOKUP(A140,[1]kanji_data!$A:$N,14,FALSE)</f>
        <v>0</v>
      </c>
    </row>
    <row r="141">
      <c r="A141" t="str">
        <v>白</v>
      </c>
      <c r="B141">
        <v>5</v>
      </c>
      <c r="C141" t="b">
        <v>1</v>
      </c>
      <c r="D141" t="str">
        <v>ハク ビャク</v>
      </c>
      <c r="E141" t="str">
        <v>しら しろ しろ（い） あき（らか） せりふ もう（す）</v>
      </c>
      <c r="F141" t="str">
        <v>あき あきら きよ</v>
      </c>
      <c r="G141" t="str">
        <v>しろ。しろい。しろい色。 しろくする。しらげる。しらむ。明るくなる。 明るい。明らか。はっきりしている。 もうす。告げる。述べる。 むなしい。なにもない。 芝居のせりふ。 国名「白耳義（ベルギー）」の略。</v>
      </c>
      <c r="H141" t="str">
        <v>#天空</v>
      </c>
      <c r="I141">
        <v>85</v>
      </c>
      <c r="J141">
        <v>30</v>
      </c>
      <c r="K141">
        <v>90</v>
      </c>
      <c r="L141">
        <v>0</v>
      </c>
      <c r="M141">
        <f>VLOOKUP(A141,[1]kanji_data!$A:$N,14,FALSE)</f>
        <v>0</v>
      </c>
    </row>
    <row r="142">
      <c r="A142" t="str">
        <v>本</v>
      </c>
      <c r="B142">
        <v>5</v>
      </c>
      <c r="C142" t="b">
        <v>1</v>
      </c>
      <c r="D142" t="str">
        <v>ホン</v>
      </c>
      <c r="E142" t="str">
        <v>もと</v>
      </c>
      <c r="F142">
        <v>0</v>
      </c>
      <c r="G142" t="str">
        <v>もと。ねもと。つけね。草木の根。 もと。おおもと。はじめ。 もと。大切な部分。要点。 （商・工業に対しての）農業。 もともとの。また、まことの。 この。その。また、自分の。 書物。また、書物を数えることば。 草木を数えることば。 ほん。映画・番組・勝負などを数えることば。</v>
      </c>
      <c r="H142" t="str">
        <v>#自然</v>
      </c>
      <c r="I142">
        <v>10</v>
      </c>
      <c r="J142">
        <v>65</v>
      </c>
      <c r="K142">
        <v>55</v>
      </c>
      <c r="L142">
        <v>0</v>
      </c>
      <c r="M142">
        <f>VLOOKUP(A142,[1]kanji_data!$A:$N,14,FALSE)</f>
        <v>0</v>
      </c>
    </row>
    <row r="143">
      <c r="A143" t="str">
        <v>目</v>
      </c>
      <c r="B143">
        <v>5</v>
      </c>
      <c r="C143" t="b">
        <v>1</v>
      </c>
      <c r="D143" t="str">
        <v>モク ボク</v>
      </c>
      <c r="E143" t="str">
        <v>め ま かなめ まなこ</v>
      </c>
      <c r="F143" t="str">
        <v>み</v>
      </c>
      <c r="G143" t="str">
        <v>め。まなこ。物を見るための器官。 見る。見つめる。もくする。めくばせする。中止する。 かなめ。要点。 かしら。人の上に立つ者。 箇条。分類。小分け。細別。 名。名前。標題。 め。物事の順番・段階を数える語。例：一番目 め。物をみわける力。見通す力。 め。量をあらわすきざみ。目盛り。 もく。生物分類学上の単位。 さかん。四等官（シトウカン）で、国司の第四位。</v>
      </c>
      <c r="H143" t="str">
        <v>#品格 #知性 #繁栄</v>
      </c>
      <c r="I143">
        <v>20</v>
      </c>
      <c r="J143">
        <v>55</v>
      </c>
      <c r="K143">
        <v>55</v>
      </c>
      <c r="L143">
        <v>0</v>
      </c>
      <c r="M143">
        <f>VLOOKUP(A143,[1]kanji_data!$A:$N,14,FALSE)</f>
        <v>0</v>
      </c>
    </row>
    <row r="144">
      <c r="A144" t="str">
        <v>右</v>
      </c>
      <c r="B144">
        <v>5</v>
      </c>
      <c r="C144" t="b">
        <v>1</v>
      </c>
      <c r="D144" t="str">
        <v>ウ ユウ</v>
      </c>
      <c r="E144" t="str">
        <v>みぎ たす（ける）</v>
      </c>
      <c r="F144" t="str">
        <v>あき すけ たか たすく ゆ</v>
      </c>
      <c r="G144" t="str">
        <v>みぎ。みぎがわ。 みぎする。みぎの方にいく。 西。方位の西。南面した場合のみぎが西に当たることから。 上。上位。古代中国ではみぎを尊んだことから。 たすける。かばう。補佐する。 保守的な。保守的思想。</v>
      </c>
      <c r="H144" t="str">
        <v>#品格 #慈愛</v>
      </c>
      <c r="I144">
        <v>40</v>
      </c>
      <c r="J144">
        <v>35</v>
      </c>
      <c r="K144">
        <v>70</v>
      </c>
      <c r="L144">
        <v>0</v>
      </c>
      <c r="M144">
        <f>VLOOKUP(A144,[1]kanji_data!$A:$N,14,FALSE)</f>
        <v>0</v>
      </c>
    </row>
    <row r="145">
      <c r="A145" t="str">
        <v>立</v>
      </c>
      <c r="B145">
        <v>5</v>
      </c>
      <c r="C145" t="b">
        <v>1</v>
      </c>
      <c r="D145" t="str">
        <v>リツ リュウ</v>
      </c>
      <c r="E145" t="str">
        <v>た（つ） た（てる） リットル</v>
      </c>
      <c r="F145" t="str">
        <v>たか たかし たち たつ たつる たて たる はる</v>
      </c>
      <c r="G145" t="str">
        <v>たつ。まっすぐにたつ。しっかりたつ。安定させてたつ。 たてる。つくる。おこす。定める。 ただちに。すぐに。たちどころに。 リットル。容量の単位。</v>
      </c>
      <c r="H145" t="str">
        <v>#天空</v>
      </c>
      <c r="I145">
        <v>75</v>
      </c>
      <c r="J145">
        <v>85</v>
      </c>
      <c r="K145">
        <v>30</v>
      </c>
      <c r="L145">
        <v>0</v>
      </c>
      <c r="M145">
        <f>VLOOKUP(A145,[1]kanji_data!$A:$N,14,FALSE)</f>
        <v>0</v>
      </c>
    </row>
    <row r="146">
      <c r="A146" t="str">
        <v>外</v>
      </c>
      <c r="B146">
        <v>5</v>
      </c>
      <c r="C146" t="b">
        <v>1</v>
      </c>
      <c r="D146" t="str">
        <v>ガイ ゲ ウイ</v>
      </c>
      <c r="E146" t="str">
        <v>そと はず（す） はず（れる） ほか と</v>
      </c>
      <c r="F146">
        <v>0</v>
      </c>
      <c r="G146" t="str">
        <v>そと。ほか。よそ。と。ある範囲のはずれた場所。 そと。うわべ。外見。表面。 そと。よそ。中央に対しての地方。自国に対しての他国など。 はずす。取り除く。遠ざける。 母方の身内。また、妻の身内。 はずす。はずれる。それる。</v>
      </c>
      <c r="H146" t="str">
        <v>#心・志</v>
      </c>
      <c r="I146">
        <v>10</v>
      </c>
      <c r="J146">
        <v>50</v>
      </c>
      <c r="K146">
        <v>55</v>
      </c>
      <c r="L146">
        <v>1</v>
      </c>
    </row>
    <row r="147">
      <c r="A147" t="str">
        <v>兄</v>
      </c>
      <c r="B147">
        <v>5</v>
      </c>
      <c r="C147" t="b">
        <v>1</v>
      </c>
      <c r="D147" t="str">
        <v>キョウ ケイ</v>
      </c>
      <c r="E147" t="str">
        <v>あに え</v>
      </c>
      <c r="F147">
        <v>0</v>
      </c>
      <c r="G147" t="str">
        <v>あに。兄弟のうち年が上の男子。 親しい友人などを敬っていうことば。 え。十干（じっかん）の陽に当てられるもの。「木の兄」「火の兄」「土の兄」など。</v>
      </c>
      <c r="H147" t="str">
        <v>#調和</v>
      </c>
      <c r="I147">
        <v>10</v>
      </c>
      <c r="J147">
        <v>35</v>
      </c>
      <c r="K147">
        <v>70</v>
      </c>
      <c r="L147">
        <v>0</v>
      </c>
      <c r="M147">
        <f>VLOOKUP(A147,[1]kanji_data!$A:$N,14,FALSE)</f>
        <v>0</v>
      </c>
    </row>
    <row r="148">
      <c r="A148" t="str">
        <v>芯</v>
      </c>
      <c r="B148">
        <v>7</v>
      </c>
      <c r="C148" t="b">
        <v>1</v>
      </c>
      <c r="D148" t="str">
        <v>シン</v>
      </c>
      <c r="E148" t="str">
        <v>とうしんぐさ</v>
      </c>
      <c r="F148" t="str">
        <v>し</v>
      </c>
      <c r="G148" t="str">
        <v>草の名。灯心草（とうしんそう・とうしんぐさ）。 しん。物事の中心。中央。</v>
      </c>
      <c r="I148">
        <v>40</v>
      </c>
      <c r="J148">
        <v>85</v>
      </c>
      <c r="K148">
        <v>35</v>
      </c>
      <c r="L148">
        <v>0</v>
      </c>
      <c r="M148">
        <f>VLOOKUP(A148,[1]kanji_data!$A:$N,14,FALSE)</f>
        <v>0</v>
      </c>
    </row>
    <row r="149">
      <c r="A149" t="str">
        <v>広</v>
      </c>
      <c r="B149">
        <v>5</v>
      </c>
      <c r="C149" t="b">
        <v>1</v>
      </c>
      <c r="D149" t="str">
        <v>コウ</v>
      </c>
      <c r="E149" t="str">
        <v>ひろ（い） ひろ（がる） ひろ（げる） ひろ（まる） ひろ（める）</v>
      </c>
      <c r="F149" t="str">
        <v>お たけ ひろし</v>
      </c>
      <c r="G149" t="str">
        <v>ひろい。面積や空間などがひろい。 ひろがる。ひろまる。広くなる。大きくなる。 ひろげる。ひろめる。広くする。大きくする。 長さ。東西の長さ。「袤」は南北の長さ。</v>
      </c>
      <c r="H149" t="str">
        <v>#天空 #繁栄</v>
      </c>
      <c r="I149">
        <v>90</v>
      </c>
      <c r="J149">
        <v>75</v>
      </c>
      <c r="K149">
        <v>45</v>
      </c>
      <c r="L149">
        <v>0</v>
      </c>
      <c r="M149">
        <f>VLOOKUP(A149,[1]kanji_data!$A:$N,14,FALSE)</f>
        <v>0</v>
      </c>
    </row>
    <row r="150">
      <c r="A150" t="str">
        <v>矢</v>
      </c>
      <c r="B150">
        <v>5</v>
      </c>
      <c r="C150" t="b">
        <v>1</v>
      </c>
      <c r="D150" t="str">
        <v>シ</v>
      </c>
      <c r="E150" t="str">
        <v>や</v>
      </c>
      <c r="F150" t="str">
        <v>ただ ただし ちかう ちこう なお やはぎ</v>
      </c>
      <c r="G150" t="str">
        <v>や。弓のや。弓の弦にかけて飛ばす武器。 正しい。正しくする。なおし。まっすぐ。 誓う。 並べる。つらねる。 ほどこす。 くそ。ふん。</v>
      </c>
      <c r="H150" t="str">
        <v>#勇気</v>
      </c>
      <c r="I150">
        <v>70</v>
      </c>
      <c r="J150">
        <v>95</v>
      </c>
      <c r="K150">
        <v>30</v>
      </c>
      <c r="L150">
        <v>0</v>
      </c>
      <c r="M150">
        <f>VLOOKUP(A150,[1]kanji_data!$A:$N,14,FALSE)</f>
        <v>0</v>
      </c>
    </row>
    <row r="151">
      <c r="A151" t="str">
        <v>芭</v>
      </c>
      <c r="B151">
        <v>7</v>
      </c>
      <c r="C151" t="b">
        <v>0</v>
      </c>
      <c r="D151" t="str">
        <v>ハ バ</v>
      </c>
      <c r="E151">
        <v>0</v>
      </c>
      <c r="F151" t="str">
        <v>はな</v>
      </c>
      <c r="G151" t="str">
        <v>「芭蕉（ばしょう）」はバショウ科の多年草。</v>
      </c>
      <c r="I151">
        <v>40</v>
      </c>
      <c r="J151">
        <v>55</v>
      </c>
      <c r="K151">
        <v>55</v>
      </c>
      <c r="L151">
        <v>0</v>
      </c>
      <c r="M151">
        <f>VLOOKUP(A151,[1]kanji_data!$A:$N,14,FALSE)</f>
        <v>0</v>
      </c>
    </row>
    <row r="152">
      <c r="A152" t="str">
        <v>台</v>
      </c>
      <c r="B152">
        <v>5</v>
      </c>
      <c r="C152" t="b">
        <v>1</v>
      </c>
      <c r="D152" t="str">
        <v>タイ ダイ イ</v>
      </c>
      <c r="E152" t="str">
        <v>うてな しもべ</v>
      </c>
      <c r="F152">
        <v>0</v>
      </c>
      <c r="G152" t="str">
        <v>うてな。たかどの。高い建物。 しもべ。下僕。 人や物をのせる道具。 高く平らな土地。 朝廷。役所。 相手を敬って呼ぶ語。 機械や車などを数える語。 「台湾」の略。 星の名。三台星。上台、中台、下台の三つの星。三公の位になぞらえられる。転じて、敬意を表す語。 よろこぶ。 われ。私。</v>
      </c>
      <c r="H152" t="str">
        <v>#天空 #幸福 #海・水</v>
      </c>
      <c r="I152">
        <v>10</v>
      </c>
      <c r="J152">
        <v>55</v>
      </c>
      <c r="K152">
        <v>55</v>
      </c>
      <c r="L152">
        <v>1</v>
      </c>
    </row>
    <row r="153">
      <c r="A153" t="str">
        <v>冬</v>
      </c>
      <c r="B153">
        <v>5</v>
      </c>
      <c r="C153" t="b">
        <v>1</v>
      </c>
      <c r="D153" t="str">
        <v>トウ</v>
      </c>
      <c r="E153" t="str">
        <v>ふゆ</v>
      </c>
      <c r="F153" t="str">
        <v>かず と とし</v>
      </c>
      <c r="G153" t="str">
        <v>ふゆ。四季の一つ。立冬から立春までの期間。十二月から二月頃。陰暦では十月から十二月。</v>
      </c>
      <c r="H153" t="str">
        <v>#天空</v>
      </c>
      <c r="I153">
        <v>60</v>
      </c>
      <c r="J153">
        <v>55</v>
      </c>
      <c r="K153">
        <v>80</v>
      </c>
      <c r="L153">
        <v>0</v>
      </c>
      <c r="M153">
        <f>VLOOKUP(A153,[1]kanji_data!$A:$N,14,FALSE)</f>
        <v>0</v>
      </c>
    </row>
    <row r="154">
      <c r="A154" t="str">
        <v>半</v>
      </c>
      <c r="B154">
        <v>5</v>
      </c>
      <c r="C154" t="b">
        <v>1</v>
      </c>
      <c r="D154" t="str">
        <v>ハン</v>
      </c>
      <c r="E154" t="str">
        <v>なか（ば）</v>
      </c>
      <c r="F154" t="str">
        <v>なか なからい</v>
      </c>
      <c r="G154" t="str">
        <v>なかば。二つにわけたうちの片方。 なかば。中ほど。真ん中。 はし。はしきれ。 不十分なさま。不完全なさま。 はん。奇数。</v>
      </c>
      <c r="H154" t="str">
        <v>#幸福</v>
      </c>
      <c r="I154">
        <v>30</v>
      </c>
      <c r="J154">
        <v>50</v>
      </c>
      <c r="K154">
        <v>50</v>
      </c>
      <c r="L154">
        <v>1</v>
      </c>
    </row>
    <row r="155">
      <c r="A155" t="str">
        <v>母</v>
      </c>
      <c r="B155">
        <v>5</v>
      </c>
      <c r="C155" t="b">
        <v>1</v>
      </c>
      <c r="D155" t="str">
        <v>ボ ボウ モ</v>
      </c>
      <c r="E155" t="str">
        <v>はは</v>
      </c>
      <c r="F155">
        <v>0</v>
      </c>
      <c r="G155" t="str">
        <v>はは。ははおや。女親。 ばば。親族の女性の中で年長者。 うば。めのと。 もと。物を生み出す元。物事の元となるもの。</v>
      </c>
      <c r="H155" t="str">
        <v>#慈愛</v>
      </c>
      <c r="I155">
        <v>10</v>
      </c>
      <c r="J155">
        <v>35</v>
      </c>
      <c r="K155">
        <v>70</v>
      </c>
      <c r="L155">
        <v>0</v>
      </c>
      <c r="M155">
        <f>VLOOKUP(A155,[1]kanji_data!$A:$N,14,FALSE)</f>
        <v>0</v>
      </c>
    </row>
    <row r="156">
      <c r="A156" t="str">
        <v>芦</v>
      </c>
      <c r="B156">
        <v>7</v>
      </c>
      <c r="C156" t="b">
        <v>0</v>
      </c>
      <c r="D156" t="str">
        <v>ロ</v>
      </c>
      <c r="E156" t="str">
        <v>あし よし</v>
      </c>
      <c r="F156">
        <v>0</v>
      </c>
      <c r="G156" t="str">
        <v>あし。よし。草の名。イネ科の多年草。</v>
      </c>
      <c r="I156">
        <v>10</v>
      </c>
      <c r="J156">
        <v>50</v>
      </c>
      <c r="K156">
        <v>50</v>
      </c>
      <c r="L156">
        <v>0</v>
      </c>
      <c r="M156">
        <f>VLOOKUP(A156,[1]kanji_data!$A:$N,14,FALSE)</f>
        <v>0</v>
      </c>
    </row>
    <row r="157">
      <c r="A157" t="str">
        <v>用</v>
      </c>
      <c r="B157">
        <v>5</v>
      </c>
      <c r="C157" t="b">
        <v>1</v>
      </c>
      <c r="D157" t="str">
        <v>ヨウ</v>
      </c>
      <c r="E157" t="str">
        <v>もち（いる） はたら（き） もっ（て）</v>
      </c>
      <c r="F157" t="str">
        <v>ちか もち</v>
      </c>
      <c r="G157" t="str">
        <v>もちいる。使う。役立たせる。行う。治める。聞き入れる。 能力。働き。効き目。作用。 資力。財貨。資材。もとで。必要な金銭。 もって。・・・によって。 よう。仕事。しなければいけないこと。すべき事がら。 大小便をすること。</v>
      </c>
      <c r="H157" t="str">
        <v>#知性</v>
      </c>
      <c r="I157">
        <v>5</v>
      </c>
      <c r="J157">
        <v>55</v>
      </c>
      <c r="K157">
        <v>55</v>
      </c>
      <c r="L157">
        <v>1</v>
      </c>
    </row>
    <row r="158">
      <c r="A158" t="str">
        <v>央</v>
      </c>
      <c r="B158">
        <v>5</v>
      </c>
      <c r="C158" t="b">
        <v>1</v>
      </c>
      <c r="D158" t="str">
        <v>オウ エイ ヨウ</v>
      </c>
      <c r="E158" t="str">
        <v>なか（ば）</v>
      </c>
      <c r="F158" t="str">
        <v>あきら お ちか てる なか ひさ ひさし ひろ ひろし</v>
      </c>
      <c r="G158" t="str">
        <v>なかば。まんなか。 つきる。やむ。無くなる。 鮮明なさま。 声が調和するさま。</v>
      </c>
      <c r="H158" t="str">
        <v>#調和</v>
      </c>
      <c r="I158">
        <v>95</v>
      </c>
      <c r="J158">
        <v>90</v>
      </c>
      <c r="K158">
        <v>35</v>
      </c>
      <c r="L158">
        <v>0</v>
      </c>
      <c r="M158">
        <f>VLOOKUP(A158,[1]kanji_data!$A:$N,14,FALSE)</f>
        <v>0</v>
      </c>
    </row>
    <row r="159">
      <c r="A159" t="str">
        <v>去</v>
      </c>
      <c r="B159">
        <v>5</v>
      </c>
      <c r="C159" t="b">
        <v>1</v>
      </c>
      <c r="D159" t="str">
        <v>キョ コ</v>
      </c>
      <c r="E159" t="str">
        <v>さ（る） のぞ（く） ゆ（く）</v>
      </c>
      <c r="F159" t="str">
        <v>なる</v>
      </c>
      <c r="G159" t="str">
        <v>さる。たちさる。その場所から離れる。 さる。ゆく。別の場所に行く。別の場所に移る。 さる。時間が過ぎさる。また、過ぎさった時間。 のぞく。とりのぞく。すてる。 漢字の四声（シセイ）のひとつ去声（キョショウ）。 おさめる。引っこめる。しまいこむ。</v>
      </c>
      <c r="H159" t="str">
        <v>#天空</v>
      </c>
      <c r="I159">
        <v>30</v>
      </c>
      <c r="J159">
        <v>50</v>
      </c>
      <c r="K159">
        <v>50</v>
      </c>
      <c r="L159">
        <v>1</v>
      </c>
    </row>
    <row r="160">
      <c r="A160" t="str">
        <v>述</v>
      </c>
      <c r="B160">
        <v>8</v>
      </c>
      <c r="C160" t="b">
        <v>1</v>
      </c>
      <c r="D160" t="str">
        <v>ジュツ</v>
      </c>
      <c r="E160" t="str">
        <v>の（べる）</v>
      </c>
      <c r="F160" t="str">
        <v>あきら とも のぶ のぶる のり</v>
      </c>
      <c r="G160" t="str">
        <v>のべる。筋道を立てて話す。説明する。 したがう。つぐ。 受けつぎ伝える。 あつめる。あらわす。</v>
      </c>
      <c r="H160" t="str">
        <v>#知性 #伝統</v>
      </c>
      <c r="I160">
        <v>40</v>
      </c>
      <c r="J160">
        <v>45</v>
      </c>
      <c r="K160">
        <v>40</v>
      </c>
      <c r="L160">
        <v>0</v>
      </c>
      <c r="M160">
        <f>VLOOKUP(A160,[1]kanji_data!$A:$N,14,FALSE)</f>
        <v>0</v>
      </c>
    </row>
    <row r="161">
      <c r="A161" t="str">
        <v>享</v>
      </c>
      <c r="B161">
        <v>8</v>
      </c>
      <c r="C161" t="b">
        <v>1</v>
      </c>
      <c r="D161" t="str">
        <v>キョウ</v>
      </c>
      <c r="E161" t="str">
        <v>あ（たる） う（ける） すす（める）</v>
      </c>
      <c r="F161" t="str">
        <v>あき あきら すけ すすむ たか とおる みち ゆき りょう</v>
      </c>
      <c r="G161" t="str">
        <v>すすめる。もてなす。たてまつる。 まつる。供える。供え物をする。 うける。受けとる。受け入れる。 あたる。あてはまる。かなう。</v>
      </c>
      <c r="H161" t="str">
        <v>#慈愛</v>
      </c>
      <c r="I161">
        <v>40</v>
      </c>
      <c r="J161">
        <v>50</v>
      </c>
      <c r="K161">
        <v>55</v>
      </c>
      <c r="L161">
        <v>0</v>
      </c>
      <c r="M161">
        <f>VLOOKUP(A161,[1]kanji_data!$A:$N,14,FALSE)</f>
        <v>0</v>
      </c>
    </row>
    <row r="162">
      <c r="A162" t="str">
        <v>奎</v>
      </c>
      <c r="B162">
        <v>9</v>
      </c>
      <c r="C162" t="b">
        <v>0</v>
      </c>
      <c r="D162" t="str">
        <v>ケイ キ</v>
      </c>
      <c r="E162" t="str">
        <v>とかきぼし また</v>
      </c>
      <c r="F162" t="str">
        <v>ふみ</v>
      </c>
      <c r="G162" t="str">
        <v>また。またぐら。太ももと太ももの間。 二十八宿の一つ。とかきぼし。 大きく足を広げて歩くさま。</v>
      </c>
      <c r="H162" t="str">
        <v>#天空</v>
      </c>
      <c r="I162">
        <v>40</v>
      </c>
      <c r="J162">
        <v>55</v>
      </c>
      <c r="K162">
        <v>55</v>
      </c>
      <c r="L162">
        <v>0</v>
      </c>
      <c r="M162">
        <f>VLOOKUP(A162,[1]kanji_data!$A:$N,14,FALSE)</f>
        <v>0</v>
      </c>
    </row>
    <row r="163">
      <c r="A163" t="str">
        <v>書</v>
      </c>
      <c r="B163">
        <v>10</v>
      </c>
      <c r="C163" t="b">
        <v>1</v>
      </c>
      <c r="D163" t="str">
        <v>ショ</v>
      </c>
      <c r="E163" t="str">
        <v>か（く） ふみ</v>
      </c>
      <c r="F163">
        <v>0</v>
      </c>
      <c r="G163" t="str">
        <v>かく。かきしるす。かきつける。 ふみ。書物。また、手紙。 文字。また、文字のかき方。 書物の名。「書経」のこと。五経の一つ。</v>
      </c>
      <c r="H163" t="str">
        <v>#知性</v>
      </c>
      <c r="I163">
        <v>10</v>
      </c>
      <c r="J163">
        <v>55</v>
      </c>
      <c r="K163">
        <v>55</v>
      </c>
      <c r="L163">
        <v>0</v>
      </c>
      <c r="M163">
        <f>VLOOKUP(A163,[1]kanji_data!$A:$N,14,FALSE)</f>
        <v>0</v>
      </c>
    </row>
    <row r="164">
      <c r="A164" t="str">
        <v>主</v>
      </c>
      <c r="B164">
        <v>5</v>
      </c>
      <c r="C164" t="b">
        <v>1</v>
      </c>
      <c r="D164" t="str">
        <v>シュ ス</v>
      </c>
      <c r="E164" t="str">
        <v>おも ぬし あるじ つかさど（る）</v>
      </c>
      <c r="F164" t="str">
        <v>かず きみ つかさ もり ゆき</v>
      </c>
      <c r="G164" t="str">
        <v>おも。重要。根本。中心となるもの。 ぬし。あるじ。支配者。 つかさどる。中心となって管理する。</v>
      </c>
      <c r="H164" t="str">
        <v>#自然</v>
      </c>
      <c r="I164">
        <v>60</v>
      </c>
      <c r="J164">
        <v>75</v>
      </c>
      <c r="K164">
        <v>45</v>
      </c>
      <c r="L164">
        <v>0</v>
      </c>
      <c r="M164">
        <f>VLOOKUP(A164,[1]kanji_data!$A:$N,14,FALSE)</f>
        <v>0</v>
      </c>
    </row>
    <row r="165">
      <c r="A165" t="str">
        <v>浴</v>
      </c>
      <c r="B165">
        <v>10</v>
      </c>
      <c r="C165" t="b">
        <v>1</v>
      </c>
      <c r="D165" t="str">
        <v>ヨク</v>
      </c>
      <c r="E165" t="str">
        <v>あ（びせる） あ（びる） ゆあみ</v>
      </c>
      <c r="F165">
        <v>0</v>
      </c>
      <c r="G165" t="str">
        <v>あびる。あびせる。湯あみする。風呂に入る。 受ける。こうむる。身にあびる。</v>
      </c>
      <c r="I165">
        <v>10</v>
      </c>
      <c r="J165">
        <v>50</v>
      </c>
      <c r="K165">
        <v>60</v>
      </c>
      <c r="L165">
        <v>0</v>
      </c>
      <c r="M165">
        <f>VLOOKUP(A165,[1]kanji_data!$A:$N,14,FALSE)</f>
        <v>0</v>
      </c>
    </row>
    <row r="166">
      <c r="A166" t="str">
        <v>世</v>
      </c>
      <c r="B166">
        <v>5</v>
      </c>
      <c r="C166" t="b">
        <v>1</v>
      </c>
      <c r="D166" t="str">
        <v>セ セイ</v>
      </c>
      <c r="E166" t="str">
        <v>よ</v>
      </c>
      <c r="F166" t="str">
        <v>つぎ つぐ とき とし</v>
      </c>
      <c r="G166" t="str">
        <v>よ。三十年間。 よ。親のあとを継いでから、その地位を子に引き継ぐまでの期間。 よ。時代。時勢。 よのなか。社会。 よよ。代々。 よよにす。受け継ぐ。代々続く。</v>
      </c>
      <c r="H166" t="str">
        <v>#繁栄 #調和</v>
      </c>
      <c r="I166">
        <v>95</v>
      </c>
      <c r="J166">
        <v>75</v>
      </c>
      <c r="K166">
        <v>40</v>
      </c>
      <c r="L166">
        <v>0</v>
      </c>
      <c r="M166">
        <f>VLOOKUP(A166,[1]kanji_data!$A:$N,14,FALSE)</f>
        <v>0</v>
      </c>
    </row>
    <row r="167">
      <c r="A167" t="str">
        <v>畠</v>
      </c>
      <c r="B167">
        <v>10</v>
      </c>
      <c r="C167" t="b">
        <v>0</v>
      </c>
      <c r="D167">
        <v>0</v>
      </c>
      <c r="E167" t="str">
        <v>はた はたけ</v>
      </c>
      <c r="F167">
        <v>0</v>
      </c>
      <c r="G167" t="str">
        <v>はた。はたけ。耕作地。</v>
      </c>
      <c r="I167">
        <v>10</v>
      </c>
      <c r="J167">
        <v>65</v>
      </c>
      <c r="K167">
        <v>45</v>
      </c>
      <c r="L167">
        <v>0</v>
      </c>
      <c r="M167">
        <f>VLOOKUP(A167,[1]kanji_data!$A:$N,14,FALSE)</f>
        <v>0</v>
      </c>
    </row>
    <row r="168">
      <c r="A168" t="str">
        <v>船</v>
      </c>
      <c r="B168">
        <v>11</v>
      </c>
      <c r="C168" t="b">
        <v>1</v>
      </c>
      <c r="D168" t="str">
        <v>セン</v>
      </c>
      <c r="E168" t="str">
        <v>ふな ふね</v>
      </c>
      <c r="F168">
        <v>0</v>
      </c>
      <c r="G168" t="str">
        <v>ふね。ふな。水上を移動し、人や物を運ぶ乗り物。</v>
      </c>
      <c r="I168">
        <v>10</v>
      </c>
      <c r="J168">
        <v>80</v>
      </c>
      <c r="K168">
        <v>50</v>
      </c>
      <c r="L168">
        <v>0</v>
      </c>
      <c r="M168">
        <f>VLOOKUP(A168,[1]kanji_data!$A:$N,14,FALSE)</f>
        <v>0</v>
      </c>
    </row>
    <row r="169">
      <c r="A169" t="str">
        <v>舵</v>
      </c>
      <c r="B169">
        <v>11</v>
      </c>
      <c r="C169" t="b">
        <v>0</v>
      </c>
      <c r="D169" t="str">
        <v>タ ダ</v>
      </c>
      <c r="E169" t="str">
        <v>かじ</v>
      </c>
      <c r="F169">
        <v>0</v>
      </c>
      <c r="G169" t="str">
        <v>かじ。船の進行方向を操作するもの。</v>
      </c>
      <c r="I169">
        <v>10</v>
      </c>
      <c r="J169">
        <v>100</v>
      </c>
      <c r="K169">
        <v>25</v>
      </c>
      <c r="L169">
        <v>0</v>
      </c>
      <c r="M169">
        <f>VLOOKUP(A169,[1]kanji_data!$A:$N,14,FALSE)</f>
        <v>0</v>
      </c>
    </row>
    <row r="170">
      <c r="A170" t="str">
        <v>創</v>
      </c>
      <c r="B170">
        <v>12</v>
      </c>
      <c r="C170" t="b">
        <v>1</v>
      </c>
      <c r="D170" t="str">
        <v>ソウ</v>
      </c>
      <c r="E170" t="str">
        <v>つく（る） きず はじ（める）</v>
      </c>
      <c r="F170" t="str">
        <v>そ はじむ はじめ</v>
      </c>
      <c r="G170" t="str">
        <v>きず。切りきず。 きずつく。きずを負う。きずつける。 つくる。はじめる。新しくつくる。はじめてつくり出す。 こらす。こらしめる。いましめる。こりる。</v>
      </c>
      <c r="H170" t="str">
        <v>#心・志 #知性</v>
      </c>
      <c r="I170">
        <v>40</v>
      </c>
      <c r="J170">
        <v>55</v>
      </c>
      <c r="K170">
        <v>60</v>
      </c>
      <c r="L170">
        <v>0</v>
      </c>
      <c r="M170">
        <f>VLOOKUP(A170,[1]kanji_data!$A:$N,14,FALSE)</f>
        <v>0</v>
      </c>
    </row>
    <row r="171">
      <c r="A171" t="str">
        <v>氷</v>
      </c>
      <c r="B171">
        <v>5</v>
      </c>
      <c r="C171" t="b">
        <v>1</v>
      </c>
      <c r="D171" t="str">
        <v>ヒョウ</v>
      </c>
      <c r="E171" t="str">
        <v>こおり ひ こお（る）</v>
      </c>
      <c r="F171">
        <v>0</v>
      </c>
      <c r="G171" t="str">
        <v>こおる。こおり。ひ。 こおりのように純白でけがれのないもののたとえ。 とけやすいもののたとえ。</v>
      </c>
      <c r="H171" t="str">
        <v>#天空 #海・水</v>
      </c>
      <c r="I171">
        <v>10</v>
      </c>
      <c r="J171">
        <v>55</v>
      </c>
      <c r="K171">
        <v>55</v>
      </c>
      <c r="L171">
        <v>0</v>
      </c>
      <c r="M171">
        <f>VLOOKUP(A171,[1]kanji_data!$A:$N,14,FALSE)</f>
        <v>0</v>
      </c>
    </row>
    <row r="172">
      <c r="A172" t="str">
        <v>平</v>
      </c>
      <c r="B172">
        <v>5</v>
      </c>
      <c r="C172" t="b">
        <v>1</v>
      </c>
      <c r="D172" t="str">
        <v>ビョウ ヘイ ヒョウ ヘン</v>
      </c>
      <c r="E172" t="str">
        <v>たい（ら） ひら</v>
      </c>
      <c r="F172" t="str">
        <v>たいら とし なり ひとし</v>
      </c>
      <c r="G172" t="str">
        <v>たいら。たいらか。高低やでこぼこがない。 たいらか。おやだや。やすらか。 かたよっていない。公平。等しい。 たいらげる。たいらぐ。おさめる。しずめる。 普通。普段。日ごろ。 漢字の四声のひとつ平声。 ととのう。治まる。 ひら。普通。特別でない。 ひらに。なにとぞ。どうか。</v>
      </c>
      <c r="H172" t="str">
        <v>#品格</v>
      </c>
      <c r="I172">
        <v>95</v>
      </c>
      <c r="J172">
        <v>55</v>
      </c>
      <c r="K172">
        <v>55</v>
      </c>
      <c r="L172">
        <v>0</v>
      </c>
      <c r="M172">
        <f>VLOOKUP(A172,[1]kanji_data!$A:$N,14,FALSE)</f>
        <v>0</v>
      </c>
    </row>
    <row r="173">
      <c r="A173" t="str">
        <v>由</v>
      </c>
      <c r="B173">
        <v>5</v>
      </c>
      <c r="C173" t="b">
        <v>1</v>
      </c>
      <c r="D173" t="str">
        <v>ユ ユウ ユイ</v>
      </c>
      <c r="E173" t="str">
        <v>よし なお よ（る）</v>
      </c>
      <c r="F173" t="str">
        <v>ただ ゆき より</v>
      </c>
      <c r="G173" t="str">
        <v>よる。もとづく。従う。由来する。のっとる。 よりどころ。いわれ。わけ。原因。よし。 より。・・・から。 よし。伝言や伝聞の内容を指す言葉。</v>
      </c>
      <c r="H173" t="str">
        <v>#自然</v>
      </c>
      <c r="I173">
        <v>90</v>
      </c>
      <c r="J173">
        <v>50</v>
      </c>
      <c r="K173">
        <v>60</v>
      </c>
      <c r="L173">
        <v>0</v>
      </c>
      <c r="M173">
        <f>VLOOKUP(A173,[1]kanji_data!$A:$N,14,FALSE)</f>
        <v>0</v>
      </c>
    </row>
    <row r="174">
      <c r="A174" t="str">
        <v>礼</v>
      </c>
      <c r="B174">
        <v>5</v>
      </c>
      <c r="C174" t="b">
        <v>1</v>
      </c>
      <c r="D174" t="str">
        <v>レイ ライ</v>
      </c>
      <c r="E174" t="str">
        <v>うやま（う） のり</v>
      </c>
      <c r="F174" t="str">
        <v>あき あきら あや うや かた なり ひろ ひろし まさ まさし みち ゆき よし れ</v>
      </c>
      <c r="G174" t="str">
        <v>社会生活を送る上で定まった行動規範。 うやまう。もてなす。敬意を表す。敬意をはらう。 感謝の気持ちを表す。また、そのための金品や言葉。 礼について記した書物。 れい。おじぎ。感謝の意を表すあいさつ。</v>
      </c>
      <c r="H174" t="str">
        <v>#品格 #心・志 #自然</v>
      </c>
      <c r="I174">
        <v>95</v>
      </c>
      <c r="J174">
        <v>60</v>
      </c>
      <c r="K174">
        <v>50</v>
      </c>
      <c r="L174">
        <v>0</v>
      </c>
      <c r="M174">
        <f>VLOOKUP(A174,[1]kanji_data!$A:$N,14,FALSE)</f>
        <v>0</v>
      </c>
    </row>
    <row r="175">
      <c r="A175" t="str">
        <v>以</v>
      </c>
      <c r="B175">
        <v>5</v>
      </c>
      <c r="C175" t="b">
        <v>1</v>
      </c>
      <c r="D175" t="str">
        <v>イ</v>
      </c>
      <c r="E175" t="str">
        <v>もち（いる） もっ（て）</v>
      </c>
      <c r="F175" t="str">
        <v>これ さね しげ とも のり もち ゆき より</v>
      </c>
      <c r="G175" t="str">
        <v>もちいる。使う。使用する。 もって。～によって。～で。 もってする。 おもう。おもんみる。考える。 率いる。 ゆえ。わけ。理由。 すでに。 はなはだ。非常に。大変。</v>
      </c>
      <c r="H175" t="str">
        <v>#繁栄</v>
      </c>
      <c r="I175">
        <v>20</v>
      </c>
      <c r="J175">
        <v>60</v>
      </c>
      <c r="K175">
        <v>60</v>
      </c>
      <c r="L175">
        <v>0</v>
      </c>
      <c r="M175">
        <f>VLOOKUP(A175,[1]kanji_data!$A:$N,14,FALSE)</f>
        <v>0</v>
      </c>
    </row>
    <row r="176">
      <c r="A176" t="str">
        <v>加</v>
      </c>
      <c r="B176">
        <v>5</v>
      </c>
      <c r="C176" t="b">
        <v>1</v>
      </c>
      <c r="D176" t="str">
        <v>カ</v>
      </c>
      <c r="E176" t="str">
        <v>くわ（える） くわ（わる）</v>
      </c>
      <c r="F176" t="str">
        <v>ます また</v>
      </c>
      <c r="G176" t="str">
        <v>くわえる。くわわる。足す。増やす。多くする。 くわえる。くわわる。仲間にする。仲間になる。 影響を与える。また、施す。 くわえて。その上に。 足し算。例：加法 国名「加奈陀（カナダ）」の略。</v>
      </c>
      <c r="H176" t="str">
        <v>#調和</v>
      </c>
      <c r="I176">
        <v>75</v>
      </c>
      <c r="J176">
        <v>85</v>
      </c>
      <c r="K176">
        <v>35</v>
      </c>
      <c r="L176">
        <v>0</v>
      </c>
      <c r="M176">
        <f>VLOOKUP(A176,[1]kanji_data!$A:$N,14,FALSE)</f>
        <v>0</v>
      </c>
    </row>
    <row r="177">
      <c r="A177" t="str">
        <v>功</v>
      </c>
      <c r="B177">
        <v>5</v>
      </c>
      <c r="C177" t="b">
        <v>1</v>
      </c>
      <c r="D177" t="str">
        <v>コウ ク</v>
      </c>
      <c r="E177" t="str">
        <v>いさお</v>
      </c>
      <c r="F177" t="str">
        <v>あう あつ いさ いさおし かた かつ こと たか つとむ つとめ なり なる のり</v>
      </c>
      <c r="G177" t="str">
        <v>いさお。手柄。 仕事。はたらき。ききめ。 成果。結果。 喪服の名前。例：大功 小功</v>
      </c>
      <c r="H177" t="str">
        <v>#勇気 #繁栄</v>
      </c>
      <c r="I177">
        <v>85</v>
      </c>
      <c r="J177">
        <v>65</v>
      </c>
      <c r="K177">
        <v>45</v>
      </c>
      <c r="L177">
        <v>0</v>
      </c>
      <c r="M177">
        <f>VLOOKUP(A177,[1]kanji_data!$A:$N,14,FALSE)</f>
        <v>0</v>
      </c>
    </row>
    <row r="178">
      <c r="A178" t="str">
        <v>扉</v>
      </c>
      <c r="B178">
        <v>12</v>
      </c>
      <c r="C178" t="b">
        <v>1</v>
      </c>
      <c r="D178" t="str">
        <v>ヒ</v>
      </c>
      <c r="E178" t="str">
        <v>とびら</v>
      </c>
      <c r="F178">
        <v>0</v>
      </c>
      <c r="G178" t="str">
        <v>とびら。開き戸。前後に開閉するとびら。</v>
      </c>
      <c r="I178">
        <v>10</v>
      </c>
      <c r="J178">
        <v>50</v>
      </c>
      <c r="K178">
        <v>55</v>
      </c>
      <c r="L178">
        <v>0</v>
      </c>
      <c r="M178">
        <f>VLOOKUP(A178,[1]kanji_data!$A:$N,14,FALSE)</f>
        <v>0</v>
      </c>
    </row>
    <row r="179">
      <c r="A179" t="str">
        <v>史</v>
      </c>
      <c r="B179">
        <v>5</v>
      </c>
      <c r="C179" t="b">
        <v>1</v>
      </c>
      <c r="D179" t="str">
        <v>シ</v>
      </c>
      <c r="E179" t="str">
        <v>ふびと ふみ</v>
      </c>
      <c r="F179" t="str">
        <v>さかん じ ちか ちかし ひと ふの ふひと み</v>
      </c>
      <c r="G179" t="str">
        <v>ふびと。記録をつかさどる役人。 ふみ。記録。例：歴史書 さかん。四等官で、太政官・神祇官の第四位。</v>
      </c>
      <c r="H179" t="str">
        <v>#繁栄</v>
      </c>
      <c r="I179">
        <v>95</v>
      </c>
      <c r="J179">
        <v>55</v>
      </c>
      <c r="K179">
        <v>55</v>
      </c>
      <c r="L179">
        <v>0</v>
      </c>
      <c r="M179">
        <f>VLOOKUP(A179,[1]kanji_data!$A:$N,14,FALSE)</f>
        <v>0</v>
      </c>
    </row>
    <row r="180">
      <c r="A180" t="str">
        <v>司</v>
      </c>
      <c r="B180">
        <v>5</v>
      </c>
      <c r="C180" t="b">
        <v>1</v>
      </c>
      <c r="D180" t="str">
        <v>シ ス</v>
      </c>
      <c r="E180" t="str">
        <v>つかさ つかさど（る）</v>
      </c>
      <c r="F180" t="str">
        <v>おさむ かず じ つとむ もと もり</v>
      </c>
      <c r="G180" t="str">
        <v>つかさ。役人。役目を担う人。 つかさどる。役目を担う。とりしきる。管理する。 うかがう。様子をさぐる。のぞき見る。＝伺</v>
      </c>
      <c r="H180" t="str">
        <v>#品格</v>
      </c>
      <c r="I180">
        <v>90</v>
      </c>
      <c r="J180">
        <v>80</v>
      </c>
      <c r="K180">
        <v>45</v>
      </c>
      <c r="L180">
        <v>0</v>
      </c>
      <c r="M180">
        <f>VLOOKUP(A180,[1]kanji_data!$A:$N,14,FALSE)</f>
        <v>0</v>
      </c>
    </row>
    <row r="181">
      <c r="A181" t="str">
        <v>煉</v>
      </c>
      <c r="B181">
        <v>13</v>
      </c>
      <c r="C181" t="b">
        <v>0</v>
      </c>
      <c r="D181" t="str">
        <v>レン</v>
      </c>
      <c r="E181" t="str">
        <v>ね（る）</v>
      </c>
      <c r="F181">
        <v>0</v>
      </c>
      <c r="G181" t="str">
        <v>ねる。鉱石を熱して不純物を取り除く。質を高める。＝錬 ねる。薬をねり合わせる。＝錬</v>
      </c>
      <c r="I181">
        <v>10</v>
      </c>
      <c r="J181">
        <v>100</v>
      </c>
      <c r="K181">
        <v>30</v>
      </c>
      <c r="L181">
        <v>0</v>
      </c>
      <c r="M181">
        <f>VLOOKUP(A181,[1]kanji_data!$A:$N,14,FALSE)</f>
        <v>0</v>
      </c>
    </row>
    <row r="182">
      <c r="A182" t="str">
        <v>滴</v>
      </c>
      <c r="B182">
        <v>14</v>
      </c>
      <c r="C182" t="b">
        <v>1</v>
      </c>
      <c r="D182" t="str">
        <v>テキ</v>
      </c>
      <c r="E182" t="str">
        <v>しずく したた（る） た（れる）</v>
      </c>
      <c r="F182">
        <v>0</v>
      </c>
      <c r="G182" t="str">
        <v>しずく。したたり。 したたる。垂れる。しずくが垂れ落ちる。しずくとなって落ちる。 しずくを数えることば。</v>
      </c>
      <c r="I182">
        <v>10</v>
      </c>
      <c r="J182">
        <v>55</v>
      </c>
      <c r="K182">
        <v>55</v>
      </c>
      <c r="L182">
        <v>0</v>
      </c>
      <c r="M182">
        <f>VLOOKUP(A182,[1]kanji_data!$A:$N,14,FALSE)</f>
        <v>0</v>
      </c>
    </row>
    <row r="183">
      <c r="A183" t="str">
        <v>融</v>
      </c>
      <c r="B183">
        <v>16</v>
      </c>
      <c r="C183" t="b">
        <v>1</v>
      </c>
      <c r="D183" t="str">
        <v>ユウ</v>
      </c>
      <c r="E183" t="str">
        <v>とお（る） と（ける）</v>
      </c>
      <c r="F183">
        <v>0</v>
      </c>
      <c r="G183" t="str">
        <v>とける。とかす。固体を液体にする。 通る。通じる。 和らぐ。 ほがらか。</v>
      </c>
      <c r="I183">
        <v>10</v>
      </c>
      <c r="J183">
        <v>65</v>
      </c>
      <c r="K183">
        <v>55</v>
      </c>
      <c r="L183">
        <v>0</v>
      </c>
      <c r="M183">
        <f>VLOOKUP(A183,[1]kanji_data!$A:$N,14,FALSE)</f>
        <v>0</v>
      </c>
    </row>
    <row r="184">
      <c r="A184" t="str">
        <v>辺</v>
      </c>
      <c r="B184">
        <v>5</v>
      </c>
      <c r="C184" t="b">
        <v>1</v>
      </c>
      <c r="D184" t="str">
        <v>ヘン</v>
      </c>
      <c r="E184" t="str">
        <v>あた（り） べ ほとり</v>
      </c>
      <c r="F184">
        <v>0</v>
      </c>
      <c r="G184" t="str">
        <v>はて。はし。はずれ。片田舎。かぎり。 中央からはずれたところ。 そば。近く。近接する。隣り合う。 へん。数学で多角形の外側の線。 へ。べ。あたり・ほとりなどをあらわす接尾語。例：川辺 海辺</v>
      </c>
      <c r="H184" t="str">
        <v>#海・水</v>
      </c>
      <c r="I184">
        <v>10</v>
      </c>
      <c r="J184">
        <v>75</v>
      </c>
      <c r="K184">
        <v>45</v>
      </c>
      <c r="L184">
        <v>0</v>
      </c>
      <c r="M184">
        <f>VLOOKUP(A184,[1]kanji_data!$A:$N,14,FALSE)</f>
        <v>0</v>
      </c>
    </row>
    <row r="185">
      <c r="A185" t="str">
        <v>制</v>
      </c>
      <c r="B185">
        <v>8</v>
      </c>
      <c r="C185" t="b">
        <v>1</v>
      </c>
      <c r="D185" t="str">
        <v>セイ</v>
      </c>
      <c r="E185" t="str">
        <v>おさ（える）</v>
      </c>
      <c r="F185">
        <v>0</v>
      </c>
      <c r="G185" t="str">
        <v>おさえる。やめさせる。従わせる。 つくる。作り上げる。形を整える。 とりきめ。おきて。とり締まる。 きる。切り取る。断ち切る。 みことのり。天子の命令。</v>
      </c>
      <c r="I185">
        <v>10</v>
      </c>
      <c r="J185">
        <v>60</v>
      </c>
      <c r="K185">
        <v>60</v>
      </c>
      <c r="L185">
        <v>1</v>
      </c>
    </row>
    <row r="186">
      <c r="A186" t="str">
        <v>婦</v>
      </c>
      <c r="B186">
        <v>11</v>
      </c>
      <c r="C186" t="b">
        <v>1</v>
      </c>
      <c r="D186" t="str">
        <v>フ</v>
      </c>
      <c r="E186" t="str">
        <v>おんな</v>
      </c>
      <c r="F186">
        <v>0</v>
      </c>
      <c r="G186" t="str">
        <v>おんな。成人女性。 つま。既婚女性。夫のある女性。 つま。よめ。子の妻、または自分の妻。</v>
      </c>
      <c r="I186">
        <v>10</v>
      </c>
      <c r="J186">
        <v>35</v>
      </c>
      <c r="K186">
        <v>70</v>
      </c>
      <c r="L186">
        <v>1</v>
      </c>
    </row>
    <row r="187">
      <c r="A187" t="str">
        <v>未</v>
      </c>
      <c r="B187">
        <v>5</v>
      </c>
      <c r="C187" t="b">
        <v>1</v>
      </c>
      <c r="D187" t="str">
        <v>ミ ビ</v>
      </c>
      <c r="E187" t="str">
        <v>いま（だ） ひつじ ま（だ）</v>
      </c>
      <c r="F187" t="str">
        <v>いま いや ひで</v>
      </c>
      <c r="G187" t="str">
        <v>ひつじ。十二支の八番目。方位では南南西。時刻では午後二時、および前後の二時間。動物では羊。 「いまだ～ず」と読み、「まだ～ない」「まだ～していない」の意を表す。 「いまだし」と読み、「まだである」「まだです」の意を表す。 「いまだしや」と読み、「まだであるか」の意を表す。</v>
      </c>
      <c r="H187" t="str">
        <v>#繁栄</v>
      </c>
      <c r="I187">
        <v>80</v>
      </c>
      <c r="J187">
        <v>50</v>
      </c>
      <c r="K187">
        <v>55</v>
      </c>
      <c r="L187">
        <v>0</v>
      </c>
      <c r="M187">
        <f>VLOOKUP(A187,[1]kanji_data!$A:$N,14,FALSE)</f>
        <v>0</v>
      </c>
    </row>
    <row r="188">
      <c r="A188" t="str">
        <v>虫</v>
      </c>
      <c r="B188">
        <v>6</v>
      </c>
      <c r="C188" t="b">
        <v>1</v>
      </c>
      <c r="D188" t="str">
        <v>チュウ キ</v>
      </c>
      <c r="E188" t="str">
        <v>むし</v>
      </c>
      <c r="F188">
        <v>0</v>
      </c>
      <c r="G188" t="str">
        <v>むし。昆虫類の総称。 動物の総称。 むし。子供の病気。 むし。ある物事にひどく熱中する人。 まむし。</v>
      </c>
      <c r="I188">
        <v>10</v>
      </c>
      <c r="J188">
        <v>50</v>
      </c>
      <c r="K188">
        <v>50</v>
      </c>
      <c r="L188">
        <v>1</v>
      </c>
    </row>
    <row r="189">
      <c r="A189" t="str">
        <v>令</v>
      </c>
      <c r="B189">
        <v>5</v>
      </c>
      <c r="C189" t="b">
        <v>1</v>
      </c>
      <c r="D189" t="str">
        <v>レイ リョウ</v>
      </c>
      <c r="E189" t="str">
        <v>いいつけ おさ よ（い）</v>
      </c>
      <c r="F189" t="str">
        <v>なり のり はる よし れ</v>
      </c>
      <c r="G189" t="str">
        <v>いいつけ。上の者からの指示。 おさ。長官。 よい。すぐれた。立派な。相手の親族を敬っていうことば。 のり。おきて。決まり。法律。 しむ。せしむ。「令ＡＢ～」の形で、「ＡをしてＢせしむ」と読み、「ＡにＢをさせる」の意。</v>
      </c>
      <c r="H189" t="str">
        <v>#品格</v>
      </c>
      <c r="I189">
        <v>95</v>
      </c>
      <c r="J189">
        <v>25</v>
      </c>
      <c r="K189">
        <v>100</v>
      </c>
      <c r="L189">
        <v>0</v>
      </c>
      <c r="M189">
        <f>VLOOKUP(A189,[1]kanji_data!$A:$N,14,FALSE)</f>
        <v>0</v>
      </c>
    </row>
    <row r="190">
      <c r="A190" t="str">
        <v>条</v>
      </c>
      <c r="B190">
        <v>7</v>
      </c>
      <c r="C190" t="b">
        <v>1</v>
      </c>
      <c r="D190" t="str">
        <v>ジョウ</v>
      </c>
      <c r="E190" t="str">
        <v>えだ すじ</v>
      </c>
      <c r="F190">
        <v>0</v>
      </c>
      <c r="G190" t="str">
        <v>えだ。小枝。細長い枝。 すじ。道筋。道理。 のびる。のびやか。 ひとつひとつ並べて述べる。また、並べて書いたもの。 細長いもの。また、細長いものを数えることば。 じょう。～ゆえに。～だから。</v>
      </c>
      <c r="I190">
        <v>10</v>
      </c>
      <c r="J190">
        <v>55</v>
      </c>
      <c r="K190">
        <v>55</v>
      </c>
      <c r="L190">
        <v>0</v>
      </c>
      <c r="M190">
        <f>VLOOKUP(A190,[1]kanji_data!$A:$N,14,FALSE)</f>
        <v>0</v>
      </c>
    </row>
    <row r="191">
      <c r="A191" t="str">
        <v>永</v>
      </c>
      <c r="B191">
        <v>5</v>
      </c>
      <c r="C191" t="b">
        <v>1</v>
      </c>
      <c r="D191" t="str">
        <v>エイ ヨウ</v>
      </c>
      <c r="E191" t="str">
        <v>なが（い） とこしえ</v>
      </c>
      <c r="F191" t="str">
        <v>え つね な なが のぶ のり はるか ひさ ひさし</v>
      </c>
      <c r="G191" t="str">
        <v>ながい。距離が長い。とおい。はるか。時間が長い。久しい。 とこしえ。とこしえに。限りなく。いつまでも。 長くする。</v>
      </c>
      <c r="H191" t="str">
        <v>#健康</v>
      </c>
      <c r="I191">
        <v>98</v>
      </c>
      <c r="J191">
        <v>55</v>
      </c>
      <c r="K191">
        <v>55</v>
      </c>
      <c r="L191">
        <v>0</v>
      </c>
      <c r="M191">
        <f>VLOOKUP(A191,[1]kanji_data!$A:$N,14,FALSE)</f>
        <v>0</v>
      </c>
    </row>
    <row r="192">
      <c r="A192" t="str">
        <v>姉</v>
      </c>
      <c r="B192">
        <v>8</v>
      </c>
      <c r="C192" t="b">
        <v>1</v>
      </c>
      <c r="D192" t="str">
        <v>シ</v>
      </c>
      <c r="E192" t="str">
        <v>あね</v>
      </c>
      <c r="F192">
        <v>0</v>
      </c>
      <c r="G192" t="str">
        <v>あね。女性のきょうだいの年上の人。 年上の女性を親しんで、または敬って呼ぶことば。</v>
      </c>
      <c r="I192">
        <v>10</v>
      </c>
      <c r="J192">
        <v>35</v>
      </c>
      <c r="K192">
        <v>70</v>
      </c>
      <c r="L192">
        <v>1</v>
      </c>
    </row>
    <row r="193">
      <c r="A193" t="str">
        <v>妹</v>
      </c>
      <c r="B193">
        <v>8</v>
      </c>
      <c r="C193" t="b">
        <v>1</v>
      </c>
      <c r="D193" t="str">
        <v>マイ バイ</v>
      </c>
      <c r="E193" t="str">
        <v>いもうと いも</v>
      </c>
      <c r="F193">
        <v>0</v>
      </c>
      <c r="G193" t="str">
        <v>いもうと。女性のきょうだいの年下の人。 年下の女性や妻を親しんで呼ぶことば。 いも。女性を親しんで呼ぶことば。</v>
      </c>
      <c r="I193">
        <v>10</v>
      </c>
      <c r="J193">
        <v>35</v>
      </c>
      <c r="K193">
        <v>70</v>
      </c>
      <c r="L193">
        <v>1</v>
      </c>
    </row>
    <row r="194">
      <c r="A194" t="str">
        <v>取</v>
      </c>
      <c r="B194">
        <v>8</v>
      </c>
      <c r="C194" t="b">
        <v>1</v>
      </c>
      <c r="D194" t="str">
        <v>シュ</v>
      </c>
      <c r="E194" t="str">
        <v>と（る）</v>
      </c>
      <c r="F194">
        <v>0</v>
      </c>
      <c r="G194" t="str">
        <v>とる。手に持つ。 とる。自分のものにする。得る。手に入れる。 とる。選びとる。採用する。 奪いとる。攻めとる。 めとる。妻として迎える。</v>
      </c>
      <c r="I194">
        <v>10</v>
      </c>
      <c r="J194">
        <v>90</v>
      </c>
      <c r="K194">
        <v>35</v>
      </c>
      <c r="L194">
        <v>1</v>
      </c>
    </row>
    <row r="195">
      <c r="A195" t="str">
        <v>句</v>
      </c>
      <c r="B195">
        <v>5</v>
      </c>
      <c r="C195" t="b">
        <v>1</v>
      </c>
      <c r="D195" t="str">
        <v>ク コウ</v>
      </c>
      <c r="E195" t="str">
        <v>あ（たる） ま（がる）</v>
      </c>
      <c r="F195">
        <v>0</v>
      </c>
      <c r="G195" t="str">
        <v>文章・言葉などのひとくぎり。 曲がる。 直角三角形の直角をはさむ二辺のうち、短いほうの辺。 あたる。仕事や任務にあたる。 く。俳句（はいく）の略。</v>
      </c>
      <c r="H195" t="str">
        <v>#自然</v>
      </c>
      <c r="I195">
        <v>10</v>
      </c>
      <c r="J195">
        <v>55</v>
      </c>
      <c r="K195">
        <v>55</v>
      </c>
      <c r="L195">
        <v>0</v>
      </c>
      <c r="M195">
        <f>VLOOKUP(A195,[1]kanji_data!$A:$N,14,FALSE)</f>
        <v>0</v>
      </c>
    </row>
    <row r="196">
      <c r="A196" t="str">
        <v>非</v>
      </c>
      <c r="B196">
        <v>8</v>
      </c>
      <c r="C196" t="b">
        <v>1</v>
      </c>
      <c r="D196" t="str">
        <v>ヒ</v>
      </c>
      <c r="E196" t="str">
        <v>あら（ず） そし（る） わる（い）</v>
      </c>
      <c r="F196">
        <v>0</v>
      </c>
      <c r="G196" t="str">
        <v>そしる。責めとがめる。認めない。 わるい。あやまち。まちがい。不正。 「あらず」と読み、「～ではない」と否定の意を表す。 「あらずんば」と読み、「～でなければ」「～なしでは」と仮定条件の意を表す。</v>
      </c>
      <c r="I196">
        <v>10</v>
      </c>
      <c r="J196">
        <v>55</v>
      </c>
      <c r="K196">
        <v>55</v>
      </c>
      <c r="L196">
        <v>1</v>
      </c>
    </row>
    <row r="197">
      <c r="A197" t="str">
        <v>泡</v>
      </c>
      <c r="B197">
        <v>8</v>
      </c>
      <c r="C197" t="b">
        <v>1</v>
      </c>
      <c r="D197" t="str">
        <v>ホウ</v>
      </c>
      <c r="E197" t="str">
        <v>あわ あぶく</v>
      </c>
      <c r="F197">
        <v>0</v>
      </c>
      <c r="G197" t="str">
        <v>あわ。あぶく。うたかた。</v>
      </c>
      <c r="I197">
        <v>10</v>
      </c>
      <c r="J197">
        <v>50</v>
      </c>
      <c r="K197">
        <v>50</v>
      </c>
      <c r="L197">
        <v>1</v>
      </c>
    </row>
    <row r="198">
      <c r="A198" t="str">
        <v>昼</v>
      </c>
      <c r="B198">
        <v>9</v>
      </c>
      <c r="C198" t="b">
        <v>1</v>
      </c>
      <c r="D198" t="str">
        <v>チュウ</v>
      </c>
      <c r="E198" t="str">
        <v>ひる</v>
      </c>
      <c r="F198">
        <v>0</v>
      </c>
      <c r="G198" t="str">
        <v>ひる。ひるま。日の出から日の入りまで。 ひる。まひる。正午。正午ごろ。</v>
      </c>
      <c r="I198">
        <v>10</v>
      </c>
      <c r="J198">
        <v>50</v>
      </c>
      <c r="K198">
        <v>50</v>
      </c>
      <c r="L198">
        <v>1</v>
      </c>
    </row>
    <row r="199">
      <c r="A199" t="str">
        <v>弁</v>
      </c>
      <c r="B199">
        <v>5</v>
      </c>
      <c r="C199" t="b">
        <v>1</v>
      </c>
      <c r="D199" t="str">
        <v>ベン</v>
      </c>
      <c r="E199" t="str">
        <v>はなびら うりのなかご かた（る） と（く） わきま（える） わ（ける） かんむり</v>
      </c>
      <c r="F199">
        <v>0</v>
      </c>
      <c r="G199" t="str">
        <v>はなびら。花弁。 うりのなかご。瓜のさね。瓜の種。 体内の血液の逆流を防いだり液体・気体の流れを調整したりする花弁状の膜。 言葉でおさめる。説得する。 説く。語る。 議論する。言い争う。 言葉が上手。話しぶりが上手。 はっきりする。明らかにする。 べん。方言。話しぶり。例：関西弁 大阪弁 わける。区別する。 見分ける。違いを明らかにする。 わきまえる。わかる。心得る。 かんむり。かぶり物。 かんむりをつける。 ふるえる。おそれる。</v>
      </c>
      <c r="H199" t="str">
        <v>#知性 #自然 #花・彩</v>
      </c>
      <c r="I199">
        <v>10</v>
      </c>
      <c r="J199">
        <v>55</v>
      </c>
      <c r="K199">
        <v>55</v>
      </c>
      <c r="L199">
        <v>0</v>
      </c>
      <c r="M199">
        <f>VLOOKUP(A199,[1]kanji_data!$A:$N,14,FALSE)</f>
        <v>0</v>
      </c>
    </row>
    <row r="200">
      <c r="A200" t="str">
        <v>点</v>
      </c>
      <c r="B200">
        <v>9</v>
      </c>
      <c r="C200" t="b">
        <v>1</v>
      </c>
      <c r="D200" t="str">
        <v>テン</v>
      </c>
      <c r="E200" t="str">
        <v>た（てる） つ（ける） とぼ（す） とぼ（る） とも（る）</v>
      </c>
      <c r="F200">
        <v>0</v>
      </c>
      <c r="G200" t="str">
        <v>小さいしるし。 文章の切れ目のしるし。 けがれ。よごれ。しみ。 一つ一つ調べる。しるしをつけて調べる。 特定の場所や事柄。</v>
      </c>
      <c r="I200">
        <v>10</v>
      </c>
      <c r="J200">
        <v>55</v>
      </c>
      <c r="K200">
        <v>55</v>
      </c>
      <c r="L200">
        <v>1</v>
      </c>
    </row>
    <row r="201">
      <c r="A201" t="str">
        <v>炭</v>
      </c>
      <c r="B201">
        <v>9</v>
      </c>
      <c r="C201" t="b">
        <v>1</v>
      </c>
      <c r="D201" t="str">
        <v>タン</v>
      </c>
      <c r="E201" t="str">
        <v>すみ</v>
      </c>
      <c r="F201">
        <v>0</v>
      </c>
      <c r="G201" t="str">
        <v>すみ。木をむしやきにして作った燃料。 「石炭」の略。 元素の一つ。炭素。</v>
      </c>
      <c r="I201">
        <v>10</v>
      </c>
      <c r="J201">
        <v>50</v>
      </c>
      <c r="K201">
        <v>50</v>
      </c>
      <c r="L201">
        <v>1</v>
      </c>
    </row>
    <row r="202">
      <c r="A202" t="str">
        <v>班</v>
      </c>
      <c r="B202">
        <v>10</v>
      </c>
      <c r="C202" t="b">
        <v>1</v>
      </c>
      <c r="D202" t="str">
        <v>ハン</v>
      </c>
      <c r="E202" t="str">
        <v>かえ（す） わ（ける）</v>
      </c>
      <c r="F202" t="str">
        <v>つら なか ひとし</v>
      </c>
      <c r="G202" t="str">
        <v>わける。わかつ。分け与える。分配する。 順序・順番・階級などを決める。 組。グループ。 かえす。かえる。めぐらす。ひきもどす。 しく。しきのべる。しき広げる。</v>
      </c>
      <c r="I202">
        <v>35</v>
      </c>
      <c r="J202">
        <v>35</v>
      </c>
      <c r="K202">
        <v>70</v>
      </c>
      <c r="L202">
        <v>1</v>
      </c>
    </row>
    <row r="203">
      <c r="A203" t="str">
        <v>荻</v>
      </c>
      <c r="B203">
        <v>10</v>
      </c>
      <c r="C203" t="b">
        <v>0</v>
      </c>
      <c r="D203" t="str">
        <v>テキ</v>
      </c>
      <c r="E203" t="str">
        <v>おぎ</v>
      </c>
      <c r="F203">
        <v>0</v>
      </c>
      <c r="G203" t="str">
        <v>おぎ。おぎよし。いね科の多年草。あしに似た草。 よもぎ。くさよもぎ。</v>
      </c>
      <c r="I203">
        <v>10</v>
      </c>
      <c r="J203">
        <v>50</v>
      </c>
      <c r="K203">
        <v>50</v>
      </c>
      <c r="L203">
        <v>0</v>
      </c>
      <c r="M203">
        <f>VLOOKUP(A203,[1]kanji_data!$A:$N,14,FALSE)</f>
        <v>0</v>
      </c>
    </row>
    <row r="204">
      <c r="A204" t="str">
        <v>幼</v>
      </c>
      <c r="B204">
        <v>5</v>
      </c>
      <c r="C204" t="b">
        <v>1</v>
      </c>
      <c r="D204" t="str">
        <v>ヨウ ユウ</v>
      </c>
      <c r="E204" t="str">
        <v>おさな（い） いとけな（い）</v>
      </c>
      <c r="F204">
        <v>0</v>
      </c>
      <c r="G204" t="str">
        <v>おさない。いとけない。あどけない。 おさなご。おさない子ども。 いつくしむ。おさない子どもをかわいがる。 かすか。こまやか。</v>
      </c>
      <c r="H204" t="str">
        <v>#慈愛</v>
      </c>
      <c r="I204">
        <v>10</v>
      </c>
      <c r="J204">
        <v>50</v>
      </c>
      <c r="K204">
        <v>60</v>
      </c>
      <c r="L204">
        <v>0</v>
      </c>
      <c r="M204">
        <f>VLOOKUP(A204,[1]kanji_data!$A:$N,14,FALSE)</f>
        <v>0</v>
      </c>
    </row>
    <row r="205">
      <c r="A205" t="str">
        <v>甘</v>
      </c>
      <c r="B205">
        <v>5</v>
      </c>
      <c r="C205" t="b">
        <v>1</v>
      </c>
      <c r="D205" t="str">
        <v>カン</v>
      </c>
      <c r="E205" t="str">
        <v>あま（い） あま（える） あま（やかす） うま（い）</v>
      </c>
      <c r="F205" t="str">
        <v>あま かい よし</v>
      </c>
      <c r="G205" t="str">
        <v>あまい。あまみ。五味の一つ。 ゆるい。てぬるい。しっかりしていない。にぶい。 あまんずる。あまんじる。満足する。快く思う。転じて、仕方がないと我慢する。 うまい。おいしい。味がよい。こころよい。 あましとする。うましとする。おいしいと思う。うまいと思う。 あまい。厳しくない。不足している。徹底していない。</v>
      </c>
      <c r="H205" t="str">
        <v>#心・志</v>
      </c>
      <c r="I205">
        <v>20</v>
      </c>
      <c r="J205">
        <v>35</v>
      </c>
      <c r="K205">
        <v>75</v>
      </c>
      <c r="L205">
        <v>0</v>
      </c>
      <c r="M205">
        <f>VLOOKUP(A205,[1]kanji_data!$A:$N,14,FALSE)</f>
        <v>0</v>
      </c>
    </row>
    <row r="206">
      <c r="A206" t="str">
        <v>丘</v>
      </c>
      <c r="B206">
        <v>5</v>
      </c>
      <c r="C206" t="b">
        <v>1</v>
      </c>
      <c r="D206" t="str">
        <v>キュウ</v>
      </c>
      <c r="E206" t="str">
        <v>おか</v>
      </c>
      <c r="F206" t="str">
        <v>お たか たかし</v>
      </c>
      <c r="G206" t="str">
        <v>おか。小さい山。小高い地形。 つか。はか。土を小高く盛った墓。 むら。村落。</v>
      </c>
      <c r="H206" t="str">
        <v>#自然</v>
      </c>
      <c r="I206">
        <v>40</v>
      </c>
      <c r="J206">
        <v>55</v>
      </c>
      <c r="K206">
        <v>55</v>
      </c>
      <c r="L206">
        <v>0</v>
      </c>
      <c r="M206">
        <f>VLOOKUP(A206,[1]kanji_data!$A:$N,14,FALSE)</f>
        <v>0</v>
      </c>
    </row>
    <row r="207">
      <c r="A207" t="str">
        <v>巨</v>
      </c>
      <c r="B207">
        <v>5</v>
      </c>
      <c r="C207" t="b">
        <v>1</v>
      </c>
      <c r="D207" t="str">
        <v>キョ コ</v>
      </c>
      <c r="E207" t="str">
        <v>おお（い） おお（きい）</v>
      </c>
      <c r="F207" t="str">
        <v>お おお なお まさ み</v>
      </c>
      <c r="G207" t="str">
        <v>おおきい。とてもおおきい。 おおい。数が多い。 なんぞ。どうして。反語の意を表す。</v>
      </c>
      <c r="H207" t="str">
        <v>#繁栄</v>
      </c>
      <c r="I207">
        <v>75</v>
      </c>
      <c r="J207">
        <v>75</v>
      </c>
      <c r="K207">
        <v>45</v>
      </c>
      <c r="L207">
        <v>0</v>
      </c>
      <c r="M207">
        <f>VLOOKUP(A207,[1]kanji_data!$A:$N,14,FALSE)</f>
        <v>0</v>
      </c>
    </row>
    <row r="208">
      <c r="A208" t="str">
        <v>玄</v>
      </c>
      <c r="B208">
        <v>5</v>
      </c>
      <c r="C208" t="b">
        <v>1</v>
      </c>
      <c r="D208" t="str">
        <v>ゲン</v>
      </c>
      <c r="E208" t="str">
        <v>くろ くろ（い）</v>
      </c>
      <c r="F208" t="str">
        <v>しず しずか つね とお のり はじめ はる はるか ひかる ひろ ふか ふかし</v>
      </c>
      <c r="G208" t="str">
        <v>くろ。黒い色。赤味のある黒い色。また、暗い。 深い。奥深い。 遠い。かすかで遠い。はるか遠い。 天。天の色。 北の方角。北向き。</v>
      </c>
      <c r="H208" t="str">
        <v>#心・志 #知性</v>
      </c>
      <c r="I208">
        <v>85</v>
      </c>
      <c r="J208">
        <v>50</v>
      </c>
      <c r="K208">
        <v>75</v>
      </c>
      <c r="L208">
        <v>0</v>
      </c>
      <c r="M208">
        <f>VLOOKUP(A208,[1]kanji_data!$A:$N,14,FALSE)</f>
        <v>0</v>
      </c>
    </row>
    <row r="209">
      <c r="A209" t="str">
        <v>産</v>
      </c>
      <c r="B209">
        <v>11</v>
      </c>
      <c r="C209" t="b">
        <v>1</v>
      </c>
      <c r="D209" t="str">
        <v>サン</v>
      </c>
      <c r="E209" t="str">
        <v>う（まれる） う（む） うぶ</v>
      </c>
      <c r="F209" t="str">
        <v>ただ むすび</v>
      </c>
      <c r="G209" t="str">
        <v>うまれる。うむ。子を生む。たまごを生む。 うまれ。出身地。 生活の資。もとで。資材。 なりわい。仕事。 うぶ。生まれたままの。</v>
      </c>
      <c r="I209">
        <v>35</v>
      </c>
      <c r="J209">
        <v>50</v>
      </c>
      <c r="K209">
        <v>65</v>
      </c>
      <c r="L209">
        <v>1</v>
      </c>
    </row>
    <row r="210">
      <c r="A210" t="str">
        <v>紹</v>
      </c>
      <c r="B210">
        <v>11</v>
      </c>
      <c r="C210" t="b">
        <v>1</v>
      </c>
      <c r="D210" t="str">
        <v>ショウ</v>
      </c>
      <c r="E210" t="str">
        <v>つ（ぐ）</v>
      </c>
      <c r="F210" t="str">
        <v>あき つぎ つぐ</v>
      </c>
      <c r="G210" t="str">
        <v>つぐ。受けつぐ。引き継ぐ。継承する。 引き合わせる。間をとりもつ。</v>
      </c>
      <c r="I210">
        <v>35</v>
      </c>
      <c r="J210">
        <v>65</v>
      </c>
      <c r="K210">
        <v>55</v>
      </c>
      <c r="L210">
        <v>0</v>
      </c>
      <c r="M210">
        <f>VLOOKUP(A210,[1]kanji_data!$A:$N,14,FALSE)</f>
        <v>0</v>
      </c>
    </row>
    <row r="211">
      <c r="A211" t="str">
        <v>占</v>
      </c>
      <c r="B211">
        <v>5</v>
      </c>
      <c r="C211" t="b">
        <v>1</v>
      </c>
      <c r="D211" t="str">
        <v>セン</v>
      </c>
      <c r="E211" t="str">
        <v>うらな（う） し（める）</v>
      </c>
      <c r="F211">
        <v>0</v>
      </c>
      <c r="G211" t="str">
        <v>うらなう。物事の吉凶を判断する。 しめる。物・場所・地位などを自分のものとする。</v>
      </c>
      <c r="H211" t="str">
        <v>#知性</v>
      </c>
      <c r="I211">
        <v>10</v>
      </c>
      <c r="J211">
        <v>50</v>
      </c>
      <c r="K211">
        <v>75</v>
      </c>
      <c r="L211">
        <v>1</v>
      </c>
    </row>
    <row r="212">
      <c r="A212" t="str">
        <v>奴</v>
      </c>
      <c r="B212">
        <v>5</v>
      </c>
      <c r="C212" t="b">
        <v>1</v>
      </c>
      <c r="D212" t="str">
        <v>ド ヌ</v>
      </c>
      <c r="E212" t="str">
        <v>め やつ やっこ</v>
      </c>
      <c r="F212">
        <v>0</v>
      </c>
      <c r="G212" t="str">
        <v>召し使い。奴隷。身分の低い人。 やっこ。武家に仕えた下男。 やつ。あいつ。人を蔑んでいうことば。 め。人や動物などを蔑んでいうことば。</v>
      </c>
      <c r="H212" t="str">
        <v>#勇気</v>
      </c>
      <c r="I212">
        <v>0</v>
      </c>
      <c r="J212">
        <v>50</v>
      </c>
      <c r="K212">
        <v>50</v>
      </c>
      <c r="L212">
        <v>1</v>
      </c>
    </row>
    <row r="213">
      <c r="A213" t="str">
        <v>払</v>
      </c>
      <c r="B213">
        <v>5</v>
      </c>
      <c r="C213" t="b">
        <v>1</v>
      </c>
      <c r="D213" t="str">
        <v>フツ ヒツ</v>
      </c>
      <c r="E213" t="str">
        <v>はら（う）</v>
      </c>
      <c r="F213">
        <v>0</v>
      </c>
      <c r="G213" t="str">
        <v>はらう。はらいのける。 はらう。ふく。なでる。 さからう。もとる。そむく。 たすける。たすけ。補佐する。＝弼 はらう。はらい。代金を渡す。</v>
      </c>
      <c r="H213" t="str">
        <v>#慈愛</v>
      </c>
      <c r="I213">
        <v>10</v>
      </c>
      <c r="J213">
        <v>50</v>
      </c>
      <c r="K213">
        <v>50</v>
      </c>
      <c r="L213">
        <v>1</v>
      </c>
    </row>
    <row r="214">
      <c r="A214" t="str">
        <v>矛</v>
      </c>
      <c r="B214">
        <v>5</v>
      </c>
      <c r="C214" t="b">
        <v>1</v>
      </c>
      <c r="D214" t="str">
        <v>ム ボウ</v>
      </c>
      <c r="E214" t="str">
        <v>ほこ</v>
      </c>
      <c r="F214">
        <v>0</v>
      </c>
      <c r="G214" t="str">
        <v>ほこ。両刃の剣を長い柄の先につけた武器。</v>
      </c>
      <c r="H214" t="str">
        <v>#勇気</v>
      </c>
      <c r="I214">
        <v>10</v>
      </c>
      <c r="J214">
        <v>85</v>
      </c>
      <c r="K214">
        <v>30</v>
      </c>
      <c r="L214">
        <v>1</v>
      </c>
    </row>
    <row r="215">
      <c r="A215" t="str">
        <v>甲</v>
      </c>
      <c r="B215">
        <v>5</v>
      </c>
      <c r="C215" t="b">
        <v>1</v>
      </c>
      <c r="D215" t="str">
        <v>カン コウ</v>
      </c>
      <c r="E215" t="str">
        <v>かぶと きのえ つめ よろい</v>
      </c>
      <c r="F215" t="str">
        <v>か かつ き まさる</v>
      </c>
      <c r="G215" t="str">
        <v>十干の一番目。きのえ。五行では木。方位では東。 こうら。亀のこうら。外面をおおう硬い皮。 物事や等級の第一番目。 よろい。かぶと。からだを覆う武具。例：甲冑 かん。声の調子の高いこと。</v>
      </c>
      <c r="H215" t="str">
        <v>#勇気</v>
      </c>
      <c r="I215">
        <v>50</v>
      </c>
      <c r="J215">
        <v>85</v>
      </c>
      <c r="K215">
        <v>30</v>
      </c>
      <c r="L215">
        <v>0</v>
      </c>
      <c r="M215">
        <f>VLOOKUP(A215,[1]kanji_data!$A:$N,14,FALSE)</f>
        <v>0</v>
      </c>
    </row>
    <row r="216">
      <c r="A216" t="str">
        <v>巧</v>
      </c>
      <c r="B216">
        <v>5</v>
      </c>
      <c r="C216" t="b">
        <v>1</v>
      </c>
      <c r="D216" t="str">
        <v>コウ</v>
      </c>
      <c r="E216" t="str">
        <v>たく（み） うま（い） たく（む）</v>
      </c>
      <c r="F216" t="str">
        <v>く たえ よし</v>
      </c>
      <c r="G216" t="str">
        <v>たくみ。わざ。技術。 たくみ。うまい。上手なさま。 いつわり。うわべだけを飾る。</v>
      </c>
      <c r="H216" t="str">
        <v>#知性</v>
      </c>
      <c r="I216">
        <v>75</v>
      </c>
      <c r="J216">
        <v>55</v>
      </c>
      <c r="K216">
        <v>55</v>
      </c>
      <c r="L216">
        <v>0</v>
      </c>
      <c r="M216">
        <f>VLOOKUP(A216,[1]kanji_data!$A:$N,14,FALSE)</f>
        <v>0</v>
      </c>
    </row>
    <row r="217">
      <c r="A217" t="str">
        <v>椰</v>
      </c>
      <c r="B217">
        <v>13</v>
      </c>
      <c r="C217" t="b">
        <v>0</v>
      </c>
      <c r="D217" t="str">
        <v>ヤ</v>
      </c>
      <c r="E217" t="str">
        <v>やし</v>
      </c>
      <c r="F217">
        <v>0</v>
      </c>
      <c r="G217" t="str">
        <v>やし。ヤシ科の常緑高木の総称。</v>
      </c>
      <c r="I217">
        <v>10</v>
      </c>
      <c r="J217">
        <v>50</v>
      </c>
      <c r="K217">
        <v>55</v>
      </c>
      <c r="L217">
        <v>0</v>
      </c>
      <c r="M217">
        <f>VLOOKUP(A217,[1]kanji_data!$A:$N,14,FALSE)</f>
        <v>0</v>
      </c>
    </row>
    <row r="218">
      <c r="A218" t="str">
        <v>缶</v>
      </c>
      <c r="B218">
        <v>6</v>
      </c>
      <c r="C218" t="b">
        <v>1</v>
      </c>
      <c r="D218" t="str">
        <v>カン フ</v>
      </c>
      <c r="E218" t="str">
        <v>かま ほとぎ</v>
      </c>
      <c r="F218">
        <v>0</v>
      </c>
      <c r="G218" t="str">
        <v>つるべ。おけ。水をくみ上げる器。 かん。金属（ブリキ）で作られた容器。 かま。蒸気がま。ボイラー。湯をわかす道具。 ほとぎ。口が小さく腹が大きい土器。水や酒などを入れる。 昔の容量の単位。四斛。一説に十六斗。</v>
      </c>
      <c r="I218">
        <v>10</v>
      </c>
      <c r="J218">
        <v>55</v>
      </c>
      <c r="K218">
        <v>55</v>
      </c>
      <c r="L218">
        <v>1</v>
      </c>
    </row>
    <row r="219">
      <c r="A219" t="str">
        <v>低</v>
      </c>
      <c r="B219">
        <v>7</v>
      </c>
      <c r="C219" t="b">
        <v>1</v>
      </c>
      <c r="D219" t="str">
        <v>テイ</v>
      </c>
      <c r="E219" t="str">
        <v>ひく（い） ひく（まる） ひく（める） た（れる）</v>
      </c>
      <c r="F219">
        <v>0</v>
      </c>
      <c r="G219" t="str">
        <v>ひくい。高さがひくい。値がやすい。身分がひくい。 ひくまる。ひくめる。ひくくする。下げる。 たれる。下がる。</v>
      </c>
      <c r="I219">
        <v>10</v>
      </c>
      <c r="J219">
        <v>55</v>
      </c>
      <c r="K219">
        <v>55</v>
      </c>
      <c r="L219">
        <v>1</v>
      </c>
    </row>
    <row r="220">
      <c r="A220" t="str">
        <v>辛</v>
      </c>
      <c r="B220">
        <v>7</v>
      </c>
      <c r="C220" t="b">
        <v>1</v>
      </c>
      <c r="D220" t="str">
        <v>シン</v>
      </c>
      <c r="E220" t="str">
        <v>から（い） かのと つら（い）</v>
      </c>
      <c r="F220">
        <v>0</v>
      </c>
      <c r="G220" t="str">
        <v>からい。五味の一つ。 つらい。苦しい。むごい。 罪。 十干の八番目。かのと。五行では金。方位では西。 からし。香辛料の一つ。 からくも。かろうじで。やっと。</v>
      </c>
      <c r="I220">
        <v>10</v>
      </c>
      <c r="J220">
        <v>50</v>
      </c>
      <c r="K220">
        <v>50</v>
      </c>
      <c r="L220">
        <v>1</v>
      </c>
    </row>
    <row r="221">
      <c r="A221" t="str">
        <v>汁</v>
      </c>
      <c r="B221">
        <v>5</v>
      </c>
      <c r="C221" t="b">
        <v>1</v>
      </c>
      <c r="D221" t="str">
        <v>ジュウ シュウ</v>
      </c>
      <c r="E221" t="str">
        <v>しる つゆ</v>
      </c>
      <c r="F221">
        <v>0</v>
      </c>
      <c r="G221" t="str">
        <v>しる。つゆ。吸い物。物質からしみでる液。 なみだ。 みぞれ。雨と雪の混じったもの。</v>
      </c>
      <c r="H221" t="str">
        <v>#海・水</v>
      </c>
      <c r="I221">
        <v>10</v>
      </c>
      <c r="J221">
        <v>50</v>
      </c>
      <c r="K221">
        <v>50</v>
      </c>
      <c r="L221">
        <v>1</v>
      </c>
    </row>
    <row r="222">
      <c r="A222" t="str">
        <v>仙</v>
      </c>
      <c r="B222">
        <v>5</v>
      </c>
      <c r="C222" t="b">
        <v>1</v>
      </c>
      <c r="D222" t="str">
        <v>セン</v>
      </c>
      <c r="E222">
        <v>0</v>
      </c>
      <c r="F222" t="str">
        <v>たかし のり ひさ ひと</v>
      </c>
      <c r="G222" t="str">
        <v>仙人。山で修行を積み、不老不死の術を会得したといわれる人。 世俗から離れ、山中などで暮らす人。 （仙人のように）身軽なさま。 セント。アメリカの貨幣単位「セント」の音訳。</v>
      </c>
      <c r="H222" t="str">
        <v>#品格 #自然</v>
      </c>
      <c r="I222">
        <v>70</v>
      </c>
      <c r="J222">
        <v>50</v>
      </c>
      <c r="K222">
        <v>75</v>
      </c>
      <c r="L222">
        <v>0</v>
      </c>
      <c r="M222">
        <f>VLOOKUP(A222,[1]kanji_data!$A:$N,14,FALSE)</f>
        <v>0</v>
      </c>
    </row>
    <row r="223">
      <c r="A223" t="str">
        <v>店</v>
      </c>
      <c r="B223">
        <v>8</v>
      </c>
      <c r="C223" t="b">
        <v>1</v>
      </c>
      <c r="D223" t="str">
        <v>テン</v>
      </c>
      <c r="E223" t="str">
        <v>みせ たな</v>
      </c>
      <c r="F223">
        <v>0</v>
      </c>
      <c r="G223" t="str">
        <v>みせ。商品を並べて売る場所。 はたご。宿屋。 たな。商品を並べるたな。 たな。借家。貸家。</v>
      </c>
      <c r="I223">
        <v>10</v>
      </c>
      <c r="J223">
        <v>55</v>
      </c>
      <c r="K223">
        <v>55</v>
      </c>
      <c r="L223">
        <v>1</v>
      </c>
    </row>
    <row r="224">
      <c r="A224" t="str">
        <v>尼</v>
      </c>
      <c r="B224">
        <v>5</v>
      </c>
      <c r="C224" t="b">
        <v>1</v>
      </c>
      <c r="D224" t="str">
        <v>ニ ジ</v>
      </c>
      <c r="E224" t="str">
        <v>あま</v>
      </c>
      <c r="F224">
        <v>0</v>
      </c>
      <c r="G224" t="str">
        <v>あま。出家して仏に仕える女性。「比丘尼」の略。 女性をののしって呼ぶことば。</v>
      </c>
      <c r="H224" t="str">
        <v>#自然</v>
      </c>
      <c r="I224">
        <v>10</v>
      </c>
      <c r="J224">
        <v>50</v>
      </c>
      <c r="K224">
        <v>50</v>
      </c>
      <c r="L224">
        <v>1</v>
      </c>
    </row>
    <row r="225">
      <c r="A225" t="str">
        <v>炊</v>
      </c>
      <c r="B225">
        <v>8</v>
      </c>
      <c r="C225" t="b">
        <v>1</v>
      </c>
      <c r="D225" t="str">
        <v>スイ</v>
      </c>
      <c r="E225" t="str">
        <v>た（く） かし（ぐ）</v>
      </c>
      <c r="F225">
        <v>0</v>
      </c>
      <c r="G225" t="str">
        <v>たく。かしぐ。飯をたく。煮炊きする。料理する。</v>
      </c>
      <c r="I225">
        <v>10</v>
      </c>
      <c r="J225">
        <v>55</v>
      </c>
      <c r="K225">
        <v>55</v>
      </c>
      <c r="L225">
        <v>1</v>
      </c>
    </row>
    <row r="226">
      <c r="A226" t="str">
        <v>昼</v>
      </c>
      <c r="B226">
        <v>11</v>
      </c>
      <c r="C226" t="b">
        <v>1</v>
      </c>
      <c r="D226" t="str">
        <v>チュウ</v>
      </c>
      <c r="E226" t="str">
        <v>ひる</v>
      </c>
      <c r="F226">
        <v>0</v>
      </c>
      <c r="G226" t="str">
        <v>ひる。ひるま。日の出から日の入りまで。 ひる。まひる。正午。正午ごろ。</v>
      </c>
      <c r="I226">
        <v>10</v>
      </c>
      <c r="J226">
        <v>80</v>
      </c>
      <c r="K226">
        <v>40</v>
      </c>
      <c r="L226">
        <v>1</v>
      </c>
    </row>
    <row r="227">
      <c r="A227" t="str">
        <v>尻</v>
      </c>
      <c r="B227">
        <v>5</v>
      </c>
      <c r="C227" t="b">
        <v>1</v>
      </c>
      <c r="D227" t="str">
        <v>コウ</v>
      </c>
      <c r="E227" t="str">
        <v>しり けつ</v>
      </c>
      <c r="F227">
        <v>0</v>
      </c>
      <c r="G227" t="str">
        <v>しり。けつ。腰の下あたりの部分。 根もと。底。 しり。終わり。後ろのほう。</v>
      </c>
      <c r="H227" t="str">
        <v>#自然</v>
      </c>
      <c r="I227">
        <v>10</v>
      </c>
      <c r="J227">
        <v>50</v>
      </c>
      <c r="K227">
        <v>50</v>
      </c>
      <c r="L227">
        <v>1</v>
      </c>
    </row>
    <row r="228">
      <c r="A228" t="str">
        <v>旦</v>
      </c>
      <c r="B228">
        <v>5</v>
      </c>
      <c r="C228" t="b">
        <v>1</v>
      </c>
      <c r="D228" t="str">
        <v>タン ダン</v>
      </c>
      <c r="E228" t="str">
        <v>あした</v>
      </c>
      <c r="F228" t="str">
        <v>あき あきら あけ あさ ただし</v>
      </c>
      <c r="G228" t="str">
        <v>あした。明け方。日の出。</v>
      </c>
      <c r="H228" t="str">
        <v>#天空</v>
      </c>
      <c r="I228">
        <v>80</v>
      </c>
      <c r="J228">
        <v>50</v>
      </c>
      <c r="K228">
        <v>55</v>
      </c>
      <c r="L228">
        <v>0</v>
      </c>
      <c r="M228">
        <f>VLOOKUP(A228,[1]kanji_data!$A:$N,14,FALSE)</f>
        <v>0</v>
      </c>
    </row>
    <row r="229">
      <c r="A229" t="str">
        <v>無</v>
      </c>
      <c r="B229">
        <v>12</v>
      </c>
      <c r="C229" t="b">
        <v>1</v>
      </c>
      <c r="D229" t="str">
        <v>ブ ム</v>
      </c>
      <c r="E229" t="str">
        <v>な（い）</v>
      </c>
      <c r="F229">
        <v>0</v>
      </c>
      <c r="G229" t="str">
        <v>ない。存在しない。 「なし」「なかれ」と読み、否定や禁止を表す。 なみする。ないがしろにする。かろんじる。無視する。 「南無（なむ）」は、仏を拝するときに発することば。</v>
      </c>
      <c r="I229">
        <v>10</v>
      </c>
      <c r="J229">
        <v>85</v>
      </c>
      <c r="K229">
        <v>35</v>
      </c>
      <c r="L229">
        <v>1</v>
      </c>
    </row>
    <row r="230">
      <c r="A230" t="str">
        <v>氾</v>
      </c>
      <c r="B230">
        <v>5</v>
      </c>
      <c r="C230" t="b">
        <v>1</v>
      </c>
      <c r="D230" t="str">
        <v>ハン</v>
      </c>
      <c r="E230" t="str">
        <v>あふ（れる） ひろ（がる）</v>
      </c>
      <c r="F230">
        <v>0</v>
      </c>
      <c r="G230" t="str">
        <v>ひろがる。あふれる。水がひろがる。 広い。広くひろがる。ゆきわたる。あまねく。 うかぶ。ただよう。ただよいゆれる。</v>
      </c>
      <c r="H230" t="str">
        <v>#繁栄</v>
      </c>
      <c r="I230">
        <v>10</v>
      </c>
      <c r="J230">
        <v>50</v>
      </c>
      <c r="K230">
        <v>50</v>
      </c>
      <c r="L230">
        <v>1</v>
      </c>
    </row>
    <row r="231">
      <c r="A231" t="str">
        <v>下</v>
      </c>
      <c r="B231">
        <v>3</v>
      </c>
      <c r="C231" t="b">
        <v>1</v>
      </c>
      <c r="D231" t="str">
        <v>カ ゲ</v>
      </c>
      <c r="E231" t="str">
        <v>お（りる） お（ろす） くだ（さる） くだ（す） くだ（る） さ（がる） さ（げる） した しも もと</v>
      </c>
      <c r="F231">
        <v>0</v>
      </c>
      <c r="G231" t="str">
        <v>した。しも。位置・地位・価値・年齢などが低い。劣っている。 した。しも。時間・順序・物事の流れの後の方。 さがる。さげる。くだる。高い所から低い所へ移動する。 もと。ある者のした。支配の範囲。 くだす。命令を出す。 くだす。手をくだす。物事を行う。</v>
      </c>
      <c r="I231">
        <v>10</v>
      </c>
      <c r="J231">
        <v>50</v>
      </c>
      <c r="K231">
        <v>50</v>
      </c>
      <c r="L231">
        <v>1</v>
      </c>
    </row>
    <row r="232">
      <c r="A232" t="str">
        <v>叶</v>
      </c>
      <c r="B232">
        <v>5</v>
      </c>
      <c r="C232" t="b">
        <v>0</v>
      </c>
      <c r="D232" t="str">
        <v>キョウ</v>
      </c>
      <c r="E232" t="str">
        <v>かな（う）</v>
      </c>
      <c r="F232" t="str">
        <v>か かない かなえ かのう とも やす</v>
      </c>
      <c r="G232" t="str">
        <v>かなう。合う。調和する。 かなう。望んだ通りになる。</v>
      </c>
      <c r="H232" t="str">
        <v>#調和</v>
      </c>
      <c r="I232">
        <v>95</v>
      </c>
      <c r="J232">
        <v>55</v>
      </c>
      <c r="K232">
        <v>60</v>
      </c>
      <c r="L232">
        <v>0</v>
      </c>
      <c r="M232">
        <f>VLOOKUP(A232,[1]kanji_data!$A:$N,14,FALSE)</f>
        <v>0</v>
      </c>
    </row>
    <row r="233">
      <c r="A233" t="str">
        <v>弘</v>
      </c>
      <c r="B233">
        <v>5</v>
      </c>
      <c r="C233" t="b">
        <v>0</v>
      </c>
      <c r="D233" t="str">
        <v>グ コウ</v>
      </c>
      <c r="E233" t="str">
        <v>ひろ（い） ひろ（める）</v>
      </c>
      <c r="F233" t="str">
        <v>ひろし ひろむ ゆき</v>
      </c>
      <c r="G233" t="str">
        <v>ひろい。おおきい。 ひろめる。大きくする。広くする。広く伝える。</v>
      </c>
      <c r="H233" t="str">
        <v>#繁栄</v>
      </c>
      <c r="I233">
        <v>95</v>
      </c>
      <c r="J233">
        <v>80</v>
      </c>
      <c r="K233">
        <v>45</v>
      </c>
      <c r="L233">
        <v>0</v>
      </c>
      <c r="M233">
        <f>VLOOKUP(A233,[1]kanji_data!$A:$N,14,FALSE)</f>
        <v>0</v>
      </c>
    </row>
    <row r="234">
      <c r="A234" t="str">
        <v>小</v>
      </c>
      <c r="B234">
        <v>3</v>
      </c>
      <c r="C234" t="b">
        <v>1</v>
      </c>
      <c r="D234" t="str">
        <v>ショウ</v>
      </c>
      <c r="E234" t="str">
        <v>お こ ちい（さい） さ</v>
      </c>
      <c r="F234" t="str">
        <v>ち</v>
      </c>
      <c r="G234" t="str">
        <v>ちいさい。程度がちいさい。数や量がすくない。 つまらない。とるにたりない。 幼い者。若い者。 自分に関することをへりくだっていうことば。 こ。お。さ。「ちいさい」「わずかの」などの意を表したり、語調を整えたりするための接頭語。</v>
      </c>
      <c r="H234" t="str">
        <v>#調和</v>
      </c>
      <c r="I234">
        <v>30</v>
      </c>
      <c r="J234">
        <v>60</v>
      </c>
      <c r="K234">
        <v>50</v>
      </c>
      <c r="L234">
        <v>0</v>
      </c>
      <c r="M234">
        <f>VLOOKUP(A234,[1]kanji_data!$A:$N,14,FALSE)</f>
        <v>0</v>
      </c>
    </row>
    <row r="235">
      <c r="A235" t="str">
        <v>巳</v>
      </c>
      <c r="B235">
        <v>3</v>
      </c>
      <c r="C235" t="b">
        <v>0</v>
      </c>
      <c r="D235" t="str">
        <v>シ</v>
      </c>
      <c r="E235" t="str">
        <v>み</v>
      </c>
      <c r="F235">
        <v>0</v>
      </c>
      <c r="G235" t="str">
        <v>み。十二支の六番目。方位では南南東。時刻では午前十時、および前後の二時間。動物では蛇。</v>
      </c>
      <c r="I235">
        <v>10</v>
      </c>
      <c r="J235">
        <v>50</v>
      </c>
      <c r="K235">
        <v>50</v>
      </c>
      <c r="L235">
        <v>0</v>
      </c>
      <c r="M235">
        <f>VLOOKUP(A235,[1]kanji_data!$A:$N,14,FALSE)</f>
        <v>0</v>
      </c>
    </row>
    <row r="236">
      <c r="A236" t="str">
        <v>今</v>
      </c>
      <c r="B236">
        <v>4</v>
      </c>
      <c r="C236" t="b">
        <v>1</v>
      </c>
      <c r="D236" t="str">
        <v>コン キン</v>
      </c>
      <c r="E236" t="str">
        <v>いま</v>
      </c>
      <c r="F236">
        <v>0</v>
      </c>
      <c r="G236" t="str">
        <v>いま。現在。現代。このとき。 すぐに。ただちに。まもなく。 「いま」と読み、「もし～」と仮定を表す。</v>
      </c>
      <c r="I236">
        <v>10</v>
      </c>
      <c r="J236">
        <v>55</v>
      </c>
      <c r="K236">
        <v>55</v>
      </c>
      <c r="L236">
        <v>0</v>
      </c>
      <c r="M236">
        <f>VLOOKUP(A236,[1]kanji_data!$A:$N,14,FALSE)</f>
        <v>0</v>
      </c>
    </row>
    <row r="237">
      <c r="A237" t="str">
        <v>区</v>
      </c>
      <c r="B237">
        <v>4</v>
      </c>
      <c r="C237" t="b">
        <v>1</v>
      </c>
      <c r="D237" t="str">
        <v>ク オウ</v>
      </c>
      <c r="E237">
        <v>0</v>
      </c>
      <c r="F237">
        <v>0</v>
      </c>
      <c r="G237" t="str">
        <v>さかい。くぎり。 分ける。くぎる。しきる。 小さいさま。こまごましたさま。 古代中国、斉の国で用いられた容量の単位。</v>
      </c>
      <c r="I237">
        <v>10</v>
      </c>
      <c r="J237">
        <v>50</v>
      </c>
      <c r="K237">
        <v>50</v>
      </c>
      <c r="L237">
        <v>1</v>
      </c>
    </row>
    <row r="238">
      <c r="A238" t="str">
        <v>凧</v>
      </c>
      <c r="B238">
        <v>5</v>
      </c>
      <c r="C238" t="b">
        <v>0</v>
      </c>
      <c r="D238">
        <v>0</v>
      </c>
      <c r="E238" t="str">
        <v>いかのぼり たこ</v>
      </c>
      <c r="F238">
        <v>0</v>
      </c>
      <c r="G238" t="str">
        <v>たこ。いかのぼり。布や紙などを張って空にあげるたこ。</v>
      </c>
      <c r="H238" t="str">
        <v>#天空</v>
      </c>
      <c r="I238">
        <v>10</v>
      </c>
      <c r="J238">
        <v>55</v>
      </c>
      <c r="K238">
        <v>55</v>
      </c>
      <c r="L238">
        <v>1</v>
      </c>
    </row>
    <row r="239">
      <c r="A239" t="str">
        <v>汀</v>
      </c>
      <c r="B239">
        <v>5</v>
      </c>
      <c r="C239" t="b">
        <v>0</v>
      </c>
      <c r="D239" t="str">
        <v>テイ</v>
      </c>
      <c r="E239" t="str">
        <v>なぎさ みぎわ</v>
      </c>
      <c r="F239">
        <v>0</v>
      </c>
      <c r="G239" t="str">
        <v>なぎさ。みぎわ。きし。波うちぎわ。水ぎわの平らな土地。 水面に波が立たず平らなこと。</v>
      </c>
      <c r="H239" t="str">
        <v>#海・水</v>
      </c>
      <c r="I239">
        <v>80</v>
      </c>
      <c r="J239">
        <v>55</v>
      </c>
      <c r="K239">
        <v>55</v>
      </c>
      <c r="L239">
        <v>0</v>
      </c>
      <c r="M239">
        <f>VLOOKUP(A239,[1]kanji_data!$A:$N,14,FALSE)</f>
        <v>0</v>
      </c>
    </row>
    <row r="240">
      <c r="A240" t="str">
        <v>不</v>
      </c>
      <c r="B240">
        <v>4</v>
      </c>
      <c r="C240" t="b">
        <v>1</v>
      </c>
      <c r="D240" t="str">
        <v>フ ブ</v>
      </c>
      <c r="E240" t="str">
        <v>ず</v>
      </c>
      <c r="F240">
        <v>0</v>
      </c>
      <c r="G240" t="str">
        <v>「ず」と読み、「～しない」「～でない」の意を表す。 「・・・や、いなや」と読み、文末に付けて疑問の意を表す。 「ざれば」「ずんば」と読み、「～でなければ」「～しなければ」の意。</v>
      </c>
      <c r="I240">
        <v>10</v>
      </c>
      <c r="J240">
        <v>50</v>
      </c>
      <c r="K240">
        <v>50</v>
      </c>
      <c r="L240">
        <v>1</v>
      </c>
    </row>
    <row r="241">
      <c r="A241" t="str">
        <v>刈</v>
      </c>
      <c r="B241">
        <v>4</v>
      </c>
      <c r="C241" t="b">
        <v>1</v>
      </c>
      <c r="D241" t="str">
        <v>カイ ガイ</v>
      </c>
      <c r="E241" t="str">
        <v>か（る）</v>
      </c>
      <c r="F241">
        <v>0</v>
      </c>
      <c r="G241" t="str">
        <v>かる。草をかる。草をかりとる。 かま。草をかる刃物。</v>
      </c>
      <c r="I241">
        <v>10</v>
      </c>
      <c r="J241">
        <v>50</v>
      </c>
      <c r="K241">
        <v>50</v>
      </c>
      <c r="L241">
        <v>1</v>
      </c>
    </row>
    <row r="242">
      <c r="A242" t="str">
        <v>壬</v>
      </c>
      <c r="B242">
        <v>4</v>
      </c>
      <c r="C242" t="b">
        <v>0</v>
      </c>
      <c r="D242" t="str">
        <v>ジン ニン</v>
      </c>
      <c r="E242" t="str">
        <v>みずのえ</v>
      </c>
      <c r="F242" t="str">
        <v>つぐ み みず よし</v>
      </c>
      <c r="G242" t="str">
        <v>十干（じっかん）の九番目。みずのえ。五行では水。方位では北。 おもねる。こびる。へつらう。 はらむ。みごもる。＝妊</v>
      </c>
      <c r="I242">
        <v>30</v>
      </c>
      <c r="J242">
        <v>50</v>
      </c>
      <c r="K242">
        <v>50</v>
      </c>
      <c r="L242">
        <v>0</v>
      </c>
      <c r="M242">
        <f>VLOOKUP(A242,[1]kanji_data!$A:$N,14,FALSE)</f>
        <v>0</v>
      </c>
    </row>
    <row r="243">
      <c r="A243" t="str">
        <v>休</v>
      </c>
      <c r="B243">
        <v>6</v>
      </c>
      <c r="C243" t="b">
        <v>1</v>
      </c>
      <c r="D243" t="str">
        <v>キュウ ク</v>
      </c>
      <c r="E243" t="str">
        <v>やす（まる） やす（む） やす（める） いこ（う） さいわ（い） や（める） よ（い）</v>
      </c>
      <c r="F243">
        <v>0</v>
      </c>
      <c r="G243" t="str">
        <v>やすむ。やすまる。やすめる。いこう。休息する。 さいわい。よろこび。めでたい。 やめる。やむ。仕事などをやめる。 「やめよ」「なかれ」と読み、「～するな」の意。禁止を表す。 よい。すばらしい。りっぱな。 いたむ。あわれむ。なげく。</v>
      </c>
      <c r="H243" t="str">
        <v>#幸福 #慈愛</v>
      </c>
      <c r="I243">
        <v>10</v>
      </c>
      <c r="J243">
        <v>55</v>
      </c>
      <c r="K243">
        <v>55</v>
      </c>
      <c r="L243">
        <v>0</v>
      </c>
      <c r="M243">
        <f>VLOOKUP(A243,[1]kanji_data!$A:$N,14,FALSE)</f>
        <v>0</v>
      </c>
    </row>
    <row r="244">
      <c r="A244" t="str">
        <v>気</v>
      </c>
      <c r="B244">
        <v>6</v>
      </c>
      <c r="C244" t="b">
        <v>1</v>
      </c>
      <c r="D244" t="str">
        <v>キ ケ</v>
      </c>
      <c r="E244" t="str">
        <v>いき</v>
      </c>
      <c r="F244" t="str">
        <v>おき</v>
      </c>
      <c r="G244" t="str">
        <v>くうき。水蒸気。大気。雲気。 いき。呼吸。息をふきかける。呼吸をする。 物質の三態の一つ。気体。 自然界にみられる現象。自然現象。 元気。活力。人間の活動力のもととなるもの。 偉人が持つとされる雲気。 なんとなく感じられるいきおい。心構え。 におい。かおり。においをかぐ。においがする。 様子。気配。おもむき。感じ。 陰暦で、一年を二十四分したうちの一つの期間。</v>
      </c>
      <c r="H244" t="str">
        <v>#健康</v>
      </c>
      <c r="I244">
        <v>70</v>
      </c>
      <c r="J244">
        <v>85</v>
      </c>
      <c r="K244">
        <v>35</v>
      </c>
      <c r="L244">
        <v>0</v>
      </c>
      <c r="M244">
        <f>VLOOKUP(A244,[1]kanji_data!$A:$N,14,FALSE)</f>
        <v>0</v>
      </c>
    </row>
    <row r="245">
      <c r="A245" t="str">
        <v>糸</v>
      </c>
      <c r="B245">
        <v>6</v>
      </c>
      <c r="C245" t="b">
        <v>1</v>
      </c>
      <c r="D245" t="str">
        <v>シ ベキ</v>
      </c>
      <c r="E245" t="str">
        <v>いと</v>
      </c>
      <c r="F245" t="str">
        <v>たえ ため つら より</v>
      </c>
      <c r="G245" t="str">
        <v>いと。よりいと。きぬいと。 いとのように細長いもの。 いとを張った楽器。弦楽器。八音（「金」「石」「糸」「竹」「匏」「土」「革」「木」）の一つ。 し。数の単位。一の一万分の一。転じて、わずかな分量。 いとすじ。細いいと。 かすか。わずか。少ない。細かい。</v>
      </c>
      <c r="H245" t="str">
        <v>#自然</v>
      </c>
      <c r="I245">
        <v>50</v>
      </c>
      <c r="J245">
        <v>30</v>
      </c>
      <c r="K245">
        <v>90</v>
      </c>
      <c r="L245">
        <v>0</v>
      </c>
      <c r="M245">
        <f>VLOOKUP(A245,[1]kanji_data!$A:$N,14,FALSE)</f>
        <v>0</v>
      </c>
    </row>
    <row r="246">
      <c r="A246" t="str">
        <v>字</v>
      </c>
      <c r="B246">
        <v>6</v>
      </c>
      <c r="C246" t="b">
        <v>1</v>
      </c>
      <c r="D246" t="str">
        <v>ジ シ</v>
      </c>
      <c r="E246" t="str">
        <v>あざ あざな</v>
      </c>
      <c r="F246">
        <v>0</v>
      </c>
      <c r="G246" t="str">
        <v>文字。ことばを書き記す記号。 あざな。成人した後に実名のほかにつける名。 やしなう。そだてる。はぐくむ。 あざ。町村内の小さな区画。</v>
      </c>
      <c r="H246" t="str">
        <v>#天空</v>
      </c>
      <c r="I246">
        <v>10</v>
      </c>
      <c r="J246">
        <v>55</v>
      </c>
      <c r="K246">
        <v>55</v>
      </c>
      <c r="L246">
        <v>0</v>
      </c>
      <c r="M246">
        <f>VLOOKUP(A246,[1]kanji_data!$A:$N,14,FALSE)</f>
        <v>0</v>
      </c>
    </row>
    <row r="247">
      <c r="A247" t="str">
        <v>丑</v>
      </c>
      <c r="B247">
        <v>4</v>
      </c>
      <c r="C247" t="b">
        <v>0</v>
      </c>
      <c r="D247" t="str">
        <v>チュウ</v>
      </c>
      <c r="E247" t="str">
        <v>うし</v>
      </c>
      <c r="F247">
        <v>0</v>
      </c>
      <c r="G247" t="str">
        <v>うし。十二支の二番目。方位では北北東。時刻では午前二時、および前後の二時間。動物では牛（うし）。</v>
      </c>
      <c r="I247">
        <v>10</v>
      </c>
      <c r="J247">
        <v>50</v>
      </c>
      <c r="K247">
        <v>50</v>
      </c>
      <c r="L247">
        <v>0</v>
      </c>
      <c r="M247">
        <f>VLOOKUP(A247,[1]kanji_data!$A:$N,14,FALSE)</f>
        <v>0</v>
      </c>
    </row>
    <row r="248">
      <c r="A248" t="str">
        <v>四</v>
      </c>
      <c r="B248">
        <v>5</v>
      </c>
      <c r="C248" t="b">
        <v>1</v>
      </c>
      <c r="D248" t="str">
        <v>シ</v>
      </c>
      <c r="E248" t="str">
        <v>よ よ（つ） よっ（つ） よん</v>
      </c>
      <c r="F248" t="str">
        <v>ひろ もち</v>
      </c>
      <c r="G248" t="str">
        <v>よ。よつ。よっつ。よん。数の名。 よたび。四回。四度。 よも。しほう。四方の方角。 よつ。昔の時刻の呼び方で午前十時（巳の刻）、または午後十時（亥の刻）のこと。</v>
      </c>
      <c r="I248">
        <v>30</v>
      </c>
      <c r="J248">
        <v>55</v>
      </c>
      <c r="K248">
        <v>55</v>
      </c>
      <c r="L248">
        <v>0</v>
      </c>
      <c r="M248">
        <f>VLOOKUP(A248,[1]kanji_data!$A:$N,14,FALSE)</f>
        <v>0</v>
      </c>
    </row>
    <row r="249">
      <c r="A249" t="str">
        <v>田</v>
      </c>
      <c r="B249">
        <v>5</v>
      </c>
      <c r="C249" t="b">
        <v>1</v>
      </c>
      <c r="D249" t="str">
        <v>デン</v>
      </c>
      <c r="E249" t="str">
        <v>た か（り） か（る）</v>
      </c>
      <c r="F249">
        <v>0</v>
      </c>
      <c r="G249" t="str">
        <v>た。たんぼ。たはた。耕地の総称。 かりする。狩りをする。 たがやす。 何かを産出する場所のたとえ。 いなか。</v>
      </c>
      <c r="I249">
        <v>10</v>
      </c>
      <c r="J249">
        <v>50</v>
      </c>
      <c r="K249">
        <v>55</v>
      </c>
      <c r="L249">
        <v>0</v>
      </c>
      <c r="M249">
        <f>VLOOKUP(A249,[1]kanji_data!$A:$N,14,FALSE)</f>
        <v>0</v>
      </c>
    </row>
    <row r="250">
      <c r="A250" t="str">
        <v>竹</v>
      </c>
      <c r="B250">
        <v>6</v>
      </c>
      <c r="C250" t="b">
        <v>1</v>
      </c>
      <c r="D250" t="str">
        <v>チク シツ</v>
      </c>
      <c r="E250" t="str">
        <v>たけ</v>
      </c>
      <c r="F250" t="str">
        <v>たか</v>
      </c>
      <c r="G250" t="str">
        <v>たけ。イネ科の多年生植物の名。 たけで作られた楽器。管楽器。八音（「金」「石」「糸」「竹」「匏」「土」「革」「木」）の一つ。 たけのふだ。かきもの。書物。</v>
      </c>
      <c r="H250" t="str">
        <v>#自然</v>
      </c>
      <c r="I250">
        <v>60</v>
      </c>
      <c r="J250">
        <v>50</v>
      </c>
      <c r="K250">
        <v>55</v>
      </c>
      <c r="L250">
        <v>0</v>
      </c>
      <c r="M250">
        <f>VLOOKUP(A250,[1]kanji_data!$A:$N,14,FALSE)</f>
        <v>0</v>
      </c>
    </row>
    <row r="251">
      <c r="A251" t="str">
        <v>北</v>
      </c>
      <c r="B251">
        <v>5</v>
      </c>
      <c r="C251" t="b">
        <v>1</v>
      </c>
      <c r="D251" t="str">
        <v>ホク ハイ</v>
      </c>
      <c r="E251" t="str">
        <v>きた そむ（く） に（げる）</v>
      </c>
      <c r="F251" t="str">
        <v>た</v>
      </c>
      <c r="G251" t="str">
        <v>きた。方位の名。 きたする。北のほうにいく。 にげる。敵に背を向けてにげる。 そむく。背を向ける。＝背</v>
      </c>
      <c r="I251">
        <v>30</v>
      </c>
      <c r="J251">
        <v>50</v>
      </c>
      <c r="K251">
        <v>50</v>
      </c>
      <c r="L251">
        <v>0</v>
      </c>
      <c r="M251">
        <f>VLOOKUP(A251,[1]kanji_data!$A:$N,14,FALSE)</f>
        <v>0</v>
      </c>
    </row>
    <row r="252">
      <c r="A252" t="str">
        <v>年</v>
      </c>
      <c r="B252">
        <v>6</v>
      </c>
      <c r="C252" t="b">
        <v>1</v>
      </c>
      <c r="D252" t="str">
        <v>ネン デン</v>
      </c>
      <c r="E252" t="str">
        <v>とし とせ みのり よわい</v>
      </c>
      <c r="F252" t="str">
        <v>かず ちか と みのる</v>
      </c>
      <c r="G252" t="str">
        <v>とし。十二か月。一年。 とし。よわい。年齢。 みのり。みのる。穀物がよく実る。また、穀物の実り具合。</v>
      </c>
      <c r="H252" t="str">
        <v>#天空 #繁栄</v>
      </c>
      <c r="I252">
        <v>50</v>
      </c>
      <c r="J252">
        <v>55</v>
      </c>
      <c r="K252">
        <v>55</v>
      </c>
      <c r="L252">
        <v>0</v>
      </c>
      <c r="M252">
        <f>VLOOKUP(A252,[1]kanji_data!$A:$N,14,FALSE)</f>
        <v>0</v>
      </c>
    </row>
    <row r="253">
      <c r="A253" t="str">
        <v>百</v>
      </c>
      <c r="B253">
        <v>6</v>
      </c>
      <c r="C253" t="b">
        <v>1</v>
      </c>
      <c r="D253" t="str">
        <v>ヒャク ハク</v>
      </c>
      <c r="E253" t="str">
        <v>もも</v>
      </c>
      <c r="F253" t="str">
        <v>お と も</v>
      </c>
      <c r="G253" t="str">
        <v>ひゃく。もも。数の名。数の単位。十の十倍。 多い。たくさん。色々。もろもろ。さまざま。</v>
      </c>
      <c r="H253" t="str">
        <v>#調和</v>
      </c>
      <c r="I253">
        <v>80</v>
      </c>
      <c r="J253">
        <v>50</v>
      </c>
      <c r="K253">
        <v>75</v>
      </c>
      <c r="L253">
        <v>0</v>
      </c>
      <c r="M253">
        <f>VLOOKUP(A253,[1]kanji_data!$A:$N,14,FALSE)</f>
        <v>0</v>
      </c>
    </row>
    <row r="254">
      <c r="A254" t="str">
        <v>名</v>
      </c>
      <c r="B254">
        <v>6</v>
      </c>
      <c r="C254" t="b">
        <v>1</v>
      </c>
      <c r="D254" t="str">
        <v>ミョウ メイ</v>
      </c>
      <c r="E254" t="str">
        <v>な</v>
      </c>
      <c r="F254" t="str">
        <v>あきら かた なずく もり</v>
      </c>
      <c r="G254" t="str">
        <v>な。呼び名。名前。 なのる。なづける。例：命名 評判。名誉。功績。 すぐれたさま。評判であるさま。例：有名 「名実」の「名」。形式。外見。うわべ。「実」は中身や内容。 めい。人を数えることば。例：一名</v>
      </c>
      <c r="H254" t="str">
        <v>#品格 #繁栄</v>
      </c>
      <c r="I254">
        <v>90</v>
      </c>
      <c r="J254">
        <v>75</v>
      </c>
      <c r="K254">
        <v>45</v>
      </c>
      <c r="L254">
        <v>0</v>
      </c>
      <c r="M254">
        <f>VLOOKUP(A254,[1]kanji_data!$A:$N,14,FALSE)</f>
        <v>0</v>
      </c>
    </row>
    <row r="255">
      <c r="A255" t="str">
        <v>羽</v>
      </c>
      <c r="B255">
        <v>6</v>
      </c>
      <c r="C255" t="b">
        <v>1</v>
      </c>
      <c r="D255" t="str">
        <v>ウ</v>
      </c>
      <c r="E255" t="str">
        <v>は はね</v>
      </c>
      <c r="F255" t="str">
        <v>つばさ ば わね</v>
      </c>
      <c r="G255" t="str">
        <v>は。はね。つばさ。鳥のはね。虫のはね。 鳥。鳥類のこと。 かざし。舞うときの手に持つ飾り。 たすけ。たすけとなるもの。補佐。 五音「宮・商・角・徴・羽」のひとつ。 鳥や兎を数える助数詞。</v>
      </c>
      <c r="H255" t="str">
        <v>#天空 #自然</v>
      </c>
      <c r="I255">
        <v>80</v>
      </c>
      <c r="J255">
        <v>50</v>
      </c>
      <c r="K255">
        <v>55</v>
      </c>
      <c r="L255">
        <v>0</v>
      </c>
      <c r="M255">
        <f>VLOOKUP(A255,[1]kanji_data!$A:$N,14,FALSE)</f>
        <v>0</v>
      </c>
    </row>
    <row r="256">
      <c r="A256" t="str">
        <v>会</v>
      </c>
      <c r="B256">
        <v>6</v>
      </c>
      <c r="C256" t="b">
        <v>1</v>
      </c>
      <c r="D256" t="str">
        <v>カイ エ</v>
      </c>
      <c r="E256" t="str">
        <v>あ（う） あつ（まる） あつ（める）</v>
      </c>
      <c r="F256" t="str">
        <v>あい</v>
      </c>
      <c r="G256" t="str">
        <v>あう。出会う。人にあう。 あう。一致する。ひとつになる。あてはまる。 あつまる。あつめる。あつまり。つどい。一つの場所にあつまる。 さとる。理解する。心にかなう。 かなめ。物事の要点。 たまたま。おりしも。ちょうどその時。 かならず。きっと。 かぞえる。合計する。例：会計</v>
      </c>
      <c r="H256" t="str">
        <v>#知性</v>
      </c>
      <c r="I256">
        <v>95</v>
      </c>
      <c r="J256">
        <v>60</v>
      </c>
      <c r="K256">
        <v>60</v>
      </c>
      <c r="L256">
        <v>0</v>
      </c>
      <c r="M256">
        <f>VLOOKUP(A256,[1]kanji_data!$A:$N,14,FALSE)</f>
        <v>0</v>
      </c>
    </row>
    <row r="257">
      <c r="A257" t="str">
        <v>回</v>
      </c>
      <c r="B257">
        <v>6</v>
      </c>
      <c r="C257" t="b">
        <v>1</v>
      </c>
      <c r="D257" t="str">
        <v>カイ エ</v>
      </c>
      <c r="E257" t="str">
        <v>まわ（す） まわ（る） めぐ（らす） めぐ（る）</v>
      </c>
      <c r="F257">
        <v>0</v>
      </c>
      <c r="G257" t="str">
        <v>まわる。めぐる。ぐるぐる何度もまわる。 まわす。めぐらす。向きをかえる。反対に向ける。後ろに向ける。 かえる。もどす。もとにもどる。</v>
      </c>
      <c r="H257" t="str">
        <v>#調和</v>
      </c>
      <c r="I257">
        <v>10</v>
      </c>
      <c r="J257">
        <v>90</v>
      </c>
      <c r="K257">
        <v>35</v>
      </c>
      <c r="L257">
        <v>0</v>
      </c>
      <c r="M257">
        <f>VLOOKUP(A257,[1]kanji_data!$A:$N,14,FALSE)</f>
        <v>0</v>
      </c>
    </row>
    <row r="258">
      <c r="A258" t="str">
        <v>交</v>
      </c>
      <c r="B258">
        <v>6</v>
      </c>
      <c r="C258" t="b">
        <v>1</v>
      </c>
      <c r="D258" t="str">
        <v>コウ</v>
      </c>
      <c r="E258" t="str">
        <v>ま（ざる） まじ（える） ま（じる） まじ（わる） ま（ぜる） か（う） か（わす） こもごも</v>
      </c>
      <c r="F258" t="str">
        <v>あう かた とも みち よしみ</v>
      </c>
      <c r="G258" t="str">
        <v>まざる。まじる。まぜる。まじえる。合う。合わす。組み合わせる。 まじわる。交差する。 まぜる。調和させる。 まじわり。交際。交際する。 かう。かわす。とりかわす。やりとりする。 こもごも。かわるがわる。たがいに。</v>
      </c>
      <c r="H258" t="str">
        <v>#調和</v>
      </c>
      <c r="I258">
        <v>40</v>
      </c>
      <c r="J258">
        <v>40</v>
      </c>
      <c r="K258">
        <v>45</v>
      </c>
      <c r="L258">
        <v>0</v>
      </c>
      <c r="M258">
        <f>VLOOKUP(A258,[1]kanji_data!$A:$N,14,FALSE)</f>
        <v>0</v>
      </c>
    </row>
    <row r="259">
      <c r="A259" t="str">
        <v>光</v>
      </c>
      <c r="B259">
        <v>6</v>
      </c>
      <c r="C259" t="b">
        <v>1</v>
      </c>
      <c r="D259" t="str">
        <v>コウ</v>
      </c>
      <c r="E259" t="str">
        <v>ひかり ひか（る）</v>
      </c>
      <c r="F259" t="str">
        <v>あき あきら てる ひろ み みつ みつる る</v>
      </c>
      <c r="G259" t="str">
        <v>ひかり。かがやき。あかり。 ひかる。かがやく。てらす。 ほまれ。名声。名誉。 景色。ありさま。 恵み。恩恵。 時間。とき。月日。 相手の行動を敬っていう言葉。例：光来 光臨</v>
      </c>
      <c r="H259" t="str">
        <v>#品格 #天空 #慈愛 #自然</v>
      </c>
      <c r="I259">
        <v>100</v>
      </c>
      <c r="J259">
        <v>65</v>
      </c>
      <c r="K259">
        <v>50</v>
      </c>
      <c r="L259">
        <v>0</v>
      </c>
      <c r="M259">
        <f>VLOOKUP(A259,[1]kanji_data!$A:$N,14,FALSE)</f>
        <v>0</v>
      </c>
    </row>
    <row r="260">
      <c r="A260" t="str">
        <v>考</v>
      </c>
      <c r="B260">
        <v>6</v>
      </c>
      <c r="C260" t="b">
        <v>1</v>
      </c>
      <c r="D260" t="str">
        <v>コウ</v>
      </c>
      <c r="E260" t="str">
        <v>かんが（える）</v>
      </c>
      <c r="F260" t="str">
        <v>たか ただ ちか とし なり のり やす よし</v>
      </c>
      <c r="G260" t="str">
        <v>かんがえる。思いはかる。思いめぐらす。 父。亡父。 長生きする。老いる。 調べる。試す。試験をする。試みる。</v>
      </c>
      <c r="H260" t="str">
        <v>#知性</v>
      </c>
      <c r="I260">
        <v>50</v>
      </c>
      <c r="J260">
        <v>50</v>
      </c>
      <c r="K260">
        <v>45</v>
      </c>
      <c r="L260">
        <v>0</v>
      </c>
      <c r="M260">
        <f>VLOOKUP(A260,[1]kanji_data!$A:$N,14,FALSE)</f>
        <v>0</v>
      </c>
    </row>
    <row r="261">
      <c r="A261" t="str">
        <v>行</v>
      </c>
      <c r="B261">
        <v>6</v>
      </c>
      <c r="C261" t="b">
        <v>1</v>
      </c>
      <c r="D261" t="str">
        <v>ギョウ コウ アン</v>
      </c>
      <c r="E261" t="str">
        <v>い（く） おこな（う） ゆ（く） し（ぬ） みち や（る）</v>
      </c>
      <c r="F261" t="str">
        <v>いく き のり ゆき</v>
      </c>
      <c r="G261" t="str">
        <v>ゆく。いく。歩く。進む。めぐる。 動かす。やる。ゆかせる。 おこなう。する。なす。 みち。道路。みちのり。 ゆくゆく。歩きながら。みちすがら。ゆきゆきて。 たび。例：旅行 経る。経過する。めぐる。 書体の一つ。行書。 おこない。ふるまい。よいおこない。 ならび。列。文字の並び。 みせ。商店。 兄弟の順序。</v>
      </c>
      <c r="H261" t="str">
        <v>#繁栄</v>
      </c>
      <c r="I261">
        <v>95</v>
      </c>
      <c r="J261">
        <v>95</v>
      </c>
      <c r="K261">
        <v>30</v>
      </c>
      <c r="L261">
        <v>0</v>
      </c>
      <c r="M261">
        <f>VLOOKUP(A261,[1]kanji_data!$A:$N,14,FALSE)</f>
        <v>0</v>
      </c>
    </row>
    <row r="262">
      <c r="A262" t="str">
        <v>他</v>
      </c>
      <c r="B262">
        <v>5</v>
      </c>
      <c r="C262" t="b">
        <v>1</v>
      </c>
      <c r="D262" t="str">
        <v>タ</v>
      </c>
      <c r="E262" t="str">
        <v>ほか</v>
      </c>
      <c r="F262" t="str">
        <v>ひと</v>
      </c>
      <c r="G262" t="str">
        <v>ほか。別の。自分以外の。 三人称代名詞。彼。彼女。</v>
      </c>
      <c r="I262">
        <v>30</v>
      </c>
      <c r="J262">
        <v>50</v>
      </c>
      <c r="K262">
        <v>50</v>
      </c>
      <c r="L262">
        <v>1</v>
      </c>
    </row>
    <row r="263">
      <c r="A263" t="str">
        <v>皮</v>
      </c>
      <c r="B263">
        <v>5</v>
      </c>
      <c r="C263" t="b">
        <v>1</v>
      </c>
      <c r="D263" t="str">
        <v>ヒ</v>
      </c>
      <c r="E263" t="str">
        <v>かわ</v>
      </c>
      <c r="F263">
        <v>0</v>
      </c>
      <c r="G263" t="str">
        <v>かわ。毛がわ。なめしがわ。体やものの表面をおおっているもの。 うわべ。表面。 皮を張った的。 かわ。つづみ。</v>
      </c>
      <c r="I263">
        <v>10</v>
      </c>
      <c r="J263">
        <v>50</v>
      </c>
      <c r="K263">
        <v>50</v>
      </c>
      <c r="L263">
        <v>1</v>
      </c>
    </row>
    <row r="264">
      <c r="A264" t="str">
        <v>自</v>
      </c>
      <c r="B264">
        <v>6</v>
      </c>
      <c r="C264" t="b">
        <v>1</v>
      </c>
      <c r="D264" t="str">
        <v>シ ジ</v>
      </c>
      <c r="E264" t="str">
        <v>みずか（ら） おのずか（ら） よ（り）</v>
      </c>
      <c r="F264" t="str">
        <v>おの これ さだ</v>
      </c>
      <c r="G264" t="str">
        <v>みずから。自分から。自分で。 おのずから。ひとりでに。ひとりで。自然に。 より。よる。もとづく。 用いる。</v>
      </c>
      <c r="H264" t="str">
        <v>#心・志</v>
      </c>
      <c r="I264">
        <v>90</v>
      </c>
      <c r="J264">
        <v>50</v>
      </c>
      <c r="K264">
        <v>60</v>
      </c>
      <c r="L264">
        <v>0</v>
      </c>
      <c r="M264">
        <f>VLOOKUP(A264,[1]kanji_data!$A:$N,14,FALSE)</f>
        <v>0</v>
      </c>
    </row>
    <row r="265">
      <c r="A265" t="str">
        <v>色</v>
      </c>
      <c r="B265">
        <v>6</v>
      </c>
      <c r="C265" t="b">
        <v>1</v>
      </c>
      <c r="D265" t="str">
        <v>シキ ショク</v>
      </c>
      <c r="E265" t="str">
        <v>いろ</v>
      </c>
      <c r="F265" t="str">
        <v>くさ しな</v>
      </c>
      <c r="G265" t="str">
        <v>いろ。いろどり。色彩。 顔いろ。顔の表情。顔のかたち。 おもむき。面白み。ようす。 いろどる。いろをつける。 男女の間での情欲。 仏教で、感覚でとらえることができる形あるすべてのもの。 いろ。愛人。情人。 いろ。響き。調子。</v>
      </c>
      <c r="H265" t="str">
        <v>#慈愛 #繁栄 #花・彩</v>
      </c>
      <c r="I265">
        <v>75</v>
      </c>
      <c r="J265">
        <v>30</v>
      </c>
      <c r="K265">
        <v>90</v>
      </c>
      <c r="L265">
        <v>0</v>
      </c>
      <c r="M265">
        <f>VLOOKUP(A265,[1]kanji_data!$A:$N,14,FALSE)</f>
        <v>0</v>
      </c>
    </row>
    <row r="266">
      <c r="A266" t="str">
        <v>失</v>
      </c>
      <c r="B266">
        <v>5</v>
      </c>
      <c r="C266" t="b">
        <v>1</v>
      </c>
      <c r="D266" t="str">
        <v>シツ イツ</v>
      </c>
      <c r="E266" t="str">
        <v>うしな（う） う（せる）</v>
      </c>
      <c r="F266">
        <v>0</v>
      </c>
      <c r="G266" t="str">
        <v>うしなう。うせる。なくす。 うしなう。のがす。見逃す。 あやまち。まちがい。失敗。 にげる。 ほしいままにする。気ままにする。</v>
      </c>
      <c r="I266">
        <v>10</v>
      </c>
      <c r="J266">
        <v>50</v>
      </c>
      <c r="K266">
        <v>50</v>
      </c>
      <c r="L266">
        <v>1</v>
      </c>
    </row>
    <row r="267">
      <c r="A267" t="str">
        <v>多</v>
      </c>
      <c r="B267">
        <v>6</v>
      </c>
      <c r="C267" t="b">
        <v>1</v>
      </c>
      <c r="D267" t="str">
        <v>タ</v>
      </c>
      <c r="E267" t="str">
        <v>おお（い）</v>
      </c>
      <c r="F267" t="str">
        <v>おおし かず とみ な なお まさ まさる</v>
      </c>
      <c r="G267" t="str">
        <v>おおい。たくさん。数や量がおおい。 ほめる。重んずる。ありがたく思う。 まさに。ただ。ただそれのみ。</v>
      </c>
      <c r="H267" t="str">
        <v>#繁栄</v>
      </c>
      <c r="I267">
        <v>80</v>
      </c>
      <c r="J267">
        <v>55</v>
      </c>
      <c r="K267">
        <v>60</v>
      </c>
      <c r="L267">
        <v>0</v>
      </c>
      <c r="M267">
        <f>VLOOKUP(A267,[1]kanji_data!$A:$N,14,FALSE)</f>
        <v>0</v>
      </c>
    </row>
    <row r="268">
      <c r="A268" t="str">
        <v>池</v>
      </c>
      <c r="B268">
        <v>6</v>
      </c>
      <c r="C268" t="b">
        <v>1</v>
      </c>
      <c r="D268" t="str">
        <v>チ</v>
      </c>
      <c r="E268" t="str">
        <v>いけ</v>
      </c>
      <c r="F268">
        <v>0</v>
      </c>
      <c r="G268" t="str">
        <v>いけ。自然にできた水たまり。 ほり。みぞ。 すずりの水をためておく部分。</v>
      </c>
      <c r="H268" t="str">
        <v>#海・水</v>
      </c>
      <c r="I268">
        <v>10</v>
      </c>
      <c r="J268">
        <v>55</v>
      </c>
      <c r="K268">
        <v>55</v>
      </c>
      <c r="L268">
        <v>0</v>
      </c>
      <c r="M268">
        <f>VLOOKUP(A268,[1]kanji_data!$A:$N,14,FALSE)</f>
        <v>0</v>
      </c>
    </row>
    <row r="269">
      <c r="A269" t="str">
        <v>地</v>
      </c>
      <c r="B269">
        <v>6</v>
      </c>
      <c r="C269" t="b">
        <v>1</v>
      </c>
      <c r="D269" t="str">
        <v>ジ チ</v>
      </c>
      <c r="E269" t="str">
        <v>つち ところ</v>
      </c>
      <c r="F269" t="str">
        <v>くに</v>
      </c>
      <c r="G269" t="str">
        <v>つち。大地。地面。陸地。 国土。領地。 ところ。特定の場所。一定の場所。 立場。身分。位置。 下地。素地。基礎。 語尾につける助辞。 じ（ぢ）。その土地の。その地方の。 じ（ぢ）。本性。本質。 じ（ぢ）。文章の中での会話以外のところ。</v>
      </c>
      <c r="H269" t="str">
        <v>#自然</v>
      </c>
      <c r="I269">
        <v>60</v>
      </c>
      <c r="J269">
        <v>55</v>
      </c>
      <c r="K269">
        <v>60</v>
      </c>
      <c r="L269">
        <v>0</v>
      </c>
      <c r="M269">
        <f>VLOOKUP(A269,[1]kanji_data!$A:$N,14,FALSE)</f>
        <v>0</v>
      </c>
    </row>
    <row r="270">
      <c r="A270" t="str">
        <v>当</v>
      </c>
      <c r="B270">
        <v>6</v>
      </c>
      <c r="C270" t="b">
        <v>1</v>
      </c>
      <c r="D270" t="str">
        <v>トウ</v>
      </c>
      <c r="E270" t="str">
        <v>あ（たる） あ（てる） まさ（に）</v>
      </c>
      <c r="F270" t="str">
        <v>あたる</v>
      </c>
      <c r="G270" t="str">
        <v>あたる。あてる。ちょうどあてはまる。 あたる。あてる。対抗する。敵対する。 あたる。担う。受け持つ。任務につく。 あたる。その時にあう。するにあたり。 「まさに～べし」と読み、「～するべきである」「当然～しなければならない」の意を表わす。 あたる。ちょうどよい。適合する。一致する。 質にいれる。また、質にいれる品。 その時。その場所。</v>
      </c>
      <c r="H270" t="str">
        <v>#信念 #品格</v>
      </c>
      <c r="I270">
        <v>40</v>
      </c>
      <c r="J270">
        <v>45</v>
      </c>
      <c r="K270">
        <v>40</v>
      </c>
      <c r="L270">
        <v>0</v>
      </c>
      <c r="M270">
        <f>VLOOKUP(A270,[1]kanji_data!$A:$N,14,FALSE)</f>
        <v>0</v>
      </c>
    </row>
    <row r="271">
      <c r="A271" t="str">
        <v>同</v>
      </c>
      <c r="B271">
        <v>6</v>
      </c>
      <c r="C271" t="b">
        <v>1</v>
      </c>
      <c r="D271" t="str">
        <v>ドウ トウ</v>
      </c>
      <c r="E271" t="str">
        <v>おな（じ） とも（に）</v>
      </c>
      <c r="F271" t="str">
        <v>あつ あつむ とも ひとし</v>
      </c>
      <c r="G271" t="str">
        <v>おなじ。等しいさま。一致している。違いがない。 ともに。おなじく。共同して。一緒に。 おなじくする。ともにする。合わす。一緒にする。揃える。 集まる。集合する。また、集まり。つどい。 諸侯が集まり、同時に天子に謁見する礼。 むやみに仲間にする。従う。調子を合わせる。 やわらぐ。</v>
      </c>
      <c r="H271" t="str">
        <v>#調和</v>
      </c>
      <c r="I271">
        <v>45</v>
      </c>
      <c r="J271">
        <v>45</v>
      </c>
      <c r="K271">
        <v>45</v>
      </c>
      <c r="L271">
        <v>0</v>
      </c>
      <c r="M271">
        <f>VLOOKUP(A271,[1]kanji_data!$A:$N,14,FALSE)</f>
        <v>0</v>
      </c>
    </row>
    <row r="272">
      <c r="A272" t="str">
        <v>圧</v>
      </c>
      <c r="B272">
        <v>5</v>
      </c>
      <c r="C272" t="b">
        <v>1</v>
      </c>
      <c r="D272" t="str">
        <v>アツ オウ</v>
      </c>
      <c r="E272" t="str">
        <v>お（さえる） お（す） へ（す）</v>
      </c>
      <c r="F272">
        <v>0</v>
      </c>
      <c r="G272" t="str">
        <v>おす。へす。おさえる。おさえつける。 おさえる力。おさえつける力。</v>
      </c>
      <c r="I272">
        <v>10</v>
      </c>
      <c r="J272">
        <v>50</v>
      </c>
      <c r="K272">
        <v>50</v>
      </c>
      <c r="L272">
        <v>1</v>
      </c>
    </row>
    <row r="273">
      <c r="A273" t="str">
        <v>刊</v>
      </c>
      <c r="B273">
        <v>5</v>
      </c>
      <c r="C273" t="b">
        <v>1</v>
      </c>
      <c r="D273" t="str">
        <v>カン</v>
      </c>
      <c r="E273" t="str">
        <v>きざ（む） けず（る）</v>
      </c>
      <c r="F273">
        <v>0</v>
      </c>
      <c r="G273" t="str">
        <v>書物を世に出す。出版する。例：刊行 きざむ。ほる。木などに刻みこむ。 けずる。けずり取る。取り除く。</v>
      </c>
      <c r="I273">
        <v>10</v>
      </c>
      <c r="J273">
        <v>50</v>
      </c>
      <c r="K273">
        <v>50</v>
      </c>
      <c r="L273">
        <v>1</v>
      </c>
    </row>
    <row r="274">
      <c r="A274" t="str">
        <v>犯</v>
      </c>
      <c r="B274">
        <v>5</v>
      </c>
      <c r="C274" t="b">
        <v>1</v>
      </c>
      <c r="D274" t="str">
        <v>ハン ボン</v>
      </c>
      <c r="E274" t="str">
        <v>おか（す）</v>
      </c>
      <c r="F274">
        <v>0</v>
      </c>
      <c r="G274" t="str">
        <v>おかす。そむく。規律や法律を破る。 罪をおかした人。罪人。つみびと。犯人。</v>
      </c>
      <c r="I274">
        <v>10</v>
      </c>
      <c r="J274">
        <v>50</v>
      </c>
      <c r="K274">
        <v>50</v>
      </c>
      <c r="L274">
        <v>1</v>
      </c>
    </row>
    <row r="275">
      <c r="A275" t="str">
        <v>安</v>
      </c>
      <c r="B275">
        <v>6</v>
      </c>
      <c r="C275" t="b">
        <v>1</v>
      </c>
      <c r="D275" t="str">
        <v>アン</v>
      </c>
      <c r="E275" t="str">
        <v>やす（い） いずく（んぞ） やす（んじる）</v>
      </c>
      <c r="F275" t="str">
        <v>あ さだ やすし</v>
      </c>
      <c r="G275" t="str">
        <v>やすい。やすらか。おだやかなさま。落ち着いているさま。 やすんじる。やすんずる。落ち着かせる。安心させる。 やすんじる。やすんずる。楽しむ。 「いずくんぞ」と読み、「どうして」の意を表す。 「いずくに」「いずくにか」と読み、「どこ」「どこに」と場所を問う意を表す。 やすい。物の値段がやすい。 やすい。たやすい。容易である。</v>
      </c>
      <c r="H275" t="str">
        <v>#幸福 #慈愛</v>
      </c>
      <c r="I275">
        <v>95</v>
      </c>
      <c r="J275">
        <v>55</v>
      </c>
      <c r="K275">
        <v>55</v>
      </c>
      <c r="L275">
        <v>0</v>
      </c>
      <c r="M275">
        <f>VLOOKUP(A275,[1]kanji_data!$A:$N,14,FALSE)</f>
        <v>0</v>
      </c>
    </row>
    <row r="276">
      <c r="A276" t="str">
        <v>穴</v>
      </c>
      <c r="B276">
        <v>5</v>
      </c>
      <c r="C276" t="b">
        <v>1</v>
      </c>
      <c r="D276" t="str">
        <v>ケツ</v>
      </c>
      <c r="E276" t="str">
        <v>あな</v>
      </c>
      <c r="F276">
        <v>0</v>
      </c>
      <c r="G276" t="str">
        <v>あな。くぼみ。へこみ。くぼんでいる所。あなぐら。 針や灸をすえるときの、からだのつぼ。人体の急所。 あなをほる。うがつ。あなを掘る。 あな。欠け目。欠損。会計上の損失。 おおあな。番狂わせ。</v>
      </c>
      <c r="I276">
        <v>10</v>
      </c>
      <c r="J276">
        <v>50</v>
      </c>
      <c r="K276">
        <v>50</v>
      </c>
      <c r="L276">
        <v>1</v>
      </c>
    </row>
    <row r="277">
      <c r="A277" t="str">
        <v>斥</v>
      </c>
      <c r="B277">
        <v>5</v>
      </c>
      <c r="C277" t="b">
        <v>1</v>
      </c>
      <c r="D277" t="str">
        <v>セキ</v>
      </c>
      <c r="E277" t="str">
        <v>うかが（う） しりぞ（ける）</v>
      </c>
      <c r="F277">
        <v>0</v>
      </c>
      <c r="G277" t="str">
        <v>しりぞける。おしのける。引き下がらせる。 うかがう。様子をひそかにさぐる。 さす。指さす。さし示す。</v>
      </c>
      <c r="I277">
        <v>10</v>
      </c>
      <c r="J277">
        <v>50</v>
      </c>
      <c r="K277">
        <v>50</v>
      </c>
      <c r="L277">
        <v>1</v>
      </c>
    </row>
    <row r="278">
      <c r="A278" t="str">
        <v>向</v>
      </c>
      <c r="B278">
        <v>6</v>
      </c>
      <c r="C278" t="b">
        <v>1</v>
      </c>
      <c r="D278" t="str">
        <v>コウ キョウ ショウ</v>
      </c>
      <c r="E278" t="str">
        <v>む（かう） む（く） む（ける） む（こう） さき（に）</v>
      </c>
      <c r="F278" t="str">
        <v>ひさ</v>
      </c>
      <c r="G278" t="str">
        <v>むかう。むく。むける。ある方に進む。 むき。方向。 北に向いた窓。 さきに。以前。昔。先ほど。 古代中国の国名。また、地名。 むこう。むかい。正面。 むこう。前方。あちら側。 むき。むく。適応。適している。</v>
      </c>
      <c r="H278" t="str">
        <v>#飛躍</v>
      </c>
      <c r="I278">
        <v>55</v>
      </c>
      <c r="J278">
        <v>55</v>
      </c>
      <c r="K278">
        <v>50</v>
      </c>
      <c r="L278">
        <v>0</v>
      </c>
      <c r="M278">
        <f>VLOOKUP(A278,[1]kanji_data!$A:$N,14,FALSE)</f>
        <v>0</v>
      </c>
    </row>
    <row r="279">
      <c r="A279" t="str">
        <v>死</v>
      </c>
      <c r="B279">
        <v>6</v>
      </c>
      <c r="C279" t="b">
        <v>1</v>
      </c>
      <c r="D279" t="str">
        <v>シ</v>
      </c>
      <c r="E279" t="str">
        <v>し（ぬ）</v>
      </c>
      <c r="F279">
        <v>0</v>
      </c>
      <c r="G279" t="str">
        <v>しぬ。命がなくなる。生命が絶える。 活動をやめる。役に立たなくなる。 命がけ。死を覚悟するほどの。</v>
      </c>
      <c r="H279" t="str">
        <v>#知性</v>
      </c>
      <c r="I279">
        <v>0</v>
      </c>
      <c r="J279">
        <v>50</v>
      </c>
      <c r="K279">
        <v>50</v>
      </c>
      <c r="L279">
        <v>1</v>
      </c>
    </row>
    <row r="280">
      <c r="A280" t="str">
        <v>凹</v>
      </c>
      <c r="B280">
        <v>5</v>
      </c>
      <c r="C280" t="b">
        <v>1</v>
      </c>
      <c r="D280" t="str">
        <v>オウ ヨウ</v>
      </c>
      <c r="E280" t="str">
        <v>くぼ（む） へこ（ます） へこ（む）</v>
      </c>
      <c r="F280">
        <v>0</v>
      </c>
      <c r="G280" t="str">
        <v>くぼむ。へこます。へこむ。 くぼみ。へこみ。へこんだ所。中央がへこんださま。</v>
      </c>
      <c r="I280">
        <v>10</v>
      </c>
      <c r="J280">
        <v>50</v>
      </c>
      <c r="K280">
        <v>50</v>
      </c>
      <c r="L280">
        <v>1</v>
      </c>
    </row>
    <row r="281">
      <c r="A281" t="str">
        <v>式</v>
      </c>
      <c r="B281">
        <v>6</v>
      </c>
      <c r="C281" t="b">
        <v>1</v>
      </c>
      <c r="D281" t="str">
        <v>シキ ショク</v>
      </c>
      <c r="E281" t="str">
        <v>のっと（る） のり</v>
      </c>
      <c r="F281">
        <v>0</v>
      </c>
      <c r="G281" t="str">
        <v>のり。決まり。作法。手本。 のっとる。手本にする。一定のやり方に従う。 車の前部についている横木。また、それにつかまり敬礼をすること。＝軾 もって。語調を整える語。 しき。儀式。定められた作法でとり行う行事。</v>
      </c>
      <c r="H281" t="str">
        <v>#品格 #知性</v>
      </c>
      <c r="I281">
        <v>10</v>
      </c>
      <c r="J281">
        <v>60</v>
      </c>
      <c r="K281">
        <v>50</v>
      </c>
      <c r="L281">
        <v>0</v>
      </c>
      <c r="M281">
        <f>VLOOKUP(A281,[1]kanji_data!$A:$N,14,FALSE)</f>
        <v>0</v>
      </c>
    </row>
    <row r="282">
      <c r="A282" t="str">
        <v>守</v>
      </c>
      <c r="B282">
        <v>6</v>
      </c>
      <c r="C282" t="b">
        <v>1</v>
      </c>
      <c r="D282" t="str">
        <v>シュ ス</v>
      </c>
      <c r="E282" t="str">
        <v>まも（る） も（り） かみ</v>
      </c>
      <c r="F282" t="str">
        <v>え さね まもる</v>
      </c>
      <c r="G282" t="str">
        <v>まもる。持ちこたえる。状態を保つ。 まもる。見張る。目を離さないようにする。 まもる。かばう。保護する。 まもり。防衛。備え。 地方の長官。郡の長官。 まもり。神仏のおまもり。 もり。子もり。子の世話をする。</v>
      </c>
      <c r="H282" t="str">
        <v>#慈愛</v>
      </c>
      <c r="I282">
        <v>85</v>
      </c>
      <c r="J282">
        <v>85</v>
      </c>
      <c r="K282">
        <v>40</v>
      </c>
      <c r="L282">
        <v>0</v>
      </c>
      <c r="M282">
        <f>VLOOKUP(A282,[1]kanji_data!$A:$N,14,FALSE)</f>
        <v>0</v>
      </c>
    </row>
    <row r="283">
      <c r="A283" t="str">
        <v>州</v>
      </c>
      <c r="B283">
        <v>6</v>
      </c>
      <c r="C283" t="b">
        <v>1</v>
      </c>
      <c r="D283" t="str">
        <v>シュウ ス</v>
      </c>
      <c r="E283" t="str">
        <v>す くに しま</v>
      </c>
      <c r="F283">
        <v>0</v>
      </c>
      <c r="G283" t="str">
        <v>す。しま。なかす。川の中に砂などが積もってできた陸地。 古代中国の行政区画。時代によって州の定め方は異なる。</v>
      </c>
      <c r="H283" t="str">
        <v>#海・水</v>
      </c>
      <c r="I283">
        <v>10</v>
      </c>
      <c r="J283">
        <v>50</v>
      </c>
      <c r="K283">
        <v>50</v>
      </c>
      <c r="L283">
        <v>0</v>
      </c>
      <c r="M283">
        <f>VLOOKUP(A283,[1]kanji_data!$A:$N,14,FALSE)</f>
        <v>0</v>
      </c>
    </row>
    <row r="284">
      <c r="A284" t="str">
        <v>全</v>
      </c>
      <c r="B284">
        <v>6</v>
      </c>
      <c r="C284" t="b">
        <v>1</v>
      </c>
      <c r="D284" t="str">
        <v>ゼン セン</v>
      </c>
      <c r="E284" t="str">
        <v>すべ（て） まった（く）</v>
      </c>
      <c r="F284">
        <v>0</v>
      </c>
      <c r="G284" t="str">
        <v>すべて。まったく。みな。 まったし。きずや欠点がない。 欠けずにそろっている。すべてそなわっている。 まっとうする。何事もなくやりとげる。無事になしとげる。</v>
      </c>
      <c r="H284" t="str">
        <v>#繁栄</v>
      </c>
      <c r="I284">
        <v>50</v>
      </c>
      <c r="J284">
        <v>65</v>
      </c>
      <c r="K284">
        <v>55</v>
      </c>
      <c r="L284">
        <v>0</v>
      </c>
      <c r="M284">
        <f>VLOOKUP(A284,[1]kanji_data!$A:$N,14,FALSE)</f>
        <v>0</v>
      </c>
    </row>
    <row r="285">
      <c r="A285" t="str">
        <v>有</v>
      </c>
      <c r="B285">
        <v>6</v>
      </c>
      <c r="C285" t="b">
        <v>1</v>
      </c>
      <c r="D285" t="str">
        <v>ユウ ウ</v>
      </c>
      <c r="E285" t="str">
        <v>あ（る） も（つ）</v>
      </c>
      <c r="F285" t="str">
        <v>あり たもつ とも みち もち ゆ</v>
      </c>
      <c r="G285" t="str">
        <v>ある。存在する。 もつ。所有する。所持する。 もつ。たもつ。持ち続ける。 また。さらに。そのうえ。＝又</v>
      </c>
      <c r="H285" t="str">
        <v>#調和</v>
      </c>
      <c r="I285">
        <v>70</v>
      </c>
      <c r="J285">
        <v>55</v>
      </c>
      <c r="K285">
        <v>60</v>
      </c>
      <c r="L285">
        <v>0</v>
      </c>
      <c r="M285">
        <f>VLOOKUP(A285,[1]kanji_data!$A:$N,14,FALSE)</f>
        <v>0</v>
      </c>
    </row>
    <row r="286">
      <c r="A286" t="str">
        <v>羊</v>
      </c>
      <c r="B286">
        <v>6</v>
      </c>
      <c r="C286" t="b">
        <v>1</v>
      </c>
      <c r="D286" t="str">
        <v>ヨウ</v>
      </c>
      <c r="E286" t="str">
        <v>ひつじ</v>
      </c>
      <c r="F286">
        <v>0</v>
      </c>
      <c r="G286" t="str">
        <v>ひつじ。家畜の一種。 よい。めでたい。 さまよう。</v>
      </c>
      <c r="H286" t="str">
        <v>#幸福</v>
      </c>
      <c r="I286">
        <v>10</v>
      </c>
      <c r="J286">
        <v>55</v>
      </c>
      <c r="K286">
        <v>55</v>
      </c>
      <c r="L286">
        <v>0</v>
      </c>
      <c r="M286">
        <f>VLOOKUP(A286,[1]kanji_data!$A:$N,14,FALSE)</f>
        <v>0</v>
      </c>
    </row>
    <row r="287">
      <c r="A287" t="str">
        <v>禾</v>
      </c>
      <c r="B287">
        <v>5</v>
      </c>
      <c r="C287" t="b">
        <v>0</v>
      </c>
      <c r="D287" t="str">
        <v>カ</v>
      </c>
      <c r="E287" t="str">
        <v>いね のぎ</v>
      </c>
      <c r="F287" t="str">
        <v>とし のぶ ひいず ひで</v>
      </c>
      <c r="G287" t="str">
        <v>いね。あわ。わら。穀物の総称。 のぎ。のげ。穀物の穂先にある細い毛。</v>
      </c>
      <c r="H287" t="str">
        <v>#自然</v>
      </c>
      <c r="I287">
        <v>30</v>
      </c>
      <c r="J287">
        <v>50</v>
      </c>
      <c r="K287">
        <v>55</v>
      </c>
      <c r="L287">
        <v>0</v>
      </c>
      <c r="M287">
        <f>VLOOKUP(A287,[1]kanji_data!$A:$N,14,FALSE)</f>
        <v>0</v>
      </c>
    </row>
    <row r="288">
      <c r="A288" t="str">
        <v>耳</v>
      </c>
      <c r="B288">
        <v>6</v>
      </c>
      <c r="C288" t="b">
        <v>1</v>
      </c>
      <c r="D288" t="str">
        <v>ジ ニ</v>
      </c>
      <c r="E288" t="str">
        <v>みみ のみ</v>
      </c>
      <c r="F288" t="str">
        <v>み</v>
      </c>
      <c r="G288" t="str">
        <v>みみ。顔の両側にあり、聴覚をつかさどる器官。 つまみ。物の両側についたみみの形状をしたもの。 聞く。みみにする。 のみ。限定や強調を表す助字。</v>
      </c>
      <c r="I288">
        <v>30</v>
      </c>
      <c r="J288">
        <v>65</v>
      </c>
      <c r="K288">
        <v>55</v>
      </c>
      <c r="L288">
        <v>0</v>
      </c>
      <c r="M288">
        <f>VLOOKUP(A288,[1]kanji_data!$A:$N,14,FALSE)</f>
        <v>0</v>
      </c>
    </row>
    <row r="289">
      <c r="A289" t="str">
        <v>早</v>
      </c>
      <c r="B289">
        <v>6</v>
      </c>
      <c r="C289" t="b">
        <v>1</v>
      </c>
      <c r="D289" t="str">
        <v>ソウ サッ</v>
      </c>
      <c r="E289" t="str">
        <v>はや（い） はや（まる） はや（める） さ</v>
      </c>
      <c r="F289" t="str">
        <v>さき</v>
      </c>
      <c r="G289" t="str">
        <v>はやい。時間や時期がはやい。 はやく。朝はやく。明け方。 はやく。すみやかに。すぐに。 さ。ことばの上のつけて若いの意を表す。 はやまる。はやめる。早くなる。早くする。</v>
      </c>
      <c r="H289" t="str">
        <v>#心・志</v>
      </c>
      <c r="I289">
        <v>30</v>
      </c>
      <c r="J289">
        <v>85</v>
      </c>
      <c r="K289">
        <v>30</v>
      </c>
      <c r="L289">
        <v>0</v>
      </c>
      <c r="M289">
        <f>VLOOKUP(A289,[1]kanji_data!$A:$N,14,FALSE)</f>
        <v>0</v>
      </c>
    </row>
    <row r="290">
      <c r="A290" t="str">
        <v>肉</v>
      </c>
      <c r="B290">
        <v>6</v>
      </c>
      <c r="C290" t="b">
        <v>1</v>
      </c>
      <c r="D290" t="str">
        <v>ニク ジク</v>
      </c>
      <c r="E290" t="str">
        <v>しし</v>
      </c>
      <c r="F290">
        <v>0</v>
      </c>
      <c r="G290" t="str">
        <v>にく。み。しし。鳥や獣の切った肉。 身体。人間の身体。肌。 肉付く。肉がつく。 声。歌声。 にく。食用の肉。 にく。物の厚み。太さ。</v>
      </c>
      <c r="I290">
        <v>10</v>
      </c>
      <c r="J290">
        <v>50</v>
      </c>
      <c r="K290">
        <v>50</v>
      </c>
      <c r="L290">
        <v>1</v>
      </c>
    </row>
    <row r="291">
      <c r="A291" t="str">
        <v>米</v>
      </c>
      <c r="B291">
        <v>6</v>
      </c>
      <c r="C291" t="b">
        <v>1</v>
      </c>
      <c r="D291" t="str">
        <v>ベイ マイ メ</v>
      </c>
      <c r="E291" t="str">
        <v>こめ メートル よね</v>
      </c>
      <c r="F291">
        <v>0</v>
      </c>
      <c r="G291" t="str">
        <v>こめ。よね。稲の実。また、脱穀した穀物の実。 メートル。長さの単位。 国名「亜米利加（アメリカ）」の略。また、アメリカ大陸のこと。</v>
      </c>
      <c r="I291">
        <v>10</v>
      </c>
      <c r="J291">
        <v>50</v>
      </c>
      <c r="K291">
        <v>55</v>
      </c>
      <c r="L291">
        <v>0</v>
      </c>
      <c r="M291">
        <f>VLOOKUP(A291,[1]kanji_data!$A:$N,14,FALSE)</f>
        <v>0</v>
      </c>
    </row>
    <row r="292">
      <c r="A292" t="str">
        <v>共</v>
      </c>
      <c r="B292">
        <v>6</v>
      </c>
      <c r="C292" t="b">
        <v>1</v>
      </c>
      <c r="D292" t="str">
        <v>キョウ</v>
      </c>
      <c r="E292" t="str">
        <v>とも</v>
      </c>
      <c r="F292" t="str">
        <v>たか</v>
      </c>
      <c r="G292" t="str">
        <v>とも。ともに。一緒に。 ともにする。共有する。 うやうやしい。うやうやしくする。 そなえる。ささげる。 こまぬく。両手を胸の前で合わせる。 向かう。 とも。ども。複数、または謙遜を表すことば。</v>
      </c>
      <c r="H292" t="str">
        <v>#調和</v>
      </c>
      <c r="I292">
        <v>45</v>
      </c>
      <c r="J292">
        <v>45</v>
      </c>
      <c r="K292">
        <v>45</v>
      </c>
      <c r="L292">
        <v>0</v>
      </c>
      <c r="M292">
        <f>VLOOKUP(A292,[1]kanji_data!$A:$N,14,FALSE)</f>
        <v>0</v>
      </c>
    </row>
    <row r="293">
      <c r="A293" t="str">
        <v>好</v>
      </c>
      <c r="B293">
        <v>6</v>
      </c>
      <c r="C293" t="b">
        <v>1</v>
      </c>
      <c r="D293" t="str">
        <v>コウ</v>
      </c>
      <c r="E293" t="str">
        <v>この（む） す（く） よ（い） よしみ</v>
      </c>
      <c r="F293" t="str">
        <v>このみ すみ たか み よし</v>
      </c>
      <c r="G293" t="str">
        <v>よい。このましい。のぞましい。 よい。すぐれている。りっぱ。 よい。みめよい。うつくしい。 よい。仲がよい。仲睦まじい。 よしみ。親しい関係。 このむ。このみ。すく。すき。愛する。</v>
      </c>
      <c r="H293" t="str">
        <v>#慈愛 #花・彩 #調和</v>
      </c>
      <c r="I293">
        <v>80</v>
      </c>
      <c r="J293">
        <v>70</v>
      </c>
      <c r="K293">
        <v>55</v>
      </c>
      <c r="L293">
        <v>0</v>
      </c>
      <c r="M293">
        <f>VLOOKUP(A293,[1]kanji_data!$A:$N,14,FALSE)</f>
        <v>0</v>
      </c>
    </row>
    <row r="294">
      <c r="A294" t="str">
        <v>成</v>
      </c>
      <c r="B294">
        <v>6</v>
      </c>
      <c r="C294" t="b">
        <v>1</v>
      </c>
      <c r="D294" t="str">
        <v>セイ ジョウ</v>
      </c>
      <c r="E294" t="str">
        <v>な（す） な（る）</v>
      </c>
      <c r="F294" t="str">
        <v>あき あきら しげ しげる なり ひで よし</v>
      </c>
      <c r="G294" t="str">
        <v>なる。仕上がる。出来上がる。 なる。～になる。変化する。 なす。仕上げる。なしとげる。 ととのった。できあがった。 たいらぎ。和睦する。また、争いを静めて安定させる。 なり。お成り。貴人の外出や到着を敬っていうことば。</v>
      </c>
      <c r="H294" t="str">
        <v>#繁栄 #調和</v>
      </c>
      <c r="I294">
        <v>95</v>
      </c>
      <c r="J294">
        <v>65</v>
      </c>
      <c r="K294">
        <v>50</v>
      </c>
      <c r="L294">
        <v>0</v>
      </c>
      <c r="M294">
        <f>VLOOKUP(A294,[1]kanji_data!$A:$N,14,FALSE)</f>
        <v>0</v>
      </c>
    </row>
    <row r="295">
      <c r="A295" t="str">
        <v>争</v>
      </c>
      <c r="B295">
        <v>6</v>
      </c>
      <c r="C295" t="b">
        <v>1</v>
      </c>
      <c r="D295" t="str">
        <v>ソウ</v>
      </c>
      <c r="E295" t="str">
        <v>あらそ（う） いさ（める）</v>
      </c>
      <c r="F295">
        <v>0</v>
      </c>
      <c r="G295" t="str">
        <v>あらそう。きそう。奪い合う。取り合う。 いさめる。あやまちや誤りを指摘し改めるように忠告する。 いかで。どうして。反語の意をあらわす助字。</v>
      </c>
      <c r="H295" t="str">
        <v>#心・志</v>
      </c>
      <c r="I295">
        <v>10</v>
      </c>
      <c r="J295">
        <v>50</v>
      </c>
      <c r="K295">
        <v>50</v>
      </c>
      <c r="L295">
        <v>1</v>
      </c>
    </row>
    <row r="296">
      <c r="A296" t="str">
        <v>血</v>
      </c>
      <c r="B296">
        <v>6</v>
      </c>
      <c r="C296" t="b">
        <v>1</v>
      </c>
      <c r="D296" t="str">
        <v>ケツ ケチ</v>
      </c>
      <c r="E296" t="str">
        <v>ち</v>
      </c>
      <c r="F296">
        <v>0</v>
      </c>
      <c r="G296" t="str">
        <v>ち。ちしお。例：血液 ち塗る。ちを塗る。ちを塗りつける。 ちのつながり。ちすじ。ちを分けた間柄。 なみだ。 意気盛んなさま。例：熱血</v>
      </c>
      <c r="I296">
        <v>10</v>
      </c>
      <c r="J296">
        <v>50</v>
      </c>
      <c r="K296">
        <v>50</v>
      </c>
      <c r="L296">
        <v>1</v>
      </c>
    </row>
    <row r="297">
      <c r="A297" t="str">
        <v>次</v>
      </c>
      <c r="B297">
        <v>6</v>
      </c>
      <c r="C297" t="b">
        <v>1</v>
      </c>
      <c r="D297" t="str">
        <v>ジ シ</v>
      </c>
      <c r="E297" t="str">
        <v>つぎ つ（ぐ） つい（ず） やど（る）</v>
      </c>
      <c r="F297" t="str">
        <v>ちか つぐ ひで</v>
      </c>
      <c r="G297" t="str">
        <v>つぎ。二番目。 つぐ。つづく。あとにつづく。 ついで。順序。 ついず。順序をつける。順序立てて並べる。 回数や度数などを数えることば。 やどる。軍隊がある土地にとどまる。宿営する。 やどる。宿泊する。また、その場所。</v>
      </c>
      <c r="I297">
        <v>30</v>
      </c>
      <c r="J297">
        <v>65</v>
      </c>
      <c r="K297">
        <v>55</v>
      </c>
      <c r="L297">
        <v>0</v>
      </c>
      <c r="M297">
        <f>VLOOKUP(A297,[1]kanji_data!$A:$N,14,FALSE)</f>
        <v>0</v>
      </c>
    </row>
    <row r="298">
      <c r="A298" t="str">
        <v>伝</v>
      </c>
      <c r="B298">
        <v>6</v>
      </c>
      <c r="C298" t="b">
        <v>1</v>
      </c>
      <c r="D298" t="str">
        <v>デン テン</v>
      </c>
      <c r="E298" t="str">
        <v>つた（う） つた（える） つた（わる） つて</v>
      </c>
      <c r="F298">
        <v>0</v>
      </c>
      <c r="G298" t="str">
        <v>つたう。つたえる。つたわる。授ける。受け継ぐ。言いつたえる。語り継ぐ。広める。広がる。広くつたえる。 言いつたえ。人の一生を書き記したもの。伝記。 宿場。または宿場から人やものを送り届ける馬車。 古典、経書などの注釈。 つて。ことづて。ひとづて。事をなすときにたよりにするもの。</v>
      </c>
      <c r="H298" t="str">
        <v>#繁栄</v>
      </c>
      <c r="I298">
        <v>50</v>
      </c>
      <c r="J298">
        <v>35</v>
      </c>
      <c r="K298">
        <v>70</v>
      </c>
      <c r="L298">
        <v>0</v>
      </c>
      <c r="M298">
        <f>VLOOKUP(A298,[1]kanji_data!$A:$N,14,FALSE)</f>
        <v>0</v>
      </c>
    </row>
    <row r="299">
      <c r="A299" t="str">
        <v>灯</v>
      </c>
      <c r="B299">
        <v>6</v>
      </c>
      <c r="C299" t="b">
        <v>1</v>
      </c>
      <c r="D299" t="str">
        <v>トウ チョウ チン テイ ドン</v>
      </c>
      <c r="E299" t="str">
        <v>ひ あかし あかり とぼし とぼ（す） ともし ともしび とも（す） とも（る）</v>
      </c>
      <c r="F299">
        <v>0</v>
      </c>
      <c r="G299" t="str">
        <v>ひ。あかり。あかし。ともしび。火をともす道具。 世の闇を照らす仏の教え。 ひ。はげしい火。また、火の勢いが激しい。</v>
      </c>
      <c r="H299" t="str">
        <v>#天空</v>
      </c>
      <c r="I299">
        <v>50</v>
      </c>
      <c r="J299">
        <v>55</v>
      </c>
      <c r="K299">
        <v>55</v>
      </c>
      <c r="L299">
        <v>0</v>
      </c>
      <c r="M299">
        <f>VLOOKUP(A299,[1]kanji_data!$A:$N,14,FALSE)</f>
        <v>0</v>
      </c>
    </row>
    <row r="300">
      <c r="A300" t="str">
        <v>老</v>
      </c>
      <c r="B300">
        <v>6</v>
      </c>
      <c r="C300" t="b">
        <v>1</v>
      </c>
      <c r="D300" t="str">
        <v>ロウ</v>
      </c>
      <c r="E300" t="str">
        <v>お（いる） ふ（ける）</v>
      </c>
      <c r="F300">
        <v>0</v>
      </c>
      <c r="G300" t="str">
        <v>年をとる。おいる。ふける。また、年寄り。 経験をつむ。ものなれる。経験豊かな人。 年寄りとして扱う。年寄りとして敬う。 年をとって退職する。また、その人。 中国の思想家「老子」の略称。</v>
      </c>
      <c r="H300" t="str">
        <v>#心・志 #繁栄</v>
      </c>
      <c r="I300">
        <v>10</v>
      </c>
      <c r="J300">
        <v>90</v>
      </c>
      <c r="K300">
        <v>35</v>
      </c>
      <c r="L300">
        <v>1</v>
      </c>
    </row>
    <row r="301">
      <c r="A301" t="str">
        <v>列</v>
      </c>
      <c r="B301">
        <v>6</v>
      </c>
      <c r="C301" t="b">
        <v>1</v>
      </c>
      <c r="D301" t="str">
        <v>レツ</v>
      </c>
      <c r="E301" t="str">
        <v>つら（なる） つら（ねる） なら（べる）</v>
      </c>
      <c r="F301">
        <v>0</v>
      </c>
      <c r="G301" t="str">
        <v>つらなる。つらねる。ならべる。ならぶ。 順序。順に並べる。 れつ。並び。行列。順に並んだもの。 たくさんの。多くの。多数の。</v>
      </c>
      <c r="I301">
        <v>10</v>
      </c>
      <c r="J301">
        <v>50</v>
      </c>
      <c r="K301">
        <v>50</v>
      </c>
      <c r="L301">
        <v>1</v>
      </c>
    </row>
    <row r="302">
      <c r="A302" t="str">
        <v>仮</v>
      </c>
      <c r="B302">
        <v>6</v>
      </c>
      <c r="C302" t="b">
        <v>1</v>
      </c>
      <c r="D302" t="str">
        <v>カ ケ カク</v>
      </c>
      <c r="E302" t="str">
        <v>かり か（す）</v>
      </c>
      <c r="F302">
        <v>0</v>
      </c>
      <c r="G302" t="str">
        <v>かり。かりの。本物でない。いつわり。にせ。一時の。 かり。かりに。もし。仮定の意。 貸す。与える。貸し与える。 借りる。借用する。 いとま。ひま。休み。＝暇 いたる。とどく。＝格</v>
      </c>
      <c r="H302" t="str">
        <v>#繁栄</v>
      </c>
      <c r="I302">
        <v>10</v>
      </c>
      <c r="J302">
        <v>50</v>
      </c>
      <c r="K302">
        <v>50</v>
      </c>
      <c r="L302">
        <v>1</v>
      </c>
    </row>
    <row r="303">
      <c r="A303" t="str">
        <v>因</v>
      </c>
      <c r="B303">
        <v>6</v>
      </c>
      <c r="C303" t="b">
        <v>1</v>
      </c>
      <c r="D303" t="str">
        <v>イン</v>
      </c>
      <c r="E303" t="str">
        <v>よ（る） ちなみ ちな（む） よすが よ（って）</v>
      </c>
      <c r="F303">
        <v>0</v>
      </c>
      <c r="G303" t="str">
        <v>よる。ふまえる。もとづく。由来する。 よる。たよる。たよりにする。 もと。物事のおこり。 ちなむ。ちなみ。ゆかりがある。 よすが。理由。 よって。よりて。理由で。原因で。 ちなみに。ついでに。 昔の国名「因幡」の略。</v>
      </c>
      <c r="I303">
        <v>10</v>
      </c>
      <c r="J303">
        <v>50</v>
      </c>
      <c r="K303">
        <v>50</v>
      </c>
      <c r="L303">
        <v>1</v>
      </c>
    </row>
    <row r="304">
      <c r="A304" t="str">
        <v>件</v>
      </c>
      <c r="B304">
        <v>6</v>
      </c>
      <c r="C304" t="b">
        <v>1</v>
      </c>
      <c r="D304" t="str">
        <v>ケン</v>
      </c>
      <c r="E304" t="str">
        <v>くだり くだん</v>
      </c>
      <c r="F304">
        <v>0</v>
      </c>
      <c r="G304" t="str">
        <v>くだり。くだん。文章などで前に記述した事柄。 分ける。区別する。 物事。事柄。物事を数えることば。</v>
      </c>
      <c r="I304">
        <v>10</v>
      </c>
      <c r="J304">
        <v>50</v>
      </c>
      <c r="K304">
        <v>50</v>
      </c>
      <c r="L304">
        <v>1</v>
      </c>
    </row>
    <row r="305">
      <c r="A305" t="str">
        <v>在</v>
      </c>
      <c r="B305">
        <v>6</v>
      </c>
      <c r="C305" t="b">
        <v>1</v>
      </c>
      <c r="D305" t="str">
        <v>ザイ</v>
      </c>
      <c r="E305" t="str">
        <v>あ（る） いま（す） ましま（す）</v>
      </c>
      <c r="F305" t="str">
        <v>あき あきら あり ある すみ たみ とお みつる</v>
      </c>
      <c r="G305" t="str">
        <v>ある。いる。その場所にある。その場所にいる。 ざい。いなか。地方。 います。まします。「ある」や「いる」などの意の尊敬語。</v>
      </c>
      <c r="H305" t="str">
        <v>#品格</v>
      </c>
      <c r="I305">
        <v>60</v>
      </c>
      <c r="J305">
        <v>55</v>
      </c>
      <c r="K305">
        <v>60</v>
      </c>
      <c r="L305">
        <v>0</v>
      </c>
      <c r="M305">
        <f>VLOOKUP(A305,[1]kanji_data!$A:$N,14,FALSE)</f>
        <v>0</v>
      </c>
    </row>
    <row r="306">
      <c r="A306" t="str">
        <v>舌</v>
      </c>
      <c r="B306">
        <v>6</v>
      </c>
      <c r="C306" t="b">
        <v>1</v>
      </c>
      <c r="D306" t="str">
        <v>ゼツ セツ</v>
      </c>
      <c r="E306" t="str">
        <v>した ことば</v>
      </c>
      <c r="F306">
        <v>0</v>
      </c>
      <c r="G306" t="str">
        <v>した。口内にあって、味覚や発声などをたすける器官。 したのような形をしたもの。 ことば。ことば遣い。ものをいうこと。</v>
      </c>
      <c r="H306" t="str">
        <v>#慈愛</v>
      </c>
      <c r="I306">
        <v>10</v>
      </c>
      <c r="J306">
        <v>55</v>
      </c>
      <c r="K306">
        <v>55</v>
      </c>
      <c r="L306">
        <v>1</v>
      </c>
    </row>
    <row r="307">
      <c r="A307" t="str">
        <v>団</v>
      </c>
      <c r="B307">
        <v>6</v>
      </c>
      <c r="C307" t="b">
        <v>1</v>
      </c>
      <c r="D307" t="str">
        <v>ダン トン タン</v>
      </c>
      <c r="E307" t="str">
        <v>かたまり まる（い）</v>
      </c>
      <c r="F307">
        <v>0</v>
      </c>
      <c r="G307" t="str">
        <v>まるい。まるい形。円形。 かたまり。ひとかたまり。集まり。</v>
      </c>
      <c r="I307">
        <v>10</v>
      </c>
      <c r="J307">
        <v>40</v>
      </c>
      <c r="K307">
        <v>75</v>
      </c>
      <c r="L307">
        <v>0</v>
      </c>
      <c r="M307">
        <f>VLOOKUP(A307,[1]kanji_data!$A:$N,14,FALSE)</f>
        <v>0</v>
      </c>
    </row>
    <row r="308">
      <c r="A308" t="str">
        <v>灰</v>
      </c>
      <c r="B308">
        <v>6</v>
      </c>
      <c r="C308" t="b">
        <v>1</v>
      </c>
      <c r="D308" t="str">
        <v>カイ ケ</v>
      </c>
      <c r="E308" t="str">
        <v>はい</v>
      </c>
      <c r="F308">
        <v>0</v>
      </c>
      <c r="G308" t="str">
        <v>はい。燃えかす。燃え殻。 はいになる。はいにする。燃え尽きる。燃えつくす。ほろびる。 活気のないさま。元気のないさま。静かなさま。 はい色。黒と白の中間色。</v>
      </c>
      <c r="I308">
        <v>10</v>
      </c>
      <c r="J308">
        <v>50</v>
      </c>
      <c r="K308">
        <v>50</v>
      </c>
      <c r="L308">
        <v>1</v>
      </c>
    </row>
    <row r="309">
      <c r="A309" t="str">
        <v>宇</v>
      </c>
      <c r="B309">
        <v>6</v>
      </c>
      <c r="C309" t="b">
        <v>1</v>
      </c>
      <c r="D309" t="str">
        <v>ウ</v>
      </c>
      <c r="E309" t="str">
        <v>いえ のき</v>
      </c>
      <c r="F309" t="str">
        <v>うま そら たか ね</v>
      </c>
      <c r="G309" t="str">
        <v>のき。ひさし。また、屋根。 いえ。住まい。 天地四方。天下。世界。大きな屋根のような天におおわれた世界。 精神。器量。度量。</v>
      </c>
      <c r="H309" t="str">
        <v>#健康 #心・志 #自然</v>
      </c>
      <c r="I309">
        <v>95</v>
      </c>
      <c r="J309">
        <v>70</v>
      </c>
      <c r="K309">
        <v>60</v>
      </c>
      <c r="L309">
        <v>0</v>
      </c>
      <c r="M309">
        <f>VLOOKUP(A309,[1]kanji_data!$A:$N,14,FALSE)</f>
        <v>0</v>
      </c>
    </row>
    <row r="310">
      <c r="A310" t="str">
        <v>吸</v>
      </c>
      <c r="B310">
        <v>6</v>
      </c>
      <c r="C310" t="b">
        <v>1</v>
      </c>
      <c r="D310" t="str">
        <v>キュウ</v>
      </c>
      <c r="E310" t="str">
        <v>す（う）</v>
      </c>
      <c r="F310">
        <v>0</v>
      </c>
      <c r="G310" t="str">
        <v>すう。引きつける。すいこむ。取り込む。</v>
      </c>
      <c r="I310">
        <v>10</v>
      </c>
      <c r="J310">
        <v>50</v>
      </c>
      <c r="K310">
        <v>50</v>
      </c>
      <c r="L310">
        <v>1</v>
      </c>
    </row>
    <row r="311">
      <c r="A311" t="str">
        <v>汚</v>
      </c>
      <c r="B311">
        <v>6</v>
      </c>
      <c r="C311" t="b">
        <v>1</v>
      </c>
      <c r="D311" t="str">
        <v>オ</v>
      </c>
      <c r="E311" t="str">
        <v>きたな（い） よご（す） よご（れる） けが（す） けが（らわしい） けが（れる）</v>
      </c>
      <c r="F311">
        <v>0</v>
      </c>
      <c r="G311" t="str">
        <v>きたない。よごれた。けがらわしい。きたならしい。 けがれ。よごれ。不正。恥。恥辱。 けがれる。けがす。よごれる。よごす。 低い。地位や土地が低い。くぼ地。</v>
      </c>
      <c r="I311">
        <v>10</v>
      </c>
      <c r="J311">
        <v>50</v>
      </c>
      <c r="K311">
        <v>50</v>
      </c>
      <c r="L311">
        <v>1</v>
      </c>
    </row>
    <row r="312">
      <c r="A312" t="str">
        <v>旨</v>
      </c>
      <c r="B312">
        <v>6</v>
      </c>
      <c r="C312" t="b">
        <v>1</v>
      </c>
      <c r="D312" t="str">
        <v>シ</v>
      </c>
      <c r="E312" t="str">
        <v>むね うま（い）</v>
      </c>
      <c r="F312">
        <v>0</v>
      </c>
      <c r="G312" t="str">
        <v>うまい。おいしい。味がよい。 むね。考え。意向。意図。 天子の意向。命令。</v>
      </c>
      <c r="I312">
        <v>10</v>
      </c>
      <c r="J312">
        <v>55</v>
      </c>
      <c r="K312">
        <v>60</v>
      </c>
      <c r="L312">
        <v>0</v>
      </c>
      <c r="M312">
        <f>VLOOKUP(A312,[1]kanji_data!$A:$N,14,FALSE)</f>
        <v>0</v>
      </c>
    </row>
    <row r="313">
      <c r="A313" t="str">
        <v>吏</v>
      </c>
      <c r="B313">
        <v>6</v>
      </c>
      <c r="C313" t="b">
        <v>1</v>
      </c>
      <c r="D313" t="str">
        <v>リ</v>
      </c>
      <c r="E313" t="str">
        <v>つかさ</v>
      </c>
      <c r="F313" t="str">
        <v>おさ さと</v>
      </c>
      <c r="G313" t="str">
        <v>つかさ。役人。特に、下級の役人のこと。上級の役人を官と呼び区別する。</v>
      </c>
      <c r="H313" t="str">
        <v>#品格</v>
      </c>
      <c r="I313">
        <v>30</v>
      </c>
      <c r="J313">
        <v>85</v>
      </c>
      <c r="K313">
        <v>40</v>
      </c>
      <c r="L313">
        <v>0</v>
      </c>
      <c r="M313">
        <f>VLOOKUP(A313,[1]kanji_data!$A:$N,14,FALSE)</f>
        <v>0</v>
      </c>
    </row>
    <row r="314">
      <c r="A314" t="str">
        <v>亥</v>
      </c>
      <c r="B314">
        <v>6</v>
      </c>
      <c r="C314" t="b">
        <v>0</v>
      </c>
      <c r="D314" t="str">
        <v>カイ ガイ</v>
      </c>
      <c r="E314" t="str">
        <v>い</v>
      </c>
      <c r="F314">
        <v>0</v>
      </c>
      <c r="G314" t="str">
        <v>い。十二支の十二番目。方位では北北西。時刻では午後十時、および前後の二時間。動物では猪。</v>
      </c>
      <c r="I314">
        <v>10</v>
      </c>
      <c r="J314">
        <v>50</v>
      </c>
      <c r="K314">
        <v>50</v>
      </c>
      <c r="L314">
        <v>0</v>
      </c>
      <c r="M314">
        <f>VLOOKUP(A314,[1]kanji_data!$A:$N,14,FALSE)</f>
        <v>0</v>
      </c>
    </row>
    <row r="315">
      <c r="A315" t="str">
        <v>至</v>
      </c>
      <c r="B315">
        <v>6</v>
      </c>
      <c r="C315" t="b">
        <v>1</v>
      </c>
      <c r="D315" t="str">
        <v>シ</v>
      </c>
      <c r="E315" t="str">
        <v>いた（る）</v>
      </c>
      <c r="F315" t="str">
        <v>ちか のり みち むね ゆき よし</v>
      </c>
      <c r="G315" t="str">
        <v>いたる。とどく。ゆきわたる。およぶ。ゆきつく。 この上ない。きわめて。いたって。非常に。 日の最も長い日、短い日。例：夏至 冬至</v>
      </c>
      <c r="H315" t="str">
        <v>#繁栄</v>
      </c>
      <c r="I315">
        <v>90</v>
      </c>
      <c r="J315">
        <v>60</v>
      </c>
      <c r="K315">
        <v>50</v>
      </c>
      <c r="L315">
        <v>0</v>
      </c>
      <c r="M315">
        <f>VLOOKUP(A315,[1]kanji_data!$A:$N,14,FALSE)</f>
        <v>0</v>
      </c>
    </row>
    <row r="316">
      <c r="A316" t="str">
        <v>存</v>
      </c>
      <c r="B316">
        <v>6</v>
      </c>
      <c r="C316" t="b">
        <v>1</v>
      </c>
      <c r="D316" t="str">
        <v>ソン ゾン</v>
      </c>
      <c r="E316" t="str">
        <v>あ（る） たも（つ） と（う） ながら（える）</v>
      </c>
      <c r="F316">
        <v>0</v>
      </c>
      <c r="G316" t="str">
        <v>ある。いる。存在する。 とう。安否を問う。見舞う。なぐさめる。 ながらえる。生きながらえる。 たもつ。状態を保つ。そのままにしておく。 ぞんずる。承知する。心得る。 ぞんずる。思う。考える。</v>
      </c>
      <c r="H316" t="str">
        <v>#慈愛</v>
      </c>
      <c r="I316">
        <v>10</v>
      </c>
      <c r="J316">
        <v>90</v>
      </c>
      <c r="K316">
        <v>35</v>
      </c>
      <c r="L316">
        <v>0</v>
      </c>
      <c r="M316">
        <f>VLOOKUP(A316,[1]kanji_data!$A:$N,14,FALSE)</f>
        <v>0</v>
      </c>
    </row>
    <row r="317">
      <c r="A317" t="str">
        <v>何</v>
      </c>
      <c r="B317">
        <v>7</v>
      </c>
      <c r="C317" t="b">
        <v>1</v>
      </c>
      <c r="D317" t="str">
        <v>カ</v>
      </c>
      <c r="E317" t="str">
        <v>なに なん いず（く） いず（れ）</v>
      </c>
      <c r="F317">
        <v>0</v>
      </c>
      <c r="G317" t="str">
        <v>なに。なん。なんの。疑問・反語の意をあらわす。 なんぞ。どうして。理由・原因について問う。 いずれ。場所・時間について問う。またはいくつかの中から選択する場合、二つのうちのいずれかを選択する場合などに用いる。 いずく。場所について問う。 いかん。様子・状態・程度などについて問う。 いかん。いかんせん。手段・方法について問う。</v>
      </c>
      <c r="I317">
        <v>10</v>
      </c>
      <c r="J317">
        <v>50</v>
      </c>
      <c r="K317">
        <v>50</v>
      </c>
      <c r="L317">
        <v>1</v>
      </c>
    </row>
    <row r="318">
      <c r="A318" t="str">
        <v>扱</v>
      </c>
      <c r="B318">
        <v>6</v>
      </c>
      <c r="C318" t="b">
        <v>1</v>
      </c>
      <c r="D318" t="str">
        <v>ソウ キュウ</v>
      </c>
      <c r="E318" t="str">
        <v>あつか（う） こ（く） しご（く）</v>
      </c>
      <c r="F318">
        <v>0</v>
      </c>
      <c r="G318" t="str">
        <v>はさむ。さしはさむ。さしこむ。 おさめる。一つに集める。 およぶ。いたる。とどく。 あつかう。機械などを操作する。 あつかう。物事を処理する。 こく。しごく。</v>
      </c>
      <c r="H318" t="str">
        <v>#繁栄</v>
      </c>
      <c r="I318">
        <v>10</v>
      </c>
      <c r="J318">
        <v>50</v>
      </c>
      <c r="K318">
        <v>50</v>
      </c>
      <c r="L318">
        <v>1</v>
      </c>
    </row>
    <row r="319">
      <c r="A319" t="str">
        <v>芋</v>
      </c>
      <c r="B319">
        <v>6</v>
      </c>
      <c r="C319" t="b">
        <v>1</v>
      </c>
      <c r="D319" t="str">
        <v>ウ</v>
      </c>
      <c r="E319" t="str">
        <v>いも</v>
      </c>
      <c r="F319">
        <v>0</v>
      </c>
      <c r="G319" t="str">
        <v>いも。特に、さといも。いも類の総称。</v>
      </c>
      <c r="H319" t="str">
        <v>#知性</v>
      </c>
      <c r="I319">
        <v>10</v>
      </c>
      <c r="J319">
        <v>50</v>
      </c>
      <c r="K319">
        <v>50</v>
      </c>
      <c r="L319">
        <v>1</v>
      </c>
    </row>
    <row r="320">
      <c r="A320" t="str">
        <v>社</v>
      </c>
      <c r="B320">
        <v>7</v>
      </c>
      <c r="C320" t="b">
        <v>1</v>
      </c>
      <c r="D320" t="str">
        <v>シャ ジャ</v>
      </c>
      <c r="E320" t="str">
        <v>やしろ</v>
      </c>
      <c r="F320" t="str">
        <v>こそ たか</v>
      </c>
      <c r="G320" t="str">
        <v>土地の神。くにつかみ。 土地の神を祭るやしろ。お宮。ほこら。また、その祭り。 ある目的や事業のために集まった人々。また、その人たちの作った団体。組合。組織。 しゃ。会社の略。</v>
      </c>
      <c r="I320">
        <v>30</v>
      </c>
      <c r="J320">
        <v>85</v>
      </c>
      <c r="K320">
        <v>40</v>
      </c>
      <c r="L320">
        <v>0</v>
      </c>
      <c r="M320">
        <f>VLOOKUP(A320,[1]kanji_data!$A:$N,14,FALSE)</f>
        <v>0</v>
      </c>
    </row>
    <row r="321">
      <c r="A321" t="str">
        <v>汗</v>
      </c>
      <c r="B321">
        <v>6</v>
      </c>
      <c r="C321" t="b">
        <v>1</v>
      </c>
      <c r="D321" t="str">
        <v>カン</v>
      </c>
      <c r="E321" t="str">
        <v>あせ</v>
      </c>
      <c r="F321">
        <v>0</v>
      </c>
      <c r="G321" t="str">
        <v>あせ。あせする。あせをかく。あせを出す。 「可汗（かかん・こくかん）」はモンゴル・トルコ系遊牧民の君主の尊称。</v>
      </c>
      <c r="H321" t="str">
        <v>#品格</v>
      </c>
      <c r="I321">
        <v>10</v>
      </c>
      <c r="J321">
        <v>100</v>
      </c>
      <c r="K321">
        <v>25</v>
      </c>
      <c r="L321">
        <v>1</v>
      </c>
    </row>
    <row r="322">
      <c r="A322" t="str">
        <v>住</v>
      </c>
      <c r="B322">
        <v>7</v>
      </c>
      <c r="C322" t="b">
        <v>1</v>
      </c>
      <c r="D322" t="str">
        <v>ジュウ チュウ</v>
      </c>
      <c r="E322" t="str">
        <v>す（まう） す（む） とど（まる）</v>
      </c>
      <c r="F322">
        <v>0</v>
      </c>
      <c r="G322" t="str">
        <v>すむ。すまう。ある一定の場所にとどまり生活する。 とどまる。とどめる。一定の場所から動かないでいる。 すまい。住居。 やむ。やめる。停止する。中止する。</v>
      </c>
      <c r="I322">
        <v>10</v>
      </c>
      <c r="J322">
        <v>55</v>
      </c>
      <c r="K322">
        <v>55</v>
      </c>
      <c r="L322">
        <v>0</v>
      </c>
      <c r="M322">
        <f>VLOOKUP(A322,[1]kanji_data!$A:$N,14,FALSE)</f>
        <v>0</v>
      </c>
    </row>
    <row r="323">
      <c r="A323" t="str">
        <v>役</v>
      </c>
      <c r="B323">
        <v>7</v>
      </c>
      <c r="C323" t="b">
        <v>1</v>
      </c>
      <c r="D323" t="str">
        <v>ヤク エキ</v>
      </c>
      <c r="E323" t="str">
        <v>いくさ つと（め）</v>
      </c>
      <c r="F323">
        <v>0</v>
      </c>
      <c r="G323" t="str">
        <v>つとめ。仕事。与えられた職務。 いくさ。戦い。戦争。 人に仕事をさせる。人をこき使う。また、召し使い。 人民に義務として課す労働。 やく。芝居での俳優の受け持ち。 やく。担当する仕事。</v>
      </c>
      <c r="I323">
        <v>10</v>
      </c>
      <c r="J323">
        <v>50</v>
      </c>
      <c r="K323">
        <v>50</v>
      </c>
      <c r="L323">
        <v>1</v>
      </c>
    </row>
    <row r="324">
      <c r="A324" t="str">
        <v>仰</v>
      </c>
      <c r="B324">
        <v>6</v>
      </c>
      <c r="C324" t="b">
        <v>1</v>
      </c>
      <c r="D324" t="str">
        <v>ギョウ コウ ゴウ</v>
      </c>
      <c r="E324" t="str">
        <v>あお（ぐ） おお（せ） あおの（く） おっしゃ（る） の（く）</v>
      </c>
      <c r="F324">
        <v>0</v>
      </c>
      <c r="G324" t="str">
        <v>あおぐ。見上げる。顔を上げて上を見る。 おおせ。命令。いいつけ。身分が高い人の言葉。 のく。あおのく。あおむく。あおむけになる。 あがめる。うやまう。信仰する。 おっしゃる。「言う」の尊敬語。</v>
      </c>
      <c r="H324" t="str">
        <v>#品格 #自然</v>
      </c>
      <c r="I324">
        <v>10</v>
      </c>
      <c r="J324">
        <v>60</v>
      </c>
      <c r="K324">
        <v>55</v>
      </c>
      <c r="L324">
        <v>0</v>
      </c>
      <c r="M324">
        <f>VLOOKUP(A324,[1]kanji_data!$A:$N,14,FALSE)</f>
        <v>0</v>
      </c>
    </row>
    <row r="325">
      <c r="A325" t="str">
        <v>応</v>
      </c>
      <c r="B325">
        <v>7</v>
      </c>
      <c r="C325" t="b">
        <v>1</v>
      </c>
      <c r="D325" t="str">
        <v>オウ</v>
      </c>
      <c r="E325" t="str">
        <v>こた（える） まさ（に）</v>
      </c>
      <c r="F325" t="str">
        <v>お</v>
      </c>
      <c r="G325" t="str">
        <v>こたえる。問いにこたえる。返事をする。 こたえる。応じる。他の働きかけに反応して行動する。 「まさに～べし」と読み、「当然～すべきである」「きっと～であろう」などの意を表す。</v>
      </c>
      <c r="I325">
        <v>30</v>
      </c>
      <c r="J325">
        <v>85</v>
      </c>
      <c r="K325">
        <v>40</v>
      </c>
      <c r="L325">
        <v>0</v>
      </c>
      <c r="M325">
        <f>VLOOKUP(A325,[1]kanji_data!$A:$N,14,FALSE)</f>
        <v>0</v>
      </c>
    </row>
    <row r="326">
      <c r="A326" t="str">
        <v>芝</v>
      </c>
      <c r="B326">
        <v>6</v>
      </c>
      <c r="C326" t="b">
        <v>1</v>
      </c>
      <c r="D326" t="str">
        <v>シ</v>
      </c>
      <c r="E326" t="str">
        <v>しば</v>
      </c>
      <c r="F326">
        <v>0</v>
      </c>
      <c r="G326" t="str">
        <v>ひじりだけ。さいわいだけ。めでたいしるしとされる。 きのこ。 しば。しばくさ。庭園やグラウンドに植えつけるイネ科の多年草。</v>
      </c>
      <c r="H326" t="str">
        <v>#幸福</v>
      </c>
      <c r="I326">
        <v>20</v>
      </c>
      <c r="J326">
        <v>25</v>
      </c>
      <c r="K326">
        <v>90</v>
      </c>
      <c r="L326">
        <v>0</v>
      </c>
      <c r="M326">
        <f>VLOOKUP(A326,[1]kanji_data!$A:$N,14,FALSE)</f>
        <v>0</v>
      </c>
    </row>
    <row r="327">
      <c r="A327" t="str">
        <v>朱</v>
      </c>
      <c r="B327">
        <v>6</v>
      </c>
      <c r="C327" t="b">
        <v>1</v>
      </c>
      <c r="D327" t="str">
        <v>シュ ス</v>
      </c>
      <c r="E327" t="str">
        <v>あか あか（い） あけ</v>
      </c>
      <c r="F327" t="str">
        <v>あや じゅ</v>
      </c>
      <c r="G327" t="str">
        <v>あか。あけ。あかい。黄色がかった赤色。 江戸時代の貨幣の単位。一両の十六分の一。＝銖</v>
      </c>
      <c r="H327" t="str">
        <v>#海・水</v>
      </c>
      <c r="I327">
        <v>80</v>
      </c>
      <c r="J327">
        <v>25</v>
      </c>
      <c r="K327">
        <v>85</v>
      </c>
      <c r="L327">
        <v>0</v>
      </c>
      <c r="M327">
        <f>VLOOKUP(A327,[1]kanji_data!$A:$N,14,FALSE)</f>
        <v>0</v>
      </c>
    </row>
    <row r="328">
      <c r="A328" t="str">
        <v>似</v>
      </c>
      <c r="B328">
        <v>7</v>
      </c>
      <c r="C328" t="b">
        <v>1</v>
      </c>
      <c r="D328" t="str">
        <v>ジ シ</v>
      </c>
      <c r="E328" t="str">
        <v>に（る） ごと（し）</v>
      </c>
      <c r="F328">
        <v>0</v>
      </c>
      <c r="G328" t="str">
        <v>にる。にせる。姿や形などが類似している。 ごとし。「～のようだ」「～にちかい」「～のように見える」の意。 継ぐ。継承。＝嗣</v>
      </c>
      <c r="I328">
        <v>10</v>
      </c>
      <c r="J328">
        <v>50</v>
      </c>
      <c r="K328">
        <v>50</v>
      </c>
      <c r="L328">
        <v>1</v>
      </c>
    </row>
    <row r="329">
      <c r="A329" t="str">
        <v>更</v>
      </c>
      <c r="B329">
        <v>7</v>
      </c>
      <c r="C329" t="b">
        <v>1</v>
      </c>
      <c r="D329" t="str">
        <v>コウ</v>
      </c>
      <c r="E329" t="str">
        <v>さら ふ（かす） ふ（ける） あらた（める） か（える）</v>
      </c>
      <c r="F329" t="str">
        <v>つぐ とお とく のぶ</v>
      </c>
      <c r="G329" t="str">
        <v>あらためる。かえる。とりかえる。新しいものにする。 こもごも。かわるがわる。たがいに。 へる。通り過ぎる。経験する。 一夜（日没から日の出まで）を五等分した時間の単位。また、それぞれの時刻。初更・二更・三更・四更・五更。 さらに。その上に。 さらに。決して。全く。 さら。新しい。 ふける。夜がふかまる。</v>
      </c>
      <c r="H329" t="str">
        <v>#飛躍</v>
      </c>
      <c r="I329">
        <v>50</v>
      </c>
      <c r="J329">
        <v>45</v>
      </c>
      <c r="K329">
        <v>50</v>
      </c>
      <c r="L329">
        <v>0</v>
      </c>
      <c r="M329">
        <f>VLOOKUP(A329,[1]kanji_data!$A:$N,14,FALSE)</f>
        <v>0</v>
      </c>
    </row>
    <row r="330">
      <c r="A330" t="str">
        <v>旬</v>
      </c>
      <c r="B330">
        <v>6</v>
      </c>
      <c r="C330" t="b">
        <v>1</v>
      </c>
      <c r="D330" t="str">
        <v>シュン ジュン</v>
      </c>
      <c r="E330">
        <v>0</v>
      </c>
      <c r="F330" t="str">
        <v>ただ とき ひとし ひら まさ</v>
      </c>
      <c r="G330" t="str">
        <v>十日。十日間。例：上旬 下旬 十年。例：七旬（七十歳） あまねし。ゆきわたる。みちる。 しゅん。魚や野菜などの味が最もよい時期。</v>
      </c>
      <c r="H330" t="str">
        <v>#伝統 #幸福</v>
      </c>
      <c r="I330">
        <v>45</v>
      </c>
      <c r="J330">
        <v>45</v>
      </c>
      <c r="K330">
        <v>45</v>
      </c>
      <c r="L330">
        <v>0</v>
      </c>
      <c r="M330">
        <f>VLOOKUP(A330,[1]kanji_data!$A:$N,14,FALSE)</f>
        <v>0</v>
      </c>
    </row>
    <row r="331">
      <c r="A331" t="str">
        <v>弄</v>
      </c>
      <c r="B331">
        <v>7</v>
      </c>
      <c r="C331" t="b">
        <v>1</v>
      </c>
      <c r="D331" t="str">
        <v>ロウ</v>
      </c>
      <c r="E331" t="str">
        <v>もてあそ（ぶ） あなど（る） いじく（る） いじ（る） いら（う） たわむ（れる） まさぐ（る）</v>
      </c>
      <c r="F331">
        <v>0</v>
      </c>
      <c r="G331" t="str">
        <v>もてあそぶ。いじる。いじくる。いらう。まさぐる。おもちゃにする。 たわむれる。あなどる。からかう。 楽曲。また、楽器を演奏する。</v>
      </c>
      <c r="I331">
        <v>10</v>
      </c>
      <c r="J331">
        <v>25</v>
      </c>
      <c r="K331">
        <v>100</v>
      </c>
      <c r="L331">
        <v>1</v>
      </c>
    </row>
    <row r="332">
      <c r="A332" t="str">
        <v>吐</v>
      </c>
      <c r="B332">
        <v>6</v>
      </c>
      <c r="C332" t="b">
        <v>1</v>
      </c>
      <c r="D332" t="str">
        <v>ト</v>
      </c>
      <c r="E332" t="str">
        <v>は（く） つ（く） ぬ（かす）</v>
      </c>
      <c r="F332">
        <v>0</v>
      </c>
      <c r="G332" t="str">
        <v>はく。口から吐き出す。 述べる。言葉を口に出す。 はく。はき出す。はきもどす。また、はき出したもの。へど。例：嘔吐 つく。息を吐き出す。 つく。ぬかす。好ましくないことを口に出していう。</v>
      </c>
      <c r="H332" t="str">
        <v>#自然</v>
      </c>
      <c r="I332">
        <v>10</v>
      </c>
      <c r="J332">
        <v>55</v>
      </c>
      <c r="K332">
        <v>55</v>
      </c>
      <c r="L332">
        <v>1</v>
      </c>
    </row>
    <row r="333">
      <c r="A333" t="str">
        <v>伽</v>
      </c>
      <c r="B333">
        <v>7</v>
      </c>
      <c r="C333" t="b">
        <v>0</v>
      </c>
      <c r="D333" t="str">
        <v>カ ガ キャ</v>
      </c>
      <c r="E333" t="str">
        <v>とぎ</v>
      </c>
      <c r="F333">
        <v>0</v>
      </c>
      <c r="G333" t="str">
        <v>梵語の音訳に用いる字。 とぎ。人の相手になって退屈を慰める。例：御伽話 とぎ。病気の人の看病。</v>
      </c>
      <c r="I333">
        <v>10</v>
      </c>
      <c r="J333">
        <v>20</v>
      </c>
      <c r="K333">
        <v>100</v>
      </c>
      <c r="L333">
        <v>0</v>
      </c>
      <c r="M333">
        <f>VLOOKUP(A333,[1]kanji_data!$A:$N,14,FALSE)</f>
        <v>0</v>
      </c>
    </row>
    <row r="334">
      <c r="A334" t="str">
        <v>板</v>
      </c>
      <c r="B334">
        <v>8</v>
      </c>
      <c r="C334" t="b">
        <v>1</v>
      </c>
      <c r="D334" t="str">
        <v>ハン バン</v>
      </c>
      <c r="E334" t="str">
        <v>いた</v>
      </c>
      <c r="F334">
        <v>0</v>
      </c>
      <c r="G334" t="str">
        <v>いた。うすく平らに切った材木。また、そのような形のもの。 はんぎ。印刷をするために文字や絵などを彫った木のいた。 長さの単位。十尺（八尺とも）。 いたを打ち合わせて音を出す打楽器。</v>
      </c>
      <c r="I334">
        <v>10</v>
      </c>
      <c r="J334">
        <v>50</v>
      </c>
      <c r="K334">
        <v>50</v>
      </c>
      <c r="L334">
        <v>1</v>
      </c>
    </row>
    <row r="335">
      <c r="A335" t="str">
        <v>油</v>
      </c>
      <c r="B335">
        <v>8</v>
      </c>
      <c r="C335" t="b">
        <v>1</v>
      </c>
      <c r="D335" t="str">
        <v>ユ ユウ</v>
      </c>
      <c r="E335" t="str">
        <v>あぶら</v>
      </c>
      <c r="F335">
        <v>0</v>
      </c>
      <c r="G335" t="str">
        <v>あぶら。液状のあぶら。 盛んにわき出る。わき起こるさま。</v>
      </c>
      <c r="I335">
        <v>10</v>
      </c>
      <c r="J335">
        <v>50</v>
      </c>
      <c r="K335">
        <v>50</v>
      </c>
      <c r="L335">
        <v>1</v>
      </c>
    </row>
    <row r="336">
      <c r="A336" t="str">
        <v>企</v>
      </c>
      <c r="B336">
        <v>6</v>
      </c>
      <c r="C336" t="b">
        <v>1</v>
      </c>
      <c r="D336" t="str">
        <v>キ</v>
      </c>
      <c r="E336" t="str">
        <v>くわだ（てる） たくら（む）</v>
      </c>
      <c r="F336">
        <v>0</v>
      </c>
      <c r="G336" t="str">
        <v>くわだてる。たくらむ。たくらみ。計画をたてる。 つまだつ。つまだてる。つま先で立つ。 まちのぞむ。待ちこがれる。</v>
      </c>
      <c r="H336" t="str">
        <v>#天空</v>
      </c>
      <c r="I336">
        <v>10</v>
      </c>
      <c r="J336">
        <v>50</v>
      </c>
      <c r="K336">
        <v>50</v>
      </c>
      <c r="L336">
        <v>1</v>
      </c>
    </row>
    <row r="337">
      <c r="A337" t="str">
        <v>吉</v>
      </c>
      <c r="B337">
        <v>6</v>
      </c>
      <c r="C337" t="b">
        <v>1</v>
      </c>
      <c r="D337" t="str">
        <v>キチ キツ</v>
      </c>
      <c r="E337" t="str">
        <v>よ（い）</v>
      </c>
      <c r="F337" t="str">
        <v>き さち とみ はじめ よ よし</v>
      </c>
      <c r="G337" t="str">
        <v>よい。賢い。優れている。立派である。 よい。めでたい。幸い。縁起がよい。 ついたち。その月の最初の日。朔日。初吉。</v>
      </c>
      <c r="H337" t="str">
        <v>#品格 #天空 #幸福 #知性</v>
      </c>
      <c r="I337">
        <v>90</v>
      </c>
      <c r="J337">
        <v>50</v>
      </c>
      <c r="K337">
        <v>55</v>
      </c>
      <c r="L337">
        <v>0</v>
      </c>
      <c r="M337">
        <f>VLOOKUP(A337,[1]kanji_data!$A:$N,14,FALSE)</f>
        <v>0</v>
      </c>
    </row>
    <row r="338">
      <c r="A338" t="str">
        <v>刷</v>
      </c>
      <c r="B338">
        <v>8</v>
      </c>
      <c r="C338" t="b">
        <v>1</v>
      </c>
      <c r="D338" t="str">
        <v>サツ</v>
      </c>
      <c r="E338" t="str">
        <v>す（る） は（く）</v>
      </c>
      <c r="F338" t="str">
        <v>きよ</v>
      </c>
      <c r="G338" t="str">
        <v>する。こする。 はく。はらって清める。 はけ。ほうき。ブラシ。</v>
      </c>
      <c r="I338">
        <v>30</v>
      </c>
      <c r="J338">
        <v>50</v>
      </c>
      <c r="K338">
        <v>50</v>
      </c>
      <c r="L338">
        <v>1</v>
      </c>
    </row>
    <row r="339">
      <c r="A339" t="str">
        <v>往</v>
      </c>
      <c r="B339">
        <v>8</v>
      </c>
      <c r="C339" t="b">
        <v>1</v>
      </c>
      <c r="D339" t="str">
        <v>オウ</v>
      </c>
      <c r="E339" t="str">
        <v>いにしえ ゆ（く）</v>
      </c>
      <c r="F339">
        <v>0</v>
      </c>
      <c r="G339" t="str">
        <v>ゆく。いく。前に進む。先に向かう。 ゆく。いく。過ぎる。過ぎ去る。死ぬ。 いにしえ。昔。過去。 のち。それからのち。それからあと。 むかう。ある方向に向かう。</v>
      </c>
      <c r="I339">
        <v>10</v>
      </c>
      <c r="J339">
        <v>85</v>
      </c>
      <c r="K339">
        <v>30</v>
      </c>
      <c r="L339">
        <v>0</v>
      </c>
      <c r="M339">
        <f>VLOOKUP(A339,[1]kanji_data!$A:$N,14,FALSE)</f>
        <v>0</v>
      </c>
    </row>
    <row r="340">
      <c r="A340" t="str">
        <v>匠</v>
      </c>
      <c r="B340">
        <v>6</v>
      </c>
      <c r="C340" t="b">
        <v>1</v>
      </c>
      <c r="D340" t="str">
        <v>ショウ</v>
      </c>
      <c r="E340" t="str">
        <v>たくみ</v>
      </c>
      <c r="F340" t="str">
        <v>たく なる</v>
      </c>
      <c r="G340" t="str">
        <v>たくみ。職人。技術者。 技巧。工夫。アイディア。趣向を凝らす。 ある分野において、きわめてすぐれた人。</v>
      </c>
      <c r="H340" t="str">
        <v>#品格 #知性 #自然</v>
      </c>
      <c r="I340">
        <v>85</v>
      </c>
      <c r="J340">
        <v>55</v>
      </c>
      <c r="K340">
        <v>55</v>
      </c>
      <c r="L340">
        <v>0</v>
      </c>
      <c r="M340">
        <f>VLOOKUP(A340,[1]kanji_data!$A:$N,14,FALSE)</f>
        <v>0</v>
      </c>
    </row>
    <row r="341">
      <c r="A341" t="str">
        <v>価</v>
      </c>
      <c r="B341">
        <v>8</v>
      </c>
      <c r="C341" t="b">
        <v>1</v>
      </c>
      <c r="D341" t="str">
        <v>カ</v>
      </c>
      <c r="E341" t="str">
        <v>あたい</v>
      </c>
      <c r="F341">
        <v>0</v>
      </c>
      <c r="G341" t="str">
        <v>あたい。値段。値打ち。 あたいする。相当する。匹敵する。</v>
      </c>
      <c r="I341">
        <v>10</v>
      </c>
      <c r="J341">
        <v>50</v>
      </c>
      <c r="K341">
        <v>50</v>
      </c>
      <c r="L341">
        <v>1</v>
      </c>
    </row>
    <row r="342">
      <c r="A342" t="str">
        <v>帆</v>
      </c>
      <c r="B342">
        <v>6</v>
      </c>
      <c r="C342" t="b">
        <v>1</v>
      </c>
      <c r="D342" t="str">
        <v>ハン</v>
      </c>
      <c r="E342" t="str">
        <v>ほ</v>
      </c>
      <c r="F342">
        <v>0</v>
      </c>
      <c r="G342" t="str">
        <v>ほ。風を受けて船を進ませる布。 ほをあげて船を進ませる。</v>
      </c>
      <c r="H342" t="str">
        <v>#勇気 #海・水</v>
      </c>
      <c r="I342">
        <v>100</v>
      </c>
      <c r="J342">
        <v>65</v>
      </c>
      <c r="K342">
        <v>45</v>
      </c>
      <c r="L342">
        <v>0</v>
      </c>
      <c r="M342">
        <f>VLOOKUP(A342,[1]kanji_data!$A:$N,14,FALSE)</f>
        <v>0</v>
      </c>
    </row>
    <row r="343">
      <c r="A343" t="str">
        <v>伏</v>
      </c>
      <c r="B343">
        <v>6</v>
      </c>
      <c r="C343" t="b">
        <v>1</v>
      </c>
      <c r="D343" t="str">
        <v>フク ブク</v>
      </c>
      <c r="E343" t="str">
        <v>ふ（す） ふ（せる） かく（れる） したが（う）</v>
      </c>
      <c r="F343" t="str">
        <v>ふし やす やすし より</v>
      </c>
      <c r="G343" t="str">
        <v>ふす。ふせる。うつむく。うつぶせになる。 ふす。ふせる。かくれる。身を隠す。待ちぶせする。 したがう。ひれふす。服従する。 陰暦六月の節の名前。猛暑の時期。三伏（さんぷく）。初伏（しょふく）・中伏（ちゅうふく）・末伏（まっぷく）の総称。</v>
      </c>
      <c r="H343" t="str">
        <v>#勇気 #天空</v>
      </c>
      <c r="I343">
        <v>40</v>
      </c>
      <c r="J343">
        <v>55</v>
      </c>
      <c r="K343">
        <v>60</v>
      </c>
      <c r="L343">
        <v>0</v>
      </c>
      <c r="M343">
        <f>VLOOKUP(A343,[1]kanji_data!$A:$N,14,FALSE)</f>
        <v>0</v>
      </c>
    </row>
    <row r="344">
      <c r="A344" t="str">
        <v>版</v>
      </c>
      <c r="B344">
        <v>8</v>
      </c>
      <c r="C344" t="b">
        <v>1</v>
      </c>
      <c r="D344" t="str">
        <v>ハン</v>
      </c>
      <c r="E344" t="str">
        <v>いた ふだ</v>
      </c>
      <c r="F344">
        <v>0</v>
      </c>
      <c r="G344" t="str">
        <v>ふだ。木の札。文字を書く札。帳簿。名簿。 いた。木材や金属などを平らにしたもの。 はんぎ。字や図形を彫り付けた印刷用のいた。 印刷する。出版する。 長さの単位。</v>
      </c>
      <c r="I344">
        <v>10</v>
      </c>
      <c r="J344">
        <v>50</v>
      </c>
      <c r="K344">
        <v>50</v>
      </c>
      <c r="L344">
        <v>1</v>
      </c>
    </row>
    <row r="345">
      <c r="A345" t="str">
        <v>拡</v>
      </c>
      <c r="B345">
        <v>8</v>
      </c>
      <c r="C345" t="b">
        <v>1</v>
      </c>
      <c r="D345" t="str">
        <v>カク</v>
      </c>
      <c r="E345" t="str">
        <v>ひろ（がる） ひろ（げる）</v>
      </c>
      <c r="F345" t="str">
        <v>ひろし ひろむ</v>
      </c>
      <c r="G345" t="str">
        <v>ひろげる。ひろがる。ひろめる。のばしひろげる。ひろくする。</v>
      </c>
      <c r="H345" t="str">
        <v>#飛躍</v>
      </c>
      <c r="I345">
        <v>45</v>
      </c>
      <c r="J345">
        <v>50</v>
      </c>
      <c r="K345">
        <v>40</v>
      </c>
      <c r="L345">
        <v>0</v>
      </c>
      <c r="M345">
        <f>VLOOKUP(A345,[1]kanji_data!$A:$N,14,FALSE)</f>
        <v>0</v>
      </c>
    </row>
    <row r="346">
      <c r="A346" t="str">
        <v>江</v>
      </c>
      <c r="B346">
        <v>6</v>
      </c>
      <c r="C346" t="b">
        <v>1</v>
      </c>
      <c r="D346" t="str">
        <v>コウ</v>
      </c>
      <c r="E346" t="str">
        <v>え</v>
      </c>
      <c r="F346" t="str">
        <v>きみ ただ のぶ</v>
      </c>
      <c r="G346" t="str">
        <v>川。大きな川。中国南部の大河。長江。 え。いりえ。海や湖水などの、陸地に入り込んでいるところ。</v>
      </c>
      <c r="H346" t="str">
        <v>#海・水</v>
      </c>
      <c r="I346">
        <v>65</v>
      </c>
      <c r="J346">
        <v>75</v>
      </c>
      <c r="K346">
        <v>40</v>
      </c>
      <c r="L346">
        <v>0</v>
      </c>
      <c r="M346">
        <f>VLOOKUP(A346,[1]kanji_data!$A:$N,14,FALSE)</f>
        <v>0</v>
      </c>
    </row>
    <row r="347">
      <c r="A347" t="str">
        <v>充</v>
      </c>
      <c r="B347">
        <v>6</v>
      </c>
      <c r="C347" t="b">
        <v>1</v>
      </c>
      <c r="D347" t="str">
        <v>ジュウ シュウ</v>
      </c>
      <c r="E347" t="str">
        <v>あ（てる） み（たす） み（ちる） み（つ）</v>
      </c>
      <c r="F347" t="str">
        <v>あつ たかし まこと み みち みつ みつる</v>
      </c>
      <c r="G347" t="str">
        <v>あてる。あたる。あてがう。欠けているところを埋めてみたす。 みたす。みちる。みつ。いっぱいになる。 覆う。ふさぐ。 多い。用事が多く忙しい。</v>
      </c>
      <c r="H347" t="str">
        <v>#天空 #繁栄</v>
      </c>
      <c r="I347">
        <v>85</v>
      </c>
      <c r="J347">
        <v>95</v>
      </c>
      <c r="K347">
        <v>30</v>
      </c>
      <c r="L347">
        <v>0</v>
      </c>
      <c r="M347">
        <f>VLOOKUP(A347,[1]kanji_data!$A:$N,14,FALSE)</f>
        <v>0</v>
      </c>
    </row>
    <row r="348">
      <c r="A348" t="str">
        <v>迅</v>
      </c>
      <c r="B348">
        <v>6</v>
      </c>
      <c r="C348" t="b">
        <v>1</v>
      </c>
      <c r="D348" t="str">
        <v>ジン</v>
      </c>
      <c r="E348" t="str">
        <v>はげ（しい） はや（い）</v>
      </c>
      <c r="F348" t="str">
        <v>とき とし</v>
      </c>
      <c r="G348" t="str">
        <v>はげしい。力強い。 はやい。素早い。すみやか。</v>
      </c>
      <c r="H348" t="str">
        <v>#勇気</v>
      </c>
      <c r="I348">
        <v>90</v>
      </c>
      <c r="J348">
        <v>85</v>
      </c>
      <c r="K348">
        <v>30</v>
      </c>
      <c r="L348">
        <v>0</v>
      </c>
      <c r="M348">
        <f>VLOOKUP(A348,[1]kanji_data!$A:$N,14,FALSE)</f>
        <v>0</v>
      </c>
    </row>
    <row r="349">
      <c r="A349" t="str">
        <v>壮</v>
      </c>
      <c r="B349">
        <v>6</v>
      </c>
      <c r="C349" t="b">
        <v>1</v>
      </c>
      <c r="D349" t="str">
        <v>ソウ ショウ</v>
      </c>
      <c r="E349" t="str">
        <v>さか（ん）</v>
      </c>
      <c r="F349" t="str">
        <v>あき お たけ たけし たける まさ もり</v>
      </c>
      <c r="G349" t="str">
        <v>若くて元気な男性。特に三十代前後の男性。 さかん。勇ましい。勢いがある。 さかん。大きい。立派。</v>
      </c>
      <c r="H349" t="str">
        <v>#勇気 #品格 #繁栄</v>
      </c>
      <c r="I349">
        <v>95</v>
      </c>
      <c r="J349">
        <v>100</v>
      </c>
      <c r="K349">
        <v>20</v>
      </c>
      <c r="L349">
        <v>0</v>
      </c>
      <c r="M349">
        <f>VLOOKUP(A349,[1]kanji_data!$A:$N,14,FALSE)</f>
        <v>0</v>
      </c>
    </row>
    <row r="350">
      <c r="A350" t="str">
        <v>枚</v>
      </c>
      <c r="B350">
        <v>8</v>
      </c>
      <c r="C350" t="b">
        <v>1</v>
      </c>
      <c r="D350" t="str">
        <v>マイ バイ</v>
      </c>
      <c r="E350" t="str">
        <v>ひら</v>
      </c>
      <c r="F350">
        <v>0</v>
      </c>
      <c r="G350" t="str">
        <v>木のみき。 ばい。夜討ちや行軍などのとき、兵士が声を出さないように口にくわえた箸のような形をした木。 物を数えることば。 まい。ひら。うすく平たい物を数えることば。</v>
      </c>
      <c r="I350">
        <v>10</v>
      </c>
      <c r="J350">
        <v>50</v>
      </c>
      <c r="K350">
        <v>50</v>
      </c>
      <c r="L350">
        <v>1</v>
      </c>
    </row>
    <row r="351">
      <c r="A351" t="str">
        <v>妃</v>
      </c>
      <c r="B351">
        <v>6</v>
      </c>
      <c r="C351" t="b">
        <v>1</v>
      </c>
      <c r="D351" t="str">
        <v>ヒ ハイ</v>
      </c>
      <c r="E351" t="str">
        <v>きさき</v>
      </c>
      <c r="F351" t="str">
        <v>き ひめ</v>
      </c>
      <c r="G351" t="str">
        <v>きさき。天子の妻。皇后の次の位の第二夫人。 きさき。皇太子の妻。 女神。女神を尊び敬う呼び方。 つれあい。配偶者。 つれあう。夫婦となる。 ひ。皇族の妻。</v>
      </c>
      <c r="H351" t="str">
        <v>#品格 #心・志 #調和</v>
      </c>
      <c r="I351">
        <v>65</v>
      </c>
      <c r="J351">
        <v>45</v>
      </c>
      <c r="K351">
        <v>65</v>
      </c>
      <c r="L351">
        <v>0</v>
      </c>
      <c r="M351">
        <f>VLOOKUP(A351,[1]kanji_data!$A:$N,14,FALSE)</f>
        <v>0</v>
      </c>
    </row>
    <row r="352">
      <c r="A352" t="str">
        <v>朴</v>
      </c>
      <c r="B352">
        <v>6</v>
      </c>
      <c r="C352" t="b">
        <v>1</v>
      </c>
      <c r="D352" t="str">
        <v>ボク ハク</v>
      </c>
      <c r="E352" t="str">
        <v>えのき すなお ほお</v>
      </c>
      <c r="F352">
        <v>0</v>
      </c>
      <c r="G352" t="str">
        <v>えのき。ニレ科の落葉高木。 すなお。飾り気がない。＝樸 ほお。ほおのき。モクレン科の落葉高木。</v>
      </c>
      <c r="H352" t="str">
        <v>#自然</v>
      </c>
      <c r="I352">
        <v>10</v>
      </c>
      <c r="J352">
        <v>95</v>
      </c>
      <c r="K352">
        <v>30</v>
      </c>
      <c r="L352">
        <v>0</v>
      </c>
      <c r="M352">
        <f>VLOOKUP(A352,[1]kanji_data!$A:$N,14,FALSE)</f>
        <v>0</v>
      </c>
    </row>
    <row r="353">
      <c r="A353" t="str">
        <v>押</v>
      </c>
      <c r="B353">
        <v>8</v>
      </c>
      <c r="C353" t="b">
        <v>1</v>
      </c>
      <c r="D353" t="str">
        <v>オウ</v>
      </c>
      <c r="E353" t="str">
        <v>お（さえる） お（す）</v>
      </c>
      <c r="F353">
        <v>0</v>
      </c>
      <c r="G353" t="str">
        <v>おす。おさえる。おしつける。 おさえる。物品をおさえる。抵当に入れる。 かきはん。署名。また、署名の代わりに用いる記号。 おし。圧力。無理にでも自分の主張を通そうとする力。</v>
      </c>
      <c r="I353">
        <v>10</v>
      </c>
      <c r="J353">
        <v>50</v>
      </c>
      <c r="K353">
        <v>50</v>
      </c>
      <c r="L353">
        <v>1</v>
      </c>
    </row>
    <row r="354">
      <c r="A354" t="str">
        <v>伎</v>
      </c>
      <c r="B354">
        <v>6</v>
      </c>
      <c r="C354" t="b">
        <v>1</v>
      </c>
      <c r="D354" t="str">
        <v>キ ギ</v>
      </c>
      <c r="E354" t="str">
        <v>たくみ わざ</v>
      </c>
      <c r="F354">
        <v>0</v>
      </c>
      <c r="G354" t="str">
        <v>わざ。たくみ。はたらき。腕前。 わざおぎ。芸者。芸人。</v>
      </c>
      <c r="H354" t="str">
        <v>#知性</v>
      </c>
      <c r="I354">
        <v>10</v>
      </c>
      <c r="J354">
        <v>55</v>
      </c>
      <c r="K354">
        <v>55</v>
      </c>
      <c r="L354">
        <v>1</v>
      </c>
    </row>
    <row r="355">
      <c r="A355" t="str">
        <v>況</v>
      </c>
      <c r="B355">
        <v>8</v>
      </c>
      <c r="C355" t="b">
        <v>1</v>
      </c>
      <c r="D355" t="str">
        <v>キョウ</v>
      </c>
      <c r="E355" t="str">
        <v>ありさま いわ（んや）</v>
      </c>
      <c r="F355">
        <v>0</v>
      </c>
      <c r="G355" t="str">
        <v>たとえる。くらべる。くらべあわせる。 ありさま。おもむき。ようす。ものごとの様子。 さらに。ますます。いよいよ。 「いわんや」と読み、「まして・・・は言うまでもない」の意。</v>
      </c>
      <c r="I355">
        <v>10</v>
      </c>
      <c r="J355">
        <v>50</v>
      </c>
      <c r="K355">
        <v>50</v>
      </c>
      <c r="L355">
        <v>1</v>
      </c>
    </row>
    <row r="356">
      <c r="A356" t="str">
        <v>汎</v>
      </c>
      <c r="B356">
        <v>6</v>
      </c>
      <c r="C356" t="b">
        <v>1</v>
      </c>
      <c r="D356" t="str">
        <v>ハン フウ ホウ</v>
      </c>
      <c r="E356" t="str">
        <v>あふ（れる） う（かぶ） ひろ（い）</v>
      </c>
      <c r="F356" t="str">
        <v>ひろ ひろし ひろむ みな</v>
      </c>
      <c r="G356" t="str">
        <v>ひろい。あまねく。広く行き渡る。広がっている。 うかぶ。水面にうかぶ。ただよう。 あふれる。水があふれる。</v>
      </c>
      <c r="H356" t="str">
        <v>#繁栄</v>
      </c>
      <c r="I356">
        <v>60</v>
      </c>
      <c r="J356">
        <v>40</v>
      </c>
      <c r="K356">
        <v>75</v>
      </c>
      <c r="L356">
        <v>0</v>
      </c>
      <c r="M356">
        <f>VLOOKUP(A356,[1]kanji_data!$A:$N,14,FALSE)</f>
        <v>0</v>
      </c>
    </row>
    <row r="357">
      <c r="A357" t="str">
        <v>伊</v>
      </c>
      <c r="B357">
        <v>6</v>
      </c>
      <c r="C357" t="b">
        <v>0</v>
      </c>
      <c r="D357" t="str">
        <v>イ</v>
      </c>
      <c r="E357" t="str">
        <v>かれ これ ただ</v>
      </c>
      <c r="F357" t="str">
        <v>いさ おわむ よし</v>
      </c>
      <c r="G357" t="str">
        <v>かれ。かの。第三人称。 これ。この。 これ。ただ。語調を整える助詞。 河南省にある川の名。伊水。 国名「伊太利（イタリア）」の略。</v>
      </c>
      <c r="H357" t="str">
        <v>#海・水</v>
      </c>
      <c r="I357">
        <v>85</v>
      </c>
      <c r="J357">
        <v>55</v>
      </c>
      <c r="K357">
        <v>55</v>
      </c>
      <c r="L357">
        <v>0</v>
      </c>
      <c r="M357">
        <f>VLOOKUP(A357,[1]kanji_data!$A:$N,14,FALSE)</f>
        <v>0</v>
      </c>
    </row>
    <row r="358">
      <c r="A358" t="str">
        <v>夷</v>
      </c>
      <c r="B358">
        <v>6</v>
      </c>
      <c r="C358" t="b">
        <v>0</v>
      </c>
      <c r="D358" t="str">
        <v>イ</v>
      </c>
      <c r="E358" t="str">
        <v>えびす えみし ころ（す） たい（らか） たい（らげる）</v>
      </c>
      <c r="F358">
        <v>0</v>
      </c>
      <c r="G358" t="str">
        <v>えびす。えみし。東方の異民族。 外国の蔑称。 たいらか。たいら。平坦。おだやか。 たいらげる。平定する。 たいらげる。ころす。打ち滅ぼす。 あぐらをかく。足を投げ出してすわる。 傷。傷をつける。 えびす。七福神の一人。</v>
      </c>
      <c r="H358" t="str">
        <v>#慈愛</v>
      </c>
      <c r="I358">
        <v>10</v>
      </c>
      <c r="J358">
        <v>55</v>
      </c>
      <c r="K358">
        <v>60</v>
      </c>
      <c r="L358">
        <v>1</v>
      </c>
    </row>
    <row r="359">
      <c r="A359" t="str">
        <v>到</v>
      </c>
      <c r="B359">
        <v>8</v>
      </c>
      <c r="C359" t="b">
        <v>1</v>
      </c>
      <c r="D359" t="str">
        <v>トウ</v>
      </c>
      <c r="E359" t="str">
        <v>いた（る）</v>
      </c>
      <c r="F359" t="str">
        <v>いたる ゆき よし</v>
      </c>
      <c r="G359" t="str">
        <v>いたる。行きつく。 いたる。来る。やって来る。 行きわたる。すみまで行きとどく。 さかさま。さかしま。さかさまにする。ひっくり返す。＝倒</v>
      </c>
      <c r="I359">
        <v>30</v>
      </c>
      <c r="J359">
        <v>75</v>
      </c>
      <c r="K359">
        <v>45</v>
      </c>
      <c r="L359">
        <v>0</v>
      </c>
      <c r="M359">
        <f>VLOOKUP(A359,[1]kanji_data!$A:$N,14,FALSE)</f>
        <v>0</v>
      </c>
    </row>
    <row r="360">
      <c r="A360" t="str">
        <v>拍</v>
      </c>
      <c r="B360">
        <v>8</v>
      </c>
      <c r="C360" t="b">
        <v>1</v>
      </c>
      <c r="D360" t="str">
        <v>ハク ヒョウ</v>
      </c>
      <c r="E360" t="str">
        <v>う（つ）</v>
      </c>
      <c r="F360">
        <v>0</v>
      </c>
      <c r="G360" t="str">
        <v>うつ。手をたたく。 ひょうし。音楽のリズムを形成するもの。</v>
      </c>
      <c r="I360">
        <v>10</v>
      </c>
      <c r="J360">
        <v>55</v>
      </c>
      <c r="K360">
        <v>55</v>
      </c>
      <c r="L360">
        <v>0</v>
      </c>
      <c r="M360">
        <f>VLOOKUP(A360,[1]kanji_data!$A:$N,14,FALSE)</f>
        <v>0</v>
      </c>
    </row>
    <row r="361">
      <c r="A361" t="str">
        <v>瓜</v>
      </c>
      <c r="B361">
        <v>5</v>
      </c>
      <c r="C361" t="b">
        <v>0</v>
      </c>
      <c r="D361" t="str">
        <v>カ</v>
      </c>
      <c r="E361" t="str">
        <v>うり</v>
      </c>
      <c r="F361">
        <v>0</v>
      </c>
      <c r="G361" t="str">
        <v>野菜の名。うり。ウリ科の植物の総称。</v>
      </c>
      <c r="H361" t="str">
        <v>#自然</v>
      </c>
      <c r="I361">
        <v>10</v>
      </c>
      <c r="J361">
        <v>50</v>
      </c>
      <c r="K361">
        <v>50</v>
      </c>
      <c r="L361">
        <v>1</v>
      </c>
    </row>
    <row r="362">
      <c r="A362" t="str">
        <v>怖</v>
      </c>
      <c r="B362">
        <v>8</v>
      </c>
      <c r="C362" t="b">
        <v>1</v>
      </c>
      <c r="D362" t="str">
        <v>フ</v>
      </c>
      <c r="E362" t="str">
        <v>こわ（い） お（じける） おそ（れる）</v>
      </c>
      <c r="F362">
        <v>0</v>
      </c>
      <c r="G362" t="str">
        <v>こわい。おそれる。おじる。こわがってびくびくする。</v>
      </c>
      <c r="I362">
        <v>10</v>
      </c>
      <c r="J362">
        <v>50</v>
      </c>
      <c r="K362">
        <v>50</v>
      </c>
      <c r="L362">
        <v>1</v>
      </c>
    </row>
    <row r="363">
      <c r="A363" t="str">
        <v>匡</v>
      </c>
      <c r="B363">
        <v>6</v>
      </c>
      <c r="C363" t="b">
        <v>0</v>
      </c>
      <c r="D363" t="str">
        <v>キョウ</v>
      </c>
      <c r="E363" t="str">
        <v>すく（う） ただ（す）</v>
      </c>
      <c r="F363" t="str">
        <v>たすく ただ ただし ただす まさ まさし</v>
      </c>
      <c r="G363" t="str">
        <v>すくう。手伝う。助ける。 ただす。悪い所を正しく改める。 古代中国の地名。</v>
      </c>
      <c r="H363" t="str">
        <v>#品格 #心・志</v>
      </c>
      <c r="I363">
        <v>90</v>
      </c>
      <c r="J363">
        <v>85</v>
      </c>
      <c r="K363">
        <v>40</v>
      </c>
      <c r="L363">
        <v>0</v>
      </c>
      <c r="M363">
        <f>VLOOKUP(A363,[1]kanji_data!$A:$N,14,FALSE)</f>
        <v>0</v>
      </c>
    </row>
    <row r="364">
      <c r="A364" t="str">
        <v>旭</v>
      </c>
      <c r="B364">
        <v>6</v>
      </c>
      <c r="C364" t="b">
        <v>0</v>
      </c>
      <c r="D364" t="str">
        <v>キョク</v>
      </c>
      <c r="E364" t="str">
        <v>あさひ</v>
      </c>
      <c r="F364" t="str">
        <v>あき あきら あさ てる</v>
      </c>
      <c r="G364" t="str">
        <v>あさひ。朝のぼる太陽。 あきらか。明るい。</v>
      </c>
      <c r="H364" t="str">
        <v>#天空 #繁栄</v>
      </c>
      <c r="I364">
        <v>98</v>
      </c>
      <c r="J364">
        <v>60</v>
      </c>
      <c r="K364">
        <v>55</v>
      </c>
      <c r="L364">
        <v>0</v>
      </c>
      <c r="M364">
        <f>VLOOKUP(A364,[1]kanji_data!$A:$N,14,FALSE)</f>
        <v>0</v>
      </c>
    </row>
    <row r="365">
      <c r="A365" t="str">
        <v>圭</v>
      </c>
      <c r="B365">
        <v>6</v>
      </c>
      <c r="C365" t="b">
        <v>0</v>
      </c>
      <c r="D365" t="str">
        <v>ケイ</v>
      </c>
      <c r="E365" t="str">
        <v>たま</v>
      </c>
      <c r="F365" t="str">
        <v>か きよ きよし よし</v>
      </c>
      <c r="G365" t="str">
        <v>たま。天子が諸侯に領土を与えたしるしとして授けた、かどのある玉。 かど。かどだつ。かどがある。 容量・容積の単位。一升の十万分の一。</v>
      </c>
      <c r="H365" t="str">
        <v>#品格</v>
      </c>
      <c r="I365">
        <v>85</v>
      </c>
      <c r="J365">
        <v>30</v>
      </c>
      <c r="K365">
        <v>90</v>
      </c>
      <c r="L365">
        <v>0</v>
      </c>
      <c r="M365">
        <f>VLOOKUP(A365,[1]kanji_data!$A:$N,14,FALSE)</f>
        <v>0</v>
      </c>
    </row>
    <row r="366">
      <c r="A366" t="str">
        <v>伍</v>
      </c>
      <c r="B366">
        <v>6</v>
      </c>
      <c r="C366" t="b">
        <v>0</v>
      </c>
      <c r="D366" t="str">
        <v>ゴ</v>
      </c>
      <c r="E366" t="str">
        <v>いつ（つ） くみ</v>
      </c>
      <c r="F366" t="str">
        <v>あつむ いつ とも ひとし</v>
      </c>
      <c r="G366" t="str">
        <v>五人を一組とする軍隊の単位。 行列。隊列。 仲間。仲間に入る。 契約書や証書などの文書で数字を表すとき、書き換えを防ぐために「五」の代わりに用いる文字。大字。</v>
      </c>
      <c r="H366" t="str">
        <v>#調和</v>
      </c>
      <c r="I366">
        <v>10</v>
      </c>
      <c r="J366">
        <v>55</v>
      </c>
      <c r="K366">
        <v>55</v>
      </c>
      <c r="L366">
        <v>0</v>
      </c>
    </row>
    <row r="367">
      <c r="A367" t="str">
        <v>肪</v>
      </c>
      <c r="B367">
        <v>8</v>
      </c>
      <c r="C367" t="b">
        <v>1</v>
      </c>
      <c r="D367" t="str">
        <v>ボウ ホウ</v>
      </c>
      <c r="E367" t="str">
        <v>あぶら</v>
      </c>
      <c r="F367">
        <v>0</v>
      </c>
      <c r="G367" t="str">
        <v>あぶら。動物の体内の固まった脂肪。 あぶらぎる。肥える。</v>
      </c>
      <c r="I367">
        <v>10</v>
      </c>
      <c r="J367">
        <v>50</v>
      </c>
      <c r="K367">
        <v>50</v>
      </c>
      <c r="L367">
        <v>1</v>
      </c>
    </row>
    <row r="368">
      <c r="A368" t="str">
        <v>亘</v>
      </c>
      <c r="B368">
        <v>6</v>
      </c>
      <c r="C368" t="b">
        <v>0</v>
      </c>
      <c r="D368" t="str">
        <v>セン コウ</v>
      </c>
      <c r="E368" t="str">
        <v>わた（る）</v>
      </c>
      <c r="F368" t="str">
        <v>のぶ わたり わたる</v>
      </c>
      <c r="G368" t="str">
        <v>めぐる。めぐらす。ぐるりとめぐる。 渡る。 端から端までつづく。つらなる。</v>
      </c>
      <c r="H368" t="str">
        <v>#繁栄 #調和</v>
      </c>
      <c r="I368">
        <v>90</v>
      </c>
      <c r="J368">
        <v>80</v>
      </c>
      <c r="K368">
        <v>45</v>
      </c>
      <c r="L368">
        <v>0</v>
      </c>
      <c r="M368">
        <f>VLOOKUP(A368,[1]kanji_data!$A:$N,14,FALSE)</f>
        <v>0</v>
      </c>
    </row>
    <row r="369">
      <c r="A369" t="str">
        <v>怪</v>
      </c>
      <c r="B369">
        <v>8</v>
      </c>
      <c r="C369" t="b">
        <v>1</v>
      </c>
      <c r="D369" t="str">
        <v>カイ ケ</v>
      </c>
      <c r="E369" t="str">
        <v>あや（しい） あや（しむ）</v>
      </c>
      <c r="F369">
        <v>0</v>
      </c>
      <c r="G369" t="str">
        <v>あやしい。不思議。普通と異なる。 あやしむ。疑わしく思う。不思議に思う。 あやしいもの。ふつうでないもの。ばけもの。</v>
      </c>
      <c r="I369">
        <v>10</v>
      </c>
      <c r="J369">
        <v>50</v>
      </c>
      <c r="K369">
        <v>50</v>
      </c>
      <c r="L369">
        <v>1</v>
      </c>
    </row>
    <row r="370">
      <c r="A370" t="str">
        <v>邪</v>
      </c>
      <c r="B370">
        <v>8</v>
      </c>
      <c r="C370" t="b">
        <v>1</v>
      </c>
      <c r="D370" t="str">
        <v>ジャ シャ ヤ</v>
      </c>
      <c r="E370" t="str">
        <v>よこしま</v>
      </c>
      <c r="F370">
        <v>0</v>
      </c>
      <c r="G370" t="str">
        <v>よこしま。正しくない。ねじまがる。 いつわる。あざむく。 や。か。疑問をあらわす助字。</v>
      </c>
      <c r="I370">
        <v>10</v>
      </c>
      <c r="J370">
        <v>50</v>
      </c>
      <c r="K370">
        <v>50</v>
      </c>
      <c r="L370">
        <v>1</v>
      </c>
    </row>
    <row r="371">
      <c r="A371" t="str">
        <v>抽</v>
      </c>
      <c r="B371">
        <v>8</v>
      </c>
      <c r="C371" t="b">
        <v>1</v>
      </c>
      <c r="D371" t="str">
        <v>チュウ</v>
      </c>
      <c r="E371" t="str">
        <v>ぬ（く） ひ（く）</v>
      </c>
      <c r="F371">
        <v>0</v>
      </c>
      <c r="G371" t="str">
        <v>ぬく。ひく。ぬき出す。ひき出す。 ぬく。ぬき取る。取り除く。</v>
      </c>
      <c r="I371">
        <v>10</v>
      </c>
      <c r="J371">
        <v>50</v>
      </c>
      <c r="K371">
        <v>50</v>
      </c>
      <c r="L371">
        <v>1</v>
      </c>
    </row>
    <row r="372">
      <c r="A372" t="str">
        <v>汝</v>
      </c>
      <c r="B372">
        <v>6</v>
      </c>
      <c r="C372" t="b">
        <v>0</v>
      </c>
      <c r="D372" t="str">
        <v>ジョ</v>
      </c>
      <c r="E372" t="str">
        <v>なんじ</v>
      </c>
      <c r="F372">
        <v>0</v>
      </c>
      <c r="G372" t="str">
        <v>なんじ。おまえ。あなた。きみ。 「汝水（じょすい）」は中国の川の名。</v>
      </c>
      <c r="H372" t="str">
        <v>#海・水</v>
      </c>
      <c r="I372">
        <v>10</v>
      </c>
      <c r="J372">
        <v>50</v>
      </c>
      <c r="K372">
        <v>50</v>
      </c>
      <c r="L372">
        <v>1</v>
      </c>
    </row>
    <row r="373">
      <c r="A373" t="str">
        <v>丞</v>
      </c>
      <c r="B373">
        <v>6</v>
      </c>
      <c r="C373" t="b">
        <v>0</v>
      </c>
      <c r="D373" t="str">
        <v>ショウ ジョウ</v>
      </c>
      <c r="E373" t="str">
        <v>たす（ける）</v>
      </c>
      <c r="F373" t="str">
        <v>すけ すすむ たすく つぐ</v>
      </c>
      <c r="G373" t="str">
        <v>たすける。補佐する。 じょう。四等官（シトウカン）で、省の第三位。</v>
      </c>
      <c r="H373" t="str">
        <v>#慈愛</v>
      </c>
      <c r="I373">
        <v>75</v>
      </c>
      <c r="J373">
        <v>65</v>
      </c>
      <c r="K373">
        <v>55</v>
      </c>
      <c r="L373">
        <v>0</v>
      </c>
      <c r="M373">
        <f>VLOOKUP(A373,[1]kanji_data!$A:$N,14,FALSE)</f>
        <v>0</v>
      </c>
    </row>
    <row r="374">
      <c r="A374" t="str">
        <v>拐</v>
      </c>
      <c r="B374">
        <v>8</v>
      </c>
      <c r="C374" t="b">
        <v>1</v>
      </c>
      <c r="D374" t="str">
        <v>カイ</v>
      </c>
      <c r="E374" t="str">
        <v>かた（る） かどわか（す）</v>
      </c>
      <c r="F374">
        <v>0</v>
      </c>
      <c r="G374" t="str">
        <v>かたる。かどわかす。だます。だまして連れ去る。 つえ。老人が用いるつえ。＝枴</v>
      </c>
      <c r="I374">
        <v>10</v>
      </c>
      <c r="J374">
        <v>50</v>
      </c>
      <c r="K374">
        <v>50</v>
      </c>
      <c r="L374">
        <v>1</v>
      </c>
    </row>
    <row r="375">
      <c r="A375" t="str">
        <v>汐</v>
      </c>
      <c r="B375">
        <v>6</v>
      </c>
      <c r="C375" t="b">
        <v>0</v>
      </c>
      <c r="D375" t="str">
        <v>セキ</v>
      </c>
      <c r="E375" t="str">
        <v>うしお しお</v>
      </c>
      <c r="F375" t="str">
        <v>きよ せ</v>
      </c>
      <c r="G375" t="str">
        <v>しお。うしお。ひきしお。夕方に起きる干潮。</v>
      </c>
      <c r="H375" t="str">
        <v>#天空</v>
      </c>
      <c r="I375">
        <v>65</v>
      </c>
      <c r="J375">
        <v>25</v>
      </c>
      <c r="K375">
        <v>100</v>
      </c>
      <c r="L375">
        <v>0</v>
      </c>
      <c r="M375">
        <f>VLOOKUP(A375,[1]kanji_data!$A:$N,14,FALSE)</f>
        <v>0</v>
      </c>
    </row>
    <row r="376">
      <c r="A376" t="str">
        <v>劾</v>
      </c>
      <c r="B376">
        <v>8</v>
      </c>
      <c r="C376" t="b">
        <v>1</v>
      </c>
      <c r="D376" t="str">
        <v>ガイ カイ</v>
      </c>
      <c r="E376" t="str">
        <v>あば（く） しら（べる）</v>
      </c>
      <c r="F376">
        <v>0</v>
      </c>
      <c r="G376" t="str">
        <v>あばく。罪をあばく。 しらべる。罪を調べる。罪を追求する。</v>
      </c>
      <c r="I376">
        <v>10</v>
      </c>
      <c r="J376">
        <v>50</v>
      </c>
      <c r="K376">
        <v>50</v>
      </c>
      <c r="L376">
        <v>1</v>
      </c>
    </row>
    <row r="377">
      <c r="A377" t="str">
        <v>拒</v>
      </c>
      <c r="B377">
        <v>8</v>
      </c>
      <c r="C377" t="b">
        <v>1</v>
      </c>
      <c r="D377" t="str">
        <v>キョ</v>
      </c>
      <c r="E377" t="str">
        <v>こば（む） ふせ（ぐ）</v>
      </c>
      <c r="F377">
        <v>0</v>
      </c>
      <c r="G377" t="str">
        <v>こばむ。ことわる。 ふせぐ。まもる。よせつけない。</v>
      </c>
      <c r="I377">
        <v>10</v>
      </c>
      <c r="J377">
        <v>50</v>
      </c>
      <c r="K377">
        <v>50</v>
      </c>
      <c r="L377">
        <v>1</v>
      </c>
    </row>
    <row r="378">
      <c r="A378" t="str">
        <v>奔</v>
      </c>
      <c r="B378">
        <v>8</v>
      </c>
      <c r="C378" t="b">
        <v>1</v>
      </c>
      <c r="D378" t="str">
        <v>ホン</v>
      </c>
      <c r="E378" t="str">
        <v>はし（る）</v>
      </c>
      <c r="F378">
        <v>0</v>
      </c>
      <c r="G378" t="str">
        <v>はしる。かける。はしりまわる。 はしる。にげる。はしりのがれる。 はしる。正式ではない結婚をする。 好き勝手に行動する。勢いのまま行動する。</v>
      </c>
      <c r="I378">
        <v>10</v>
      </c>
      <c r="J378">
        <v>85</v>
      </c>
      <c r="K378">
        <v>35</v>
      </c>
      <c r="L378">
        <v>0</v>
      </c>
      <c r="M378">
        <f>VLOOKUP(A378,[1]kanji_data!$A:$N,14,FALSE)</f>
        <v>0</v>
      </c>
    </row>
    <row r="379">
      <c r="A379" t="str">
        <v>凪</v>
      </c>
      <c r="B379">
        <v>6</v>
      </c>
      <c r="C379" t="b">
        <v>0</v>
      </c>
      <c r="D379">
        <v>0</v>
      </c>
      <c r="E379" t="str">
        <v>なぎ な（ぐ）</v>
      </c>
      <c r="F379" t="str">
        <v>な</v>
      </c>
      <c r="G379" t="str">
        <v>なぎ。なぐ。風が止んで、海面が静まること。</v>
      </c>
      <c r="H379" t="str">
        <v>#海・水</v>
      </c>
      <c r="I379">
        <v>85</v>
      </c>
      <c r="J379">
        <v>60</v>
      </c>
      <c r="K379">
        <v>60</v>
      </c>
      <c r="L379">
        <v>0</v>
      </c>
      <c r="M379">
        <f>VLOOKUP(A379,[1]kanji_data!$A:$N,14,FALSE)</f>
        <v>0</v>
      </c>
    </row>
    <row r="380">
      <c r="A380" t="str">
        <v>苛</v>
      </c>
      <c r="B380">
        <v>8</v>
      </c>
      <c r="C380" t="b">
        <v>1</v>
      </c>
      <c r="D380" t="str">
        <v>カ</v>
      </c>
      <c r="E380" t="str">
        <v>いじ（める） いら（だつ） から（い） きび（しい） さいな（む） むご（い） わずら（わしい）</v>
      </c>
      <c r="F380">
        <v>0</v>
      </c>
      <c r="G380" t="str">
        <v>いじめる。責める。しかる。とがめる。しいたげる。 からい。きびしい。むごい。はげしい。 わずらわしい。こまかい。 かゆい。病む。 いらだつ。いらいらする。</v>
      </c>
      <c r="I380">
        <v>10</v>
      </c>
      <c r="J380">
        <v>50</v>
      </c>
      <c r="K380">
        <v>50</v>
      </c>
      <c r="L380">
        <v>1</v>
      </c>
    </row>
    <row r="381">
      <c r="A381" t="str">
        <v>社</v>
      </c>
      <c r="B381">
        <v>7</v>
      </c>
      <c r="C381" t="b">
        <v>1</v>
      </c>
      <c r="D381" t="str">
        <v>シャ ジャ</v>
      </c>
      <c r="E381" t="str">
        <v>やしろ</v>
      </c>
      <c r="F381" t="str">
        <v>こそ たか</v>
      </c>
      <c r="G381" t="str">
        <v>土地の神。くにつかみ。 土地の神を祭るやしろ。お宮。ほこら。また、その祭り。 ある目的や事業のために集まった人々。また、その人たちの作った団体。組合。組織。 しゃ。会社の略。</v>
      </c>
      <c r="I381">
        <v>30</v>
      </c>
      <c r="J381">
        <v>85</v>
      </c>
      <c r="K381">
        <v>40</v>
      </c>
      <c r="L381">
        <v>0</v>
      </c>
      <c r="M381">
        <f>VLOOKUP(A381,[1]kanji_data!$A:$N,14,FALSE)</f>
        <v>0</v>
      </c>
    </row>
    <row r="382">
      <c r="A382" t="str">
        <v>県</v>
      </c>
      <c r="B382">
        <v>9</v>
      </c>
      <c r="C382" t="b">
        <v>1</v>
      </c>
      <c r="D382" t="str">
        <v>ケン</v>
      </c>
      <c r="E382" t="str">
        <v>あがた</v>
      </c>
      <c r="F382">
        <v>0</v>
      </c>
      <c r="G382" t="str">
        <v>かける。かかる。ぶらさげる。つり下がる。つなぐ。 つり下げて鳴らす楽器の総称。 中国の地方行政区画の一つ。秦代に設けられた。 けん。日本の地方行政区画の一つ。都・道・府と同列。 あがた。上代では皇室の御料地。中世では地方官の任国。</v>
      </c>
      <c r="I382">
        <v>10</v>
      </c>
      <c r="J382">
        <v>50</v>
      </c>
      <c r="K382">
        <v>50</v>
      </c>
      <c r="L382">
        <v>1</v>
      </c>
    </row>
    <row r="383">
      <c r="A383" t="str">
        <v>花</v>
      </c>
      <c r="B383">
        <v>7</v>
      </c>
      <c r="C383" t="b">
        <v>1</v>
      </c>
      <c r="D383" t="str">
        <v>カ ケ</v>
      </c>
      <c r="E383" t="str">
        <v>はな</v>
      </c>
      <c r="F383" t="str">
        <v>はる みち もと</v>
      </c>
      <c r="G383" t="str">
        <v>はな。草木のはなの総称。 はなのような形をしたもの。また、はなのように美しいさま。 はなが開く。はなが咲く。 目がかすむ。もうろうとする。くらむ。 はな。桜のはな。梅のはな。 人気のあるもの。はなやかなもの。 祝儀。</v>
      </c>
      <c r="H383" t="str">
        <v>#幸福 #自然 #花・彩</v>
      </c>
      <c r="I383">
        <v>95</v>
      </c>
      <c r="J383">
        <v>30</v>
      </c>
      <c r="K383">
        <v>90</v>
      </c>
      <c r="L383">
        <v>0</v>
      </c>
      <c r="M383">
        <f>VLOOKUP(A383,[1]kanji_data!$A:$N,14,FALSE)</f>
        <v>0</v>
      </c>
    </row>
    <row r="384">
      <c r="A384" t="str">
        <v>指</v>
      </c>
      <c r="B384">
        <v>9</v>
      </c>
      <c r="C384" t="b">
        <v>1</v>
      </c>
      <c r="D384" t="str">
        <v>シ</v>
      </c>
      <c r="E384" t="str">
        <v>さ（す） ゆび</v>
      </c>
      <c r="F384">
        <v>0</v>
      </c>
      <c r="G384" t="str">
        <v>ゆび。手や足のゆび。 さす。ゆびさす。ゆびでさし示す。 むね。考え。意向。意図。＝旨</v>
      </c>
      <c r="I384">
        <v>10</v>
      </c>
      <c r="J384">
        <v>50</v>
      </c>
      <c r="K384">
        <v>50</v>
      </c>
      <c r="L384">
        <v>1</v>
      </c>
    </row>
    <row r="385">
      <c r="A385" t="str">
        <v>秒</v>
      </c>
      <c r="B385">
        <v>9</v>
      </c>
      <c r="C385" t="b">
        <v>1</v>
      </c>
      <c r="D385" t="str">
        <v>ビョウ</v>
      </c>
      <c r="E385" t="str">
        <v>のぎ</v>
      </c>
      <c r="F385">
        <v>0</v>
      </c>
      <c r="G385" t="str">
        <v>かすか。わずか。 時間や角度の単位。一秒は一分の六十分の一。 のぎ。稲や麦の穂先にある針のように固い毛。</v>
      </c>
      <c r="I385">
        <v>10</v>
      </c>
      <c r="J385">
        <v>50</v>
      </c>
      <c r="K385">
        <v>50</v>
      </c>
      <c r="L385">
        <v>1</v>
      </c>
    </row>
    <row r="386">
      <c r="A386" t="str">
        <v>車</v>
      </c>
      <c r="B386">
        <v>7</v>
      </c>
      <c r="C386" t="b">
        <v>1</v>
      </c>
      <c r="D386" t="str">
        <v>シャ</v>
      </c>
      <c r="E386" t="str">
        <v>くるま</v>
      </c>
      <c r="F386" t="str">
        <v>くら のり</v>
      </c>
      <c r="G386" t="str">
        <v>くるま。車輪の回転によって動く乗り物。 軸を中心として回転する輪。 はぐき。歯の根もとをつつむ肉。 くるま。車の輪のように丸い形。 人力車や自動車のこと。</v>
      </c>
      <c r="H386" t="str">
        <v>#自然</v>
      </c>
      <c r="I386">
        <v>20</v>
      </c>
      <c r="J386">
        <v>85</v>
      </c>
      <c r="K386">
        <v>30</v>
      </c>
      <c r="L386">
        <v>0</v>
      </c>
      <c r="M386">
        <f>VLOOKUP(A386,[1]kanji_data!$A:$N,14,FALSE)</f>
        <v>0</v>
      </c>
    </row>
    <row r="387">
      <c r="A387" t="str">
        <v>赤</v>
      </c>
      <c r="B387">
        <v>7</v>
      </c>
      <c r="C387" t="b">
        <v>1</v>
      </c>
      <c r="D387" t="str">
        <v>セキ シャク</v>
      </c>
      <c r="E387" t="str">
        <v>あか あか（い） あか（らむ） あか（らめる）</v>
      </c>
      <c r="F387">
        <v>0</v>
      </c>
      <c r="G387" t="str">
        <v>あか。あかい。あかい色。 何もない。むき出しの。あらわ。 まこと。まごころ。 南の方角。夏の色。 共産主義。共産主義者。</v>
      </c>
      <c r="H387" t="str">
        <v>#心・志</v>
      </c>
      <c r="I387">
        <v>10</v>
      </c>
      <c r="J387">
        <v>70</v>
      </c>
      <c r="K387">
        <v>65</v>
      </c>
      <c r="L387">
        <v>0</v>
      </c>
      <c r="M387">
        <f>VLOOKUP(A387,[1]kanji_data!$A:$N,14,FALSE)</f>
        <v>0</v>
      </c>
    </row>
    <row r="388">
      <c r="A388" t="str">
        <v>胃</v>
      </c>
      <c r="B388">
        <v>9</v>
      </c>
      <c r="C388" t="b">
        <v>1</v>
      </c>
      <c r="D388" t="str">
        <v>イ</v>
      </c>
      <c r="E388">
        <v>0</v>
      </c>
      <c r="F388">
        <v>0</v>
      </c>
      <c r="G388" t="str">
        <v>い。いぶくろ。いのふ。内臓の一つ。 二十八宿の一つ。えきえぼし。</v>
      </c>
      <c r="I388">
        <v>10</v>
      </c>
      <c r="J388">
        <v>50</v>
      </c>
      <c r="K388">
        <v>50</v>
      </c>
      <c r="L388">
        <v>1</v>
      </c>
    </row>
    <row r="389">
      <c r="A389" t="str">
        <v>型</v>
      </c>
      <c r="B389">
        <v>9</v>
      </c>
      <c r="C389" t="b">
        <v>1</v>
      </c>
      <c r="D389" t="str">
        <v>ケイ</v>
      </c>
      <c r="E389" t="str">
        <v>かた</v>
      </c>
      <c r="F389">
        <v>0</v>
      </c>
      <c r="G389" t="str">
        <v>かた。いがた。 かた。基本的な形。もとになる形。 かた。のり。手本。見本。模範。 かた。柔剣道や演芸などで基準となる動作。 かた。様式。サイズ。</v>
      </c>
      <c r="I389">
        <v>10</v>
      </c>
      <c r="J389">
        <v>50</v>
      </c>
      <c r="K389">
        <v>50</v>
      </c>
      <c r="L389">
        <v>1</v>
      </c>
    </row>
    <row r="390">
      <c r="A390" t="str">
        <v>昨</v>
      </c>
      <c r="B390">
        <v>9</v>
      </c>
      <c r="C390" t="b">
        <v>1</v>
      </c>
      <c r="D390" t="str">
        <v>サク</v>
      </c>
      <c r="E390" t="str">
        <v>きのう</v>
      </c>
      <c r="F390">
        <v>0</v>
      </c>
      <c r="G390" t="str">
        <v>きのう。今日の前の日。 去年。今年の前の年。 昔。過去。</v>
      </c>
      <c r="I390">
        <v>10</v>
      </c>
      <c r="J390">
        <v>50</v>
      </c>
      <c r="K390">
        <v>50</v>
      </c>
      <c r="L390">
        <v>1</v>
      </c>
    </row>
    <row r="391">
      <c r="A391" t="str">
        <v>逆</v>
      </c>
      <c r="B391">
        <v>9</v>
      </c>
      <c r="C391" t="b">
        <v>1</v>
      </c>
      <c r="D391" t="str">
        <v>ギャク ゲキ</v>
      </c>
      <c r="E391" t="str">
        <v>さか さか（らう） あらかじ（め） むか（える）</v>
      </c>
      <c r="F391">
        <v>0</v>
      </c>
      <c r="G391" t="str">
        <v>さからう。そむく。はむかう。たがう。 あらかじめ。まえもって。 来るものをむかえる。出迎える。 さかさま。反対。 しりぞける。 のぼせる。のぼせ。</v>
      </c>
      <c r="I391">
        <v>10</v>
      </c>
      <c r="J391">
        <v>50</v>
      </c>
      <c r="K391">
        <v>50</v>
      </c>
      <c r="L391">
        <v>1</v>
      </c>
    </row>
    <row r="392">
      <c r="A392" t="str">
        <v>限</v>
      </c>
      <c r="B392">
        <v>9</v>
      </c>
      <c r="C392" t="b">
        <v>1</v>
      </c>
      <c r="D392" t="str">
        <v>ゲン</v>
      </c>
      <c r="E392" t="str">
        <v>かぎ（る） かぎ（り） きり</v>
      </c>
      <c r="F392">
        <v>0</v>
      </c>
      <c r="G392" t="str">
        <v>かぎる。区切る。範囲をきめる。 かぎり。区切り。範囲。 かぎり。すべて。全部。 かぎり。～のみ。～だけ。</v>
      </c>
      <c r="I392">
        <v>10</v>
      </c>
      <c r="J392">
        <v>50</v>
      </c>
      <c r="K392">
        <v>50</v>
      </c>
      <c r="L392">
        <v>1</v>
      </c>
    </row>
    <row r="393">
      <c r="A393" t="str">
        <v>退</v>
      </c>
      <c r="B393">
        <v>9</v>
      </c>
      <c r="C393" t="b">
        <v>1</v>
      </c>
      <c r="D393" t="str">
        <v>タイ</v>
      </c>
      <c r="E393" t="str">
        <v>しりぞ（く） しりぞ（ける） しさ（る） すさ（る） の（く） の（ける） ひ（く）</v>
      </c>
      <c r="F393" t="str">
        <v>のく</v>
      </c>
      <c r="G393" t="str">
        <v>しりぞく。のく。後ずさる。引き下がる。 たちのく。のく。立ち去る。 やめる。引く。身を引く。 おとろえる。 おいはらう。しりぞける。 消極的なさま。ひっこむ。 色があせる。色がさめる。</v>
      </c>
      <c r="I393">
        <v>30</v>
      </c>
      <c r="J393">
        <v>50</v>
      </c>
      <c r="K393">
        <v>50</v>
      </c>
      <c r="L393">
        <v>1</v>
      </c>
    </row>
    <row r="394">
      <c r="A394" t="str">
        <v>段</v>
      </c>
      <c r="B394">
        <v>9</v>
      </c>
      <c r="C394" t="b">
        <v>1</v>
      </c>
      <c r="D394" t="str">
        <v>ダン タン</v>
      </c>
      <c r="E394" t="str">
        <v>きざはし</v>
      </c>
      <c r="F394">
        <v>0</v>
      </c>
      <c r="G394" t="str">
        <v>くぎり。いくつかに分けたうちの一部分。 てだて。やり方。方法。 厚くてつやのある絹織物。＝緞 たん。布地の長さの単位。鯨尺で二丈八尺。 たん。田の面積の単位。十畝。 だん。きざはし。だんだん。かいだん状のもの。 だん。囲碁・将棋・柔道・剣道などの技量の等級。</v>
      </c>
      <c r="I394">
        <v>10</v>
      </c>
      <c r="J394">
        <v>50</v>
      </c>
      <c r="K394">
        <v>50</v>
      </c>
      <c r="L394">
        <v>1</v>
      </c>
    </row>
    <row r="395">
      <c r="A395" t="str">
        <v>近</v>
      </c>
      <c r="B395">
        <v>7</v>
      </c>
      <c r="C395" t="b">
        <v>1</v>
      </c>
      <c r="D395" t="str">
        <v>キン コン</v>
      </c>
      <c r="E395" t="str">
        <v>ちか（い）</v>
      </c>
      <c r="F395">
        <v>0</v>
      </c>
      <c r="G395" t="str">
        <v>ちかい。時間的・距離的にちかい。へだたりが少ない。 関係が近い。身内。 ちかづく。ちかくによる。</v>
      </c>
      <c r="H395" t="str">
        <v>#心・志</v>
      </c>
      <c r="I395">
        <v>10</v>
      </c>
      <c r="J395">
        <v>65</v>
      </c>
      <c r="K395">
        <v>55</v>
      </c>
      <c r="L395">
        <v>0</v>
      </c>
      <c r="M395">
        <f>VLOOKUP(A395,[1]kanji_data!$A:$N,14,FALSE)</f>
        <v>0</v>
      </c>
    </row>
    <row r="396">
      <c r="A396" t="str">
        <v>卸</v>
      </c>
      <c r="B396">
        <v>9</v>
      </c>
      <c r="C396" t="b">
        <v>1</v>
      </c>
      <c r="D396" t="str">
        <v>シャ</v>
      </c>
      <c r="E396" t="str">
        <v>おろし おろ（す）</v>
      </c>
      <c r="F396">
        <v>0</v>
      </c>
      <c r="G396" t="str">
        <v>おろす。重い荷物をおろす。転じて、楽になる。 馬から馬具を解く。 おろし。おろす。問屋が小売店に商品を売る。</v>
      </c>
      <c r="I396">
        <v>10</v>
      </c>
      <c r="J396">
        <v>50</v>
      </c>
      <c r="K396">
        <v>50</v>
      </c>
      <c r="L396">
        <v>1</v>
      </c>
    </row>
    <row r="397">
      <c r="A397" t="str">
        <v>言</v>
      </c>
      <c r="B397">
        <v>7</v>
      </c>
      <c r="C397" t="b">
        <v>1</v>
      </c>
      <c r="D397" t="str">
        <v>ゲン ゴン ギン</v>
      </c>
      <c r="E397" t="str">
        <v>い（う） こと ことば</v>
      </c>
      <c r="F397" t="str">
        <v>あき あや とき のぶ のり ゆう ゆき</v>
      </c>
      <c r="G397" t="str">
        <v>いう。ものをいう。ことばを口に出す。 こと。ことば。意味を表わすことば。 われ。自分を称することば。 ここに。語調を整えることば。 「言言」は、つつしむさま。</v>
      </c>
      <c r="H397" t="str">
        <v>#知性</v>
      </c>
      <c r="I397">
        <v>90</v>
      </c>
      <c r="J397">
        <v>65</v>
      </c>
      <c r="K397">
        <v>55</v>
      </c>
      <c r="L397">
        <v>0</v>
      </c>
      <c r="M397">
        <f>VLOOKUP(A397,[1]kanji_data!$A:$N,14,FALSE)</f>
        <v>0</v>
      </c>
    </row>
    <row r="398">
      <c r="A398" t="str">
        <v>谷</v>
      </c>
      <c r="B398">
        <v>7</v>
      </c>
      <c r="C398" t="b">
        <v>1</v>
      </c>
      <c r="D398" t="str">
        <v>コク ロク</v>
      </c>
      <c r="E398" t="str">
        <v>たに きわ（まる） や</v>
      </c>
      <c r="F398" t="str">
        <v>ひろ</v>
      </c>
      <c r="G398" t="str">
        <v>たに。や。山と山の間のくぼみ。 道。径路。 きわまる。ゆきづまる。 やしなう。育てる。</v>
      </c>
      <c r="H398" t="str">
        <v>#天空 #自然</v>
      </c>
      <c r="I398">
        <v>65</v>
      </c>
      <c r="J398">
        <v>45</v>
      </c>
      <c r="K398">
        <v>70</v>
      </c>
      <c r="L398">
        <v>0</v>
      </c>
      <c r="M398">
        <f>VLOOKUP(A398,[1]kanji_data!$A:$N,14,FALSE)</f>
        <v>0</v>
      </c>
    </row>
    <row r="399">
      <c r="A399" t="str">
        <v>垣</v>
      </c>
      <c r="B399">
        <v>9</v>
      </c>
      <c r="C399" t="b">
        <v>1</v>
      </c>
      <c r="D399" t="str">
        <v>エン</v>
      </c>
      <c r="E399" t="str">
        <v>かき</v>
      </c>
      <c r="F399">
        <v>0</v>
      </c>
      <c r="G399" t="str">
        <v>かき。かきね。囲い。仕切り。 役所。かきねに囲われた役所。</v>
      </c>
      <c r="I399">
        <v>10</v>
      </c>
      <c r="J399">
        <v>75</v>
      </c>
      <c r="K399">
        <v>40</v>
      </c>
      <c r="L399">
        <v>0</v>
      </c>
      <c r="M399">
        <f>VLOOKUP(A399,[1]kanji_data!$A:$N,14,FALSE)</f>
        <v>0</v>
      </c>
    </row>
    <row r="400">
      <c r="A400" t="str">
        <v>挟</v>
      </c>
      <c r="B400">
        <v>9</v>
      </c>
      <c r="C400" t="b">
        <v>1</v>
      </c>
      <c r="D400" t="str">
        <v>キョウ</v>
      </c>
      <c r="E400" t="str">
        <v>はさ（まる） はさ（む） さしはさ（む）</v>
      </c>
      <c r="F400">
        <v>0</v>
      </c>
      <c r="G400" t="str">
        <v>はさむ。さしはさむ。間にはさむ。 はさむ。わきにはさむ。わきの下にかかえる。 はさまる。間にはいる。間にはさまる。</v>
      </c>
      <c r="I400">
        <v>10</v>
      </c>
      <c r="J400">
        <v>50</v>
      </c>
      <c r="K400">
        <v>50</v>
      </c>
      <c r="L400">
        <v>1</v>
      </c>
    </row>
    <row r="401">
      <c r="A401" t="str">
        <v>図</v>
      </c>
      <c r="B401">
        <v>7</v>
      </c>
      <c r="C401" t="b">
        <v>1</v>
      </c>
      <c r="D401" t="str">
        <v>ズ ト</v>
      </c>
      <c r="E401" t="str">
        <v>はか（る） え</v>
      </c>
      <c r="F401">
        <v>0</v>
      </c>
      <c r="G401" t="str">
        <v>はかる。くわだてる。たくらむ。 はかる。考える。 はかる。検討する。計算する。 はかりごと。もくろみ。計画。 え。えがく。形をえがく。</v>
      </c>
      <c r="H401" t="str">
        <v>#天空</v>
      </c>
      <c r="I401">
        <v>10</v>
      </c>
      <c r="J401">
        <v>70</v>
      </c>
      <c r="K401">
        <v>50</v>
      </c>
      <c r="L401">
        <v>0</v>
      </c>
      <c r="M401">
        <f>VLOOKUP(A401,[1]kanji_data!$A:$N,14,FALSE)</f>
        <v>0</v>
      </c>
    </row>
    <row r="402">
      <c r="A402" t="str">
        <v>声</v>
      </c>
      <c r="B402">
        <v>7</v>
      </c>
      <c r="C402" t="b">
        <v>1</v>
      </c>
      <c r="D402" t="str">
        <v>セイ ショウ</v>
      </c>
      <c r="E402" t="str">
        <v>こえ こわ</v>
      </c>
      <c r="F402">
        <v>0</v>
      </c>
      <c r="G402" t="str">
        <v>こえ。音。動物の鳴きごえ。ひびき。 音楽。楽曲。音律。 ほまれ。名誉。評判。 漢字音のアクセント。平声・上声・去声・入声の四声に区別される。</v>
      </c>
      <c r="H402" t="str">
        <v>#品格</v>
      </c>
      <c r="I402">
        <v>10</v>
      </c>
      <c r="J402">
        <v>90</v>
      </c>
      <c r="K402">
        <v>35</v>
      </c>
      <c r="L402">
        <v>0</v>
      </c>
      <c r="M402">
        <f>VLOOKUP(A402,[1]kanji_data!$A:$N,14,FALSE)</f>
        <v>0</v>
      </c>
    </row>
    <row r="403">
      <c r="A403" t="str">
        <v>砕</v>
      </c>
      <c r="B403">
        <v>9</v>
      </c>
      <c r="C403" t="b">
        <v>1</v>
      </c>
      <c r="D403" t="str">
        <v>サイ</v>
      </c>
      <c r="E403" t="str">
        <v>くだ（く） くだ（ける）</v>
      </c>
      <c r="F403">
        <v>0</v>
      </c>
      <c r="G403" t="str">
        <v>くだく。くだける。細かくする。こなごなにする。 細かい。くだくだしい。くどい。わずらわしい。</v>
      </c>
      <c r="I403">
        <v>10</v>
      </c>
      <c r="J403">
        <v>50</v>
      </c>
      <c r="K403">
        <v>50</v>
      </c>
      <c r="L403">
        <v>1</v>
      </c>
    </row>
    <row r="404">
      <c r="A404" t="str">
        <v>咽</v>
      </c>
      <c r="B404">
        <v>9</v>
      </c>
      <c r="C404" t="b">
        <v>1</v>
      </c>
      <c r="D404" t="str">
        <v>イン エツ エン</v>
      </c>
      <c r="E404" t="str">
        <v>のど の（む） むせ（ぶ） むせ（る）</v>
      </c>
      <c r="F404">
        <v>0</v>
      </c>
      <c r="G404" t="str">
        <v>のど。口の奥の部分。 急所。要所。 のむ。飲みこむ。飲み下す。 むせぶ。むせる。飲食物や煙などで息がつまる。 むせぶ。感情で胸がふさがり声がつまる。</v>
      </c>
      <c r="I404">
        <v>10</v>
      </c>
      <c r="J404">
        <v>50</v>
      </c>
      <c r="K404">
        <v>50</v>
      </c>
      <c r="L404">
        <v>1</v>
      </c>
    </row>
    <row r="405">
      <c r="A405" t="str">
        <v>弟</v>
      </c>
      <c r="B405">
        <v>7</v>
      </c>
      <c r="C405" t="b">
        <v>1</v>
      </c>
      <c r="D405" t="str">
        <v>ダイ デ テイ</v>
      </c>
      <c r="E405" t="str">
        <v>おとうと</v>
      </c>
      <c r="F405">
        <v>0</v>
      </c>
      <c r="G405" t="str">
        <v>おとうと。兄弟のうち、年が下の者。 でし。門人。ある師から教えを受ける人。 自分をへりくだって呼ぶことば。 順序。ついで。＝第 ただ。それだけ。～のみ。限定の意。 したがう。兄や目上の者に対して従順に仕える。＝悌</v>
      </c>
      <c r="H405" t="str">
        <v>#調和</v>
      </c>
      <c r="I405">
        <v>10</v>
      </c>
      <c r="J405">
        <v>35</v>
      </c>
      <c r="K405">
        <v>70</v>
      </c>
      <c r="L405">
        <v>0</v>
      </c>
      <c r="M405">
        <f>VLOOKUP(A405,[1]kanji_data!$A:$N,14,FALSE)</f>
        <v>0</v>
      </c>
    </row>
    <row r="406">
      <c r="A406" t="str">
        <v>俠</v>
      </c>
      <c r="B406">
        <v>8</v>
      </c>
      <c r="C406" t="b">
        <v>0</v>
      </c>
      <c r="D406" t="str">
        <v>キョウ</v>
      </c>
      <c r="E406" t="str">
        <v>おとこだて きゃん</v>
      </c>
      <c r="F406">
        <v>0</v>
      </c>
      <c r="G406" t="str">
        <v>おとこだて。おとこぎ。強者をくじき、弱者を助ける義理堅い人。 きゃん。おきゃん。おてんば。活発な女性。</v>
      </c>
      <c r="I406">
        <v>10</v>
      </c>
      <c r="J406">
        <v>100</v>
      </c>
      <c r="K406">
        <v>20</v>
      </c>
      <c r="L406">
        <v>0</v>
      </c>
      <c r="M406">
        <f>VLOOKUP(A406,[1]kanji_data!$A:$N,14,FALSE)</f>
        <v>0</v>
      </c>
    </row>
    <row r="407">
      <c r="A407" t="str">
        <v>帰</v>
      </c>
      <c r="B407">
        <v>10</v>
      </c>
      <c r="C407" t="b">
        <v>1</v>
      </c>
      <c r="D407" t="str">
        <v>キ</v>
      </c>
      <c r="E407" t="str">
        <v>かえ（す） かえ（る） おく（る） とつ（ぐ）</v>
      </c>
      <c r="F407">
        <v>0</v>
      </c>
      <c r="G407" t="str">
        <v>かえる。もどる。もとの所にもどる。 かえす。もどす。もとの所にもどす。 物事が最終的に落ち着く。おさまる。 とつぐ。嫁にいく。女性が結婚する。 おくる。品物を贈る。</v>
      </c>
      <c r="I407">
        <v>10</v>
      </c>
      <c r="J407">
        <v>50</v>
      </c>
      <c r="K407">
        <v>50</v>
      </c>
      <c r="L407">
        <v>1</v>
      </c>
    </row>
    <row r="408">
      <c r="A408" t="str">
        <v>来</v>
      </c>
      <c r="B408">
        <v>7</v>
      </c>
      <c r="C408" t="b">
        <v>1</v>
      </c>
      <c r="D408" t="str">
        <v>ライ</v>
      </c>
      <c r="E408" t="str">
        <v>く（る） きた（す） きた（る） き（し） こ（し）</v>
      </c>
      <c r="F408" t="str">
        <v>き く こ な ゆき ら</v>
      </c>
      <c r="G408" t="str">
        <v>くる。きたる。やってくる。 きたす。こさせる。 このかた。ある時点から現在まで。今まで。 これから先。まだきていない先のこと。 助字。句中や句末に置いて、語調を整える。普通は訓読しない。 ねぎらう。いたわる。はげます。</v>
      </c>
      <c r="H408" t="str">
        <v>#慈愛</v>
      </c>
      <c r="I408">
        <v>85</v>
      </c>
      <c r="J408">
        <v>75</v>
      </c>
      <c r="K408">
        <v>45</v>
      </c>
      <c r="L408">
        <v>0</v>
      </c>
      <c r="M408">
        <f>VLOOKUP(A408,[1]kanji_data!$A:$N,14,FALSE)</f>
        <v>0</v>
      </c>
    </row>
    <row r="409">
      <c r="A409" t="str">
        <v>里</v>
      </c>
      <c r="B409">
        <v>7</v>
      </c>
      <c r="C409" t="b">
        <v>1</v>
      </c>
      <c r="D409" t="str">
        <v>リ</v>
      </c>
      <c r="E409" t="str">
        <v>さと</v>
      </c>
      <c r="F409" t="str">
        <v>さとし さとる のり</v>
      </c>
      <c r="G409" t="str">
        <v>さと。むらざと。 やしき。住まい。 行政区画。二十五戸。 いる。おる。住む。 道のりの単位。 うれえる。うれい。 り。長さの単位。 さと。いなか。子の養育を頼む家。</v>
      </c>
      <c r="H409" t="str">
        <v>#自然 #調和</v>
      </c>
      <c r="I409">
        <v>60</v>
      </c>
      <c r="J409">
        <v>55</v>
      </c>
      <c r="K409">
        <v>55</v>
      </c>
      <c r="L409">
        <v>0</v>
      </c>
      <c r="M409">
        <f>VLOOKUP(A409,[1]kanji_data!$A:$N,14,FALSE)</f>
        <v>0</v>
      </c>
    </row>
    <row r="410">
      <c r="A410" t="str">
        <v>員</v>
      </c>
      <c r="B410">
        <v>10</v>
      </c>
      <c r="C410" t="b">
        <v>1</v>
      </c>
      <c r="D410" t="str">
        <v>イン エン ウン</v>
      </c>
      <c r="E410" t="str">
        <v>かず</v>
      </c>
      <c r="F410" t="str">
        <v>さだ</v>
      </c>
      <c r="G410" t="str">
        <v>かず。人、または物の数。 係。役人。また、あるもの（団体など）に属する人。 まわり。周囲。幅。 まる。まるい形。＝円 増す。増やす。増える。</v>
      </c>
      <c r="I410">
        <v>30</v>
      </c>
      <c r="J410">
        <v>50</v>
      </c>
      <c r="K410">
        <v>50</v>
      </c>
      <c r="L410">
        <v>1</v>
      </c>
    </row>
    <row r="411">
      <c r="A411" t="str">
        <v>究</v>
      </c>
      <c r="B411">
        <v>7</v>
      </c>
      <c r="C411" t="b">
        <v>1</v>
      </c>
      <c r="D411" t="str">
        <v>キュウ ク</v>
      </c>
      <c r="E411" t="str">
        <v>きわ（める） きわ（まる）</v>
      </c>
      <c r="F411" t="str">
        <v>きわみ きわむ さた さだ すみ み</v>
      </c>
      <c r="G411" t="str">
        <v>きわめる。きわまる。物事の本質をつきつめる。明らかにする。 きわみ。きわまり。はて。終わり。</v>
      </c>
      <c r="H411" t="str">
        <v>#知性</v>
      </c>
      <c r="I411">
        <v>50</v>
      </c>
      <c r="J411">
        <v>70</v>
      </c>
      <c r="K411">
        <v>50</v>
      </c>
      <c r="L411">
        <v>0</v>
      </c>
      <c r="M411">
        <f>VLOOKUP(A411,[1]kanji_data!$A:$N,14,FALSE)</f>
        <v>0</v>
      </c>
    </row>
    <row r="412">
      <c r="A412" t="str">
        <v>荷</v>
      </c>
      <c r="B412">
        <v>10</v>
      </c>
      <c r="C412" t="b">
        <v>1</v>
      </c>
      <c r="D412" t="str">
        <v>カ</v>
      </c>
      <c r="E412" t="str">
        <v>に にな（う） はす</v>
      </c>
      <c r="F412">
        <v>0</v>
      </c>
      <c r="G412" t="str">
        <v>はす。はちす。スイレン科の多年草。 になう。物をかつぐ。肩の上にのせて持つ。 に。荷物。になう物。 いただく。ひきつける。身に受ける。 か。荷物を数える助数詞。 に。やっかいもの。じゃまもの。</v>
      </c>
      <c r="I412">
        <v>10</v>
      </c>
      <c r="J412">
        <v>50</v>
      </c>
      <c r="K412">
        <v>50</v>
      </c>
      <c r="L412">
        <v>1</v>
      </c>
    </row>
    <row r="413">
      <c r="A413" t="str">
        <v>君</v>
      </c>
      <c r="B413">
        <v>7</v>
      </c>
      <c r="C413" t="b">
        <v>1</v>
      </c>
      <c r="D413" t="str">
        <v>クン</v>
      </c>
      <c r="E413" t="str">
        <v>きみ</v>
      </c>
      <c r="F413" t="str">
        <v>きん こ すえ なお よし</v>
      </c>
      <c r="G413" t="str">
        <v>きみ。国や領地、人民を治めるもの。例：君主 名君 つかさどる。統治する。人民の上にたつ。 世代が上位の肉親、先祖を敬っていうことば。 姓名の後に付け、同輩や目下の人を呼ぶための敬称。 きみ。対等または目下の人を親しみをこめて呼ぶことば。</v>
      </c>
      <c r="H413" t="str">
        <v>#品格</v>
      </c>
      <c r="I413">
        <v>95</v>
      </c>
      <c r="J413">
        <v>90</v>
      </c>
      <c r="K413">
        <v>45</v>
      </c>
      <c r="L413">
        <v>0</v>
      </c>
      <c r="M413">
        <f>VLOOKUP(A413,[1]kanji_data!$A:$N,14,FALSE)</f>
        <v>0</v>
      </c>
    </row>
    <row r="414">
      <c r="A414" t="str">
        <v>消</v>
      </c>
      <c r="B414">
        <v>10</v>
      </c>
      <c r="C414" t="b">
        <v>1</v>
      </c>
      <c r="D414" t="str">
        <v>ショウ</v>
      </c>
      <c r="E414" t="str">
        <v>き（える） け（す）</v>
      </c>
      <c r="F414">
        <v>0</v>
      </c>
      <c r="G414" t="str">
        <v>きえる。なくなる。ほろびる。火がきえる。 けす。なくす。ほろぼす。火をけす。 おとろえる。弱る。 小さくなる。少なくなる。控えめである。</v>
      </c>
      <c r="I414">
        <v>10</v>
      </c>
      <c r="J414">
        <v>50</v>
      </c>
      <c r="K414">
        <v>50</v>
      </c>
      <c r="L414">
        <v>1</v>
      </c>
    </row>
    <row r="415">
      <c r="A415" t="str">
        <v>旅</v>
      </c>
      <c r="B415">
        <v>10</v>
      </c>
      <c r="C415" t="b">
        <v>1</v>
      </c>
      <c r="D415" t="str">
        <v>リョ ロ</v>
      </c>
      <c r="E415" t="str">
        <v>たび いくさ</v>
      </c>
      <c r="F415" t="str">
        <v>たか</v>
      </c>
      <c r="G415" t="str">
        <v>たび。たびする。よその土地に行く。 軍隊。周代の軍制で、一旅は五百人の部隊。 いくさ。戦争。 たくさんの人々。 易（エキ）の六十四卦の一つ。</v>
      </c>
      <c r="I415">
        <v>30</v>
      </c>
      <c r="J415">
        <v>55</v>
      </c>
      <c r="K415">
        <v>85</v>
      </c>
      <c r="L415">
        <v>0</v>
      </c>
      <c r="M415">
        <f>VLOOKUP(A415,[1]kanji_data!$A:$N,14,FALSE)</f>
        <v>0</v>
      </c>
    </row>
    <row r="416">
      <c r="A416" t="str">
        <v>助</v>
      </c>
      <c r="B416">
        <v>7</v>
      </c>
      <c r="C416" t="b">
        <v>1</v>
      </c>
      <c r="D416" t="str">
        <v>ジョ</v>
      </c>
      <c r="E416" t="str">
        <v>たす（かる） たす（ける） すけ</v>
      </c>
      <c r="F416" t="str">
        <v>たすく ひろ ます</v>
      </c>
      <c r="G416" t="str">
        <v>たすかる。たすける。力を貸す。 畑などにすきを入れて耕す。 古代中国の租税法。井田法。 すけ。四等官で、寮の第二位。 人の特徴などに付けて、人名らしく呼ぶ言葉。例：呑み助</v>
      </c>
      <c r="H416" t="str">
        <v>#勇気 #慈愛 #自然</v>
      </c>
      <c r="I416">
        <v>75</v>
      </c>
      <c r="J416">
        <v>35</v>
      </c>
      <c r="K416">
        <v>70</v>
      </c>
      <c r="L416">
        <v>0</v>
      </c>
      <c r="M416">
        <f>VLOOKUP(A416,[1]kanji_data!$A:$N,14,FALSE)</f>
        <v>0</v>
      </c>
    </row>
    <row r="417">
      <c r="A417" t="str">
        <v>害</v>
      </c>
      <c r="B417">
        <v>10</v>
      </c>
      <c r="C417" t="b">
        <v>1</v>
      </c>
      <c r="D417" t="str">
        <v>ガイ カイ カツ</v>
      </c>
      <c r="E417" t="str">
        <v>そこ（なう） わざわ（い）</v>
      </c>
      <c r="F417">
        <v>0</v>
      </c>
      <c r="G417" t="str">
        <v>そこなう。傷つける。 そこなう。邪魔をする。妨げる。 わざわい。災難。また、妨げ。 いずれ。いつか。いつになったら。疑問の意を表す。</v>
      </c>
      <c r="I417">
        <v>10</v>
      </c>
      <c r="J417">
        <v>50</v>
      </c>
      <c r="K417">
        <v>50</v>
      </c>
      <c r="L417">
        <v>1</v>
      </c>
    </row>
    <row r="418">
      <c r="A418" t="str">
        <v>対</v>
      </c>
      <c r="B418">
        <v>7</v>
      </c>
      <c r="C418" t="b">
        <v>1</v>
      </c>
      <c r="D418" t="str">
        <v>タイ ツイ</v>
      </c>
      <c r="E418" t="str">
        <v>こた（える） そろ（い） つれあい む（かう）</v>
      </c>
      <c r="F418">
        <v>0</v>
      </c>
      <c r="G418" t="str">
        <v>こたえる。応じる。相手（特に目上の人）の問いにこたえる。 むかう。向き合う。向かい合う。 つれあい。相手。 そろい。二つで一組になるもの。</v>
      </c>
      <c r="H418" t="str">
        <v>#調和</v>
      </c>
      <c r="I418">
        <v>10</v>
      </c>
      <c r="J418">
        <v>55</v>
      </c>
      <c r="K418">
        <v>55</v>
      </c>
      <c r="L418">
        <v>1</v>
      </c>
    </row>
    <row r="419">
      <c r="A419" t="str">
        <v>投</v>
      </c>
      <c r="B419">
        <v>7</v>
      </c>
      <c r="C419" t="b">
        <v>1</v>
      </c>
      <c r="D419" t="str">
        <v>トウ</v>
      </c>
      <c r="E419" t="str">
        <v>な（げる）</v>
      </c>
      <c r="F419">
        <v>0</v>
      </c>
      <c r="G419" t="str">
        <v>なげる。なげつける。なげて当てる。 なげる。なげだす。あきらめる。 与える。贈る。差し出す。 かなう。一致する。ぴったり合う。</v>
      </c>
      <c r="H419" t="str">
        <v>#天空</v>
      </c>
      <c r="I419">
        <v>10</v>
      </c>
      <c r="J419">
        <v>60</v>
      </c>
      <c r="K419">
        <v>60</v>
      </c>
      <c r="L419">
        <v>0</v>
      </c>
      <c r="M419">
        <f>VLOOKUP(A419,[1]kanji_data!$A:$N,14,FALSE)</f>
        <v>0</v>
      </c>
    </row>
    <row r="420">
      <c r="A420" t="str">
        <v>差</v>
      </c>
      <c r="B420">
        <v>10</v>
      </c>
      <c r="C420" t="b">
        <v>1</v>
      </c>
      <c r="D420" t="str">
        <v>サ サイ シ</v>
      </c>
      <c r="E420" t="str">
        <v>さ（す） たが（う） つか（わす）</v>
      </c>
      <c r="F420">
        <v>0</v>
      </c>
      <c r="G420" t="str">
        <v>たがう。ちがう。くいちがう。 まちがう。あやまる。 やや。いくらか。少し。 さしひき。さしひきした数の差。 ふぞろい。くいちがってそろわない。ちぐはぐ。 つかわす。人を派遣する。 いえる。病気の症状がよくなる。</v>
      </c>
      <c r="I420">
        <v>10</v>
      </c>
      <c r="J420">
        <v>50</v>
      </c>
      <c r="K420">
        <v>50</v>
      </c>
      <c r="L420">
        <v>1</v>
      </c>
    </row>
    <row r="421">
      <c r="A421" t="str">
        <v>残</v>
      </c>
      <c r="B421">
        <v>10</v>
      </c>
      <c r="C421" t="b">
        <v>1</v>
      </c>
      <c r="D421" t="str">
        <v>ザン</v>
      </c>
      <c r="E421" t="str">
        <v>のこ（す） のこ（る） そこ（なう）</v>
      </c>
      <c r="F421">
        <v>0</v>
      </c>
      <c r="G421" t="str">
        <v>のこる。のこす。あまる。あまり。 そこなう。きずつける。いためつける。ほろぼす。 むごい。むごたらしい。ひどい。</v>
      </c>
      <c r="I421">
        <v>10</v>
      </c>
      <c r="J421">
        <v>50</v>
      </c>
      <c r="K421">
        <v>50</v>
      </c>
      <c r="L421">
        <v>1</v>
      </c>
    </row>
    <row r="422">
      <c r="A422" t="str">
        <v>返</v>
      </c>
      <c r="B422">
        <v>7</v>
      </c>
      <c r="C422" t="b">
        <v>1</v>
      </c>
      <c r="D422" t="str">
        <v>ヘン ハン ホン</v>
      </c>
      <c r="E422" t="str">
        <v>かえ（す） かえ（る）</v>
      </c>
      <c r="F422">
        <v>0</v>
      </c>
      <c r="G422" t="str">
        <v>かえる。もどる。 かえす。もとにもどる。 しりぞく。しりぞける。 かえす。借りたものを戻す。手紙をかえす。 かえる。反対になる。</v>
      </c>
      <c r="H422" t="str">
        <v>#調和</v>
      </c>
      <c r="I422">
        <v>10</v>
      </c>
      <c r="J422">
        <v>50</v>
      </c>
      <c r="K422">
        <v>55</v>
      </c>
      <c r="L422">
        <v>1</v>
      </c>
    </row>
    <row r="423">
      <c r="A423" t="str">
        <v>個</v>
      </c>
      <c r="B423">
        <v>10</v>
      </c>
      <c r="C423" t="b">
        <v>1</v>
      </c>
      <c r="D423" t="str">
        <v>コ カ</v>
      </c>
      <c r="E423">
        <v>0</v>
      </c>
      <c r="F423">
        <v>0</v>
      </c>
      <c r="G423" t="str">
        <v>物の数を数える語。例：一個 全体に対して、別々になった一つのものをいう語。例：個人</v>
      </c>
      <c r="I423">
        <v>10</v>
      </c>
      <c r="J423">
        <v>50</v>
      </c>
      <c r="K423">
        <v>50</v>
      </c>
      <c r="L423">
        <v>1</v>
      </c>
    </row>
    <row r="424">
      <c r="A424" t="str">
        <v>位</v>
      </c>
      <c r="B424">
        <v>7</v>
      </c>
      <c r="C424" t="b">
        <v>1</v>
      </c>
      <c r="D424" t="str">
        <v>イ</v>
      </c>
      <c r="E424" t="str">
        <v>くらい</v>
      </c>
      <c r="F424" t="str">
        <v>くら たか ただ ただし なり のり ひこ</v>
      </c>
      <c r="G424" t="str">
        <v>くらい。位置。 くらい。身分。階級。地位。 くらい。方角。 くらいする。正しい位置にいる。あるべき所にある。 人に対しての敬語。例：各位 くらい。人としての重み。品格。品位。 くらい。ほど。ばかり。だいたいの程度・数量・範囲などを表すことば。</v>
      </c>
      <c r="H424" t="str">
        <v>#品格</v>
      </c>
      <c r="I424">
        <v>30</v>
      </c>
      <c r="J424">
        <v>50</v>
      </c>
      <c r="K424">
        <v>70</v>
      </c>
      <c r="L424">
        <v>0</v>
      </c>
      <c r="M424">
        <f>VLOOKUP(A424,[1]kanji_data!$A:$N,14,FALSE)</f>
        <v>0</v>
      </c>
    </row>
    <row r="425">
      <c r="A425" t="str">
        <v>値</v>
      </c>
      <c r="B425">
        <v>10</v>
      </c>
      <c r="C425" t="b">
        <v>1</v>
      </c>
      <c r="D425" t="str">
        <v>チ チョク</v>
      </c>
      <c r="E425" t="str">
        <v>ね あたい あ（う）</v>
      </c>
      <c r="F425" t="str">
        <v>あき あきら</v>
      </c>
      <c r="G425" t="str">
        <v>ね。あたい。ねうち。金額。値段。 あう。あたる。出会う。当面する。 持つ。手に持つ。</v>
      </c>
      <c r="I425">
        <v>30</v>
      </c>
      <c r="J425">
        <v>50</v>
      </c>
      <c r="K425">
        <v>50</v>
      </c>
      <c r="L425">
        <v>0</v>
      </c>
    </row>
    <row r="426">
      <c r="A426" t="str">
        <v>展</v>
      </c>
      <c r="B426">
        <v>10</v>
      </c>
      <c r="C426" t="b">
        <v>1</v>
      </c>
      <c r="D426" t="str">
        <v>テン</v>
      </c>
      <c r="E426" t="str">
        <v>つら（ねる） の（べる） ひろ（げる）</v>
      </c>
      <c r="F426" t="str">
        <v>のぶ</v>
      </c>
      <c r="G426" t="str">
        <v>のべる。のばす。ひろげる。 つらねる。ならべる。 ころがる。 よく見る。広く見る。</v>
      </c>
      <c r="I426">
        <v>30</v>
      </c>
      <c r="J426">
        <v>100</v>
      </c>
      <c r="K426">
        <v>25</v>
      </c>
      <c r="L426">
        <v>0</v>
      </c>
      <c r="M426">
        <f>VLOOKUP(A426,[1]kanji_data!$A:$N,14,FALSE)</f>
        <v>0</v>
      </c>
    </row>
    <row r="427">
      <c r="A427" t="str">
        <v>完</v>
      </c>
      <c r="B427">
        <v>7</v>
      </c>
      <c r="C427" t="b">
        <v>1</v>
      </c>
      <c r="D427" t="str">
        <v>カン</v>
      </c>
      <c r="E427" t="str">
        <v>まっと（うする）</v>
      </c>
      <c r="F427" t="str">
        <v>たもつ ひろ ひろし ゆたか</v>
      </c>
      <c r="G427" t="str">
        <v>まったい。まったし。欠けているところがない。すべてそなわっている。 まっとうする。はたす。すべてやりとげる。 まっとうする。完全に保つ。</v>
      </c>
      <c r="H427" t="str">
        <v>#幸福</v>
      </c>
      <c r="I427">
        <v>80</v>
      </c>
      <c r="J427">
        <v>65</v>
      </c>
      <c r="K427">
        <v>55</v>
      </c>
      <c r="L427">
        <v>0</v>
      </c>
      <c r="M427">
        <f>VLOOKUP(A427,[1]kanji_data!$A:$N,14,FALSE)</f>
        <v>0</v>
      </c>
    </row>
    <row r="428">
      <c r="A428" t="str">
        <v>希</v>
      </c>
      <c r="B428">
        <v>7</v>
      </c>
      <c r="C428" t="b">
        <v>1</v>
      </c>
      <c r="D428" t="str">
        <v>キ ケ</v>
      </c>
      <c r="E428" t="str">
        <v>こいねが（う） まれ</v>
      </c>
      <c r="F428" t="str">
        <v>のぞみ のぞむ</v>
      </c>
      <c r="G428" t="str">
        <v>まれ。めずらしい。かすか。まばら。＝稀 こいねがう。ねがう。そのようになってほしいとねがう。 国名「希臘（ギリシャ）」の略。</v>
      </c>
      <c r="H428" t="str">
        <v>#幸福 #繁栄</v>
      </c>
      <c r="I428">
        <v>95</v>
      </c>
      <c r="J428">
        <v>55</v>
      </c>
      <c r="K428">
        <v>60</v>
      </c>
      <c r="L428">
        <v>0</v>
      </c>
      <c r="M428">
        <f>VLOOKUP(A428,[1]kanji_data!$A:$N,14,FALSE)</f>
        <v>0</v>
      </c>
    </row>
    <row r="429">
      <c r="A429" t="str">
        <v>求</v>
      </c>
      <c r="B429">
        <v>7</v>
      </c>
      <c r="C429" t="b">
        <v>1</v>
      </c>
      <c r="D429" t="str">
        <v>キュウ グ</v>
      </c>
      <c r="E429" t="str">
        <v>もと（める）</v>
      </c>
      <c r="F429" t="str">
        <v>き く ひで まさ め もと もとむ</v>
      </c>
      <c r="G429" t="str">
        <v>さがす。もとめる。さがしもとめる。ほしがる。のぞむ。</v>
      </c>
      <c r="H429" t="str">
        <v>#心・志 #繁栄</v>
      </c>
      <c r="I429">
        <v>75</v>
      </c>
      <c r="J429">
        <v>65</v>
      </c>
      <c r="K429">
        <v>45</v>
      </c>
      <c r="L429">
        <v>0</v>
      </c>
      <c r="M429">
        <f>VLOOKUP(A429,[1]kanji_data!$A:$N,14,FALSE)</f>
        <v>0</v>
      </c>
    </row>
    <row r="430">
      <c r="A430" t="str">
        <v>芸</v>
      </c>
      <c r="B430">
        <v>7</v>
      </c>
      <c r="C430" t="b">
        <v>1</v>
      </c>
      <c r="D430" t="str">
        <v>ゲイ ウン</v>
      </c>
      <c r="E430" t="str">
        <v>う（える） わざ くさぎ（る）</v>
      </c>
      <c r="F430" t="str">
        <v>き ぎ のり まさ よし</v>
      </c>
      <c r="G430" t="str">
        <v>わざ。技術。学問。知識。身につけた技能。 植える。草木を植える。種をまいて栽培する。 草の名前。ヘンルーダ。強い香りで書物の虫除けに用いる。 くさぎる。草を刈る。草を刈りとる。</v>
      </c>
      <c r="H430" t="str">
        <v>#知性 #自然</v>
      </c>
      <c r="I430">
        <v>80</v>
      </c>
      <c r="J430">
        <v>55</v>
      </c>
      <c r="K430">
        <v>55</v>
      </c>
      <c r="L430">
        <v>0</v>
      </c>
      <c r="M430">
        <f>VLOOKUP(A430,[1]kanji_data!$A:$N,14,FALSE)</f>
        <v>0</v>
      </c>
    </row>
    <row r="431">
      <c r="A431" t="str">
        <v>秘</v>
      </c>
      <c r="B431">
        <v>10</v>
      </c>
      <c r="C431" t="b">
        <v>1</v>
      </c>
      <c r="D431" t="str">
        <v>ヒ</v>
      </c>
      <c r="E431" t="str">
        <v>ひ（める） かく（す） ひそ（か）</v>
      </c>
      <c r="F431">
        <v>0</v>
      </c>
      <c r="G431" t="str">
        <v>ひめる。かくす。ひそかに。 人知では知ることができない。はかりしれない。例：神秘</v>
      </c>
      <c r="I431">
        <v>10</v>
      </c>
      <c r="J431">
        <v>50</v>
      </c>
      <c r="K431">
        <v>50</v>
      </c>
      <c r="L431">
        <v>0</v>
      </c>
    </row>
    <row r="432">
      <c r="A432" t="str">
        <v>材</v>
      </c>
      <c r="B432">
        <v>7</v>
      </c>
      <c r="C432" t="b">
        <v>1</v>
      </c>
      <c r="D432" t="str">
        <v>ザイ サイ</v>
      </c>
      <c r="E432" t="str">
        <v>まるた</v>
      </c>
      <c r="F432">
        <v>0</v>
      </c>
      <c r="G432" t="str">
        <v>まるた。建築や製造に用いられる木。 物をつくる原料となるもの。また、役に立つもの。 はたらき。才能。すぐれた能力。</v>
      </c>
      <c r="H432" t="str">
        <v>#知性</v>
      </c>
      <c r="I432">
        <v>10</v>
      </c>
      <c r="J432">
        <v>80</v>
      </c>
      <c r="K432">
        <v>45</v>
      </c>
      <c r="L432">
        <v>0</v>
      </c>
      <c r="M432">
        <f>VLOOKUP(A432,[1]kanji_data!$A:$N,14,FALSE)</f>
        <v>0</v>
      </c>
    </row>
    <row r="433">
      <c r="A433" t="str">
        <v>児</v>
      </c>
      <c r="B433">
        <v>7</v>
      </c>
      <c r="C433" t="b">
        <v>1</v>
      </c>
      <c r="D433" t="str">
        <v>ジ ニ</v>
      </c>
      <c r="E433" t="str">
        <v>こ</v>
      </c>
      <c r="F433" t="str">
        <v>のり はじめ る</v>
      </c>
      <c r="G433" t="str">
        <v>こ。幼い子ども。 若い男性。青年。 子が親に対して自分のことをいうときの自称の言葉。</v>
      </c>
      <c r="H433" t="str">
        <v>#自然</v>
      </c>
      <c r="I433">
        <v>85</v>
      </c>
      <c r="J433">
        <v>55</v>
      </c>
      <c r="K433">
        <v>65</v>
      </c>
      <c r="L433">
        <v>0</v>
      </c>
      <c r="M433">
        <f>VLOOKUP(A433,[1]kanji_data!$A:$N,14,FALSE)</f>
        <v>0</v>
      </c>
    </row>
    <row r="434">
      <c r="A434" t="str">
        <v>初</v>
      </c>
      <c r="B434">
        <v>7</v>
      </c>
      <c r="C434" t="b">
        <v>1</v>
      </c>
      <c r="D434" t="str">
        <v>ショ ソ</v>
      </c>
      <c r="E434" t="str">
        <v>はじ（め） はじ（めて） はつ そ（める） うい うぶ</v>
      </c>
      <c r="F434" t="str">
        <v>はじめ もと</v>
      </c>
      <c r="G434" t="str">
        <v>はじめ。はじまり。物事の起こり。最初。 はじめて。はつ。はじめの。最初の。 はじめて。やっと。・・・したばかり。 はつ。うい。はじめての。最初であること。 そめる。～しはじめるの意。 うぶ。ういういしい。世間慣れしていない。</v>
      </c>
      <c r="H434" t="str">
        <v>#幸福 #繁栄</v>
      </c>
      <c r="I434">
        <v>95</v>
      </c>
      <c r="J434">
        <v>95</v>
      </c>
      <c r="K434">
        <v>35</v>
      </c>
      <c r="L434">
        <v>0</v>
      </c>
      <c r="M434">
        <f>VLOOKUP(A434,[1]kanji_data!$A:$N,14,FALSE)</f>
        <v>0</v>
      </c>
    </row>
    <row r="435">
      <c r="A435" t="str">
        <v>恐</v>
      </c>
      <c r="B435">
        <v>10</v>
      </c>
      <c r="C435" t="b">
        <v>1</v>
      </c>
      <c r="D435" t="str">
        <v>キョウ</v>
      </c>
      <c r="E435" t="str">
        <v>おそ（れる） おそ（ろしい） こわ（い）</v>
      </c>
      <c r="F435">
        <v>0</v>
      </c>
      <c r="G435" t="str">
        <v>おそれる。こわがる。こわいと感じる。 おそろしい。こわい。 おどす。おそれさせる。 おそらくは。多分。きっと。</v>
      </c>
      <c r="I435">
        <v>10</v>
      </c>
      <c r="J435">
        <v>50</v>
      </c>
      <c r="K435">
        <v>50</v>
      </c>
      <c r="L435">
        <v>1</v>
      </c>
    </row>
    <row r="436">
      <c r="A436" t="str">
        <v>折</v>
      </c>
      <c r="B436">
        <v>7</v>
      </c>
      <c r="C436" t="b">
        <v>1</v>
      </c>
      <c r="D436" t="str">
        <v>セツ シャク</v>
      </c>
      <c r="E436" t="str">
        <v>おり お（る） お（れる） くじ（ける） さだ（める）</v>
      </c>
      <c r="F436">
        <v>0</v>
      </c>
      <c r="G436" t="str">
        <v>おる。おれる。おりまげる。おりたたむ。 くじける。くじく。勢いがそがれる。また、勢いを断って弱らせる。 さだめる。さばく。判断する。 死ぬ。若死にする。 おり。そのとき。機会。場合。 おり。うすい板や厚さのある紙などを折り曲げて作った箱。おり箱。</v>
      </c>
      <c r="H436" t="str">
        <v>#知性</v>
      </c>
      <c r="I436">
        <v>10</v>
      </c>
      <c r="J436">
        <v>85</v>
      </c>
      <c r="K436">
        <v>30</v>
      </c>
      <c r="L436">
        <v>1</v>
      </c>
    </row>
    <row r="437">
      <c r="A437" t="str">
        <v>致</v>
      </c>
      <c r="B437">
        <v>10</v>
      </c>
      <c r="C437" t="b">
        <v>1</v>
      </c>
      <c r="D437" t="str">
        <v>チ</v>
      </c>
      <c r="E437" t="str">
        <v>いた（す）</v>
      </c>
      <c r="F437" t="str">
        <v>いたる おき とも のり むね ゆき よし</v>
      </c>
      <c r="G437" t="str">
        <v>いたす。送り届ける。いたらせる。招きよせる。来させる。つくす。 おもむき。ありさま。味わい。様子。 いたす。「する」の謙譲語。</v>
      </c>
      <c r="I437">
        <v>30</v>
      </c>
      <c r="J437">
        <v>80</v>
      </c>
      <c r="K437">
        <v>50</v>
      </c>
      <c r="L437">
        <v>0</v>
      </c>
      <c r="M437">
        <f>VLOOKUP(A437,[1]kanji_data!$A:$N,14,FALSE)</f>
        <v>0</v>
      </c>
    </row>
    <row r="438">
      <c r="A438" t="str">
        <v>胴</v>
      </c>
      <c r="B438">
        <v>10</v>
      </c>
      <c r="C438" t="b">
        <v>1</v>
      </c>
      <c r="D438" t="str">
        <v>ドウ トウ</v>
      </c>
      <c r="E438">
        <v>0</v>
      </c>
      <c r="F438">
        <v>0</v>
      </c>
      <c r="G438" t="str">
        <v>大腸。腸。 動物の身体で、首・手足を除いた部分。例：胴体 鎧または剣道の防具で、身体の胸や腹部を覆う部分。 太鼓などの楽器の中央部分。</v>
      </c>
      <c r="I438">
        <v>10</v>
      </c>
      <c r="J438">
        <v>50</v>
      </c>
      <c r="K438">
        <v>50</v>
      </c>
      <c r="L438">
        <v>1</v>
      </c>
    </row>
    <row r="439">
      <c r="A439" t="str">
        <v>努</v>
      </c>
      <c r="B439">
        <v>7</v>
      </c>
      <c r="C439" t="b">
        <v>1</v>
      </c>
      <c r="D439" t="str">
        <v>ド</v>
      </c>
      <c r="E439" t="str">
        <v>つと（める） ゆめ</v>
      </c>
      <c r="F439" t="str">
        <v>つとむ</v>
      </c>
      <c r="G439" t="str">
        <v>つとめる。はげむ。力を出す。例：努力 書法「永字八法」の一つ。筆画の竪。縦画のこと。 ゆめ。ゆめゆめ。決して。「決して～するな」の意。</v>
      </c>
      <c r="H439" t="str">
        <v>#勇気 #繁栄</v>
      </c>
      <c r="I439">
        <v>90</v>
      </c>
      <c r="J439">
        <v>100</v>
      </c>
      <c r="K439">
        <v>25</v>
      </c>
      <c r="L439">
        <v>0</v>
      </c>
      <c r="M439">
        <f>VLOOKUP(A439,[1]kanji_data!$A:$N,14,FALSE)</f>
        <v>0</v>
      </c>
    </row>
    <row r="440">
      <c r="A440" t="str">
        <v>兵</v>
      </c>
      <c r="B440">
        <v>7</v>
      </c>
      <c r="C440" t="b">
        <v>1</v>
      </c>
      <c r="D440" t="str">
        <v>ヘイ ヒョウ</v>
      </c>
      <c r="E440" t="str">
        <v>いくさ つわもの</v>
      </c>
      <c r="F440" t="str">
        <v>たけ ひと むね</v>
      </c>
      <c r="G440" t="str">
        <v>いくさ。戦い。戦争。 つわもの。軍人。軍隊。兵士。 武器。また、武器で戦う者。兵器。</v>
      </c>
      <c r="H440" t="str">
        <v>#勇気</v>
      </c>
      <c r="I440">
        <v>10</v>
      </c>
      <c r="J440">
        <v>90</v>
      </c>
      <c r="K440">
        <v>35</v>
      </c>
      <c r="L440">
        <v>0</v>
      </c>
      <c r="M440">
        <f>VLOOKUP(A440,[1]kanji_data!$A:$N,14,FALSE)</f>
        <v>0</v>
      </c>
    </row>
    <row r="441">
      <c r="A441" t="str">
        <v>被</v>
      </c>
      <c r="B441">
        <v>10</v>
      </c>
      <c r="C441" t="b">
        <v>1</v>
      </c>
      <c r="D441" t="str">
        <v>ヒ</v>
      </c>
      <c r="E441" t="str">
        <v>こうむ（る） おお（う） かず（ける） かぶ（せる） かぶ（る）</v>
      </c>
      <c r="F441" t="str">
        <v>かず けさ まつ</v>
      </c>
      <c r="G441" t="str">
        <v>おおう。かぶる。おおいかぶせる。 こうむる。受ける。帯びる。身につける。 掛け布団。ふすま。寝巻き。夜着。 る。らる。受身をあらわす助字。</v>
      </c>
      <c r="I441">
        <v>30</v>
      </c>
      <c r="J441">
        <v>50</v>
      </c>
      <c r="K441">
        <v>50</v>
      </c>
      <c r="L441">
        <v>1</v>
      </c>
    </row>
    <row r="442">
      <c r="A442" t="str">
        <v>利</v>
      </c>
      <c r="B442">
        <v>7</v>
      </c>
      <c r="C442" t="b">
        <v>1</v>
      </c>
      <c r="D442" t="str">
        <v>リ</v>
      </c>
      <c r="E442" t="str">
        <v>き（く） するど（い） と（し） よ（い）</v>
      </c>
      <c r="F442" t="str">
        <v>かが かず さと と とおる とし のり まさ みち みのる よし より</v>
      </c>
      <c r="G442" t="str">
        <v>するどい。とし。よく切れる。 よい。都合がよい。役立つ。 もうけ。もうける。例：利息 利益 はたらきがよい。かしこい。さとい。 きく。きき。ききめがある。役に立つはたらきがある。 きく。ものを言う。話をする。</v>
      </c>
      <c r="H442" t="str">
        <v>#知性</v>
      </c>
      <c r="I442">
        <v>90</v>
      </c>
      <c r="J442">
        <v>65</v>
      </c>
      <c r="K442">
        <v>55</v>
      </c>
      <c r="L442">
        <v>0</v>
      </c>
      <c r="M442">
        <f>VLOOKUP(A442,[1]kanji_data!$A:$N,14,FALSE)</f>
        <v>0</v>
      </c>
    </row>
    <row r="443">
      <c r="A443" t="str">
        <v>良</v>
      </c>
      <c r="B443">
        <v>7</v>
      </c>
      <c r="C443" t="b">
        <v>1</v>
      </c>
      <c r="D443" t="str">
        <v>リョウ</v>
      </c>
      <c r="E443" t="str">
        <v>よ（い） やや</v>
      </c>
      <c r="F443" t="str">
        <v>あきら お かず かた さね すけ たか つか つかさ つぎ なおし なか なが ながし はる ひこ ひさ ふみ まこと み</v>
      </c>
      <c r="G443" t="str">
        <v>よい。すぐれている。勝っている。めでたい。富む。 すなお。おだやか。安らか。おとなしい。 夫。おっと。むこ。 本当に。まことに。実に。確かに。 やや。少し。かなり長い間。しばらくして。 賢者。すぐれた人。また、すぐれた馬。</v>
      </c>
      <c r="H443" t="str">
        <v>#品格 #幸福 #慈愛 #知性 #繁栄</v>
      </c>
      <c r="I443">
        <v>100</v>
      </c>
      <c r="J443">
        <v>65</v>
      </c>
      <c r="K443">
        <v>55</v>
      </c>
      <c r="L443">
        <v>0</v>
      </c>
      <c r="M443">
        <f>VLOOKUP(A443,[1]kanji_data!$A:$N,14,FALSE)</f>
        <v>0</v>
      </c>
    </row>
    <row r="444">
      <c r="A444" t="str">
        <v>疲</v>
      </c>
      <c r="B444">
        <v>10</v>
      </c>
      <c r="C444" t="b">
        <v>1</v>
      </c>
      <c r="D444" t="str">
        <v>ヒ</v>
      </c>
      <c r="E444" t="str">
        <v>つか（れる） つか（らす）</v>
      </c>
      <c r="F444">
        <v>0</v>
      </c>
      <c r="G444" t="str">
        <v>つかれる。つからす。おとろえる。くたびれる。</v>
      </c>
      <c r="I444">
        <v>10</v>
      </c>
      <c r="J444">
        <v>50</v>
      </c>
      <c r="K444">
        <v>50</v>
      </c>
      <c r="L444">
        <v>1</v>
      </c>
    </row>
    <row r="445">
      <c r="A445" t="str">
        <v>労</v>
      </c>
      <c r="B445">
        <v>7</v>
      </c>
      <c r="C445" t="b">
        <v>1</v>
      </c>
      <c r="D445" t="str">
        <v>ロウ</v>
      </c>
      <c r="E445" t="str">
        <v>いたわ（る） つか（れる） ねぎら（う） はたら（く）</v>
      </c>
      <c r="F445">
        <v>0</v>
      </c>
      <c r="G445" t="str">
        <v>はたらく。つとめる。仕事をする。 つかれる。骨を折る。例：疲労 苦労 手柄。功績。 いたわる。ねぎらう。苦労や働きをねぎらう。</v>
      </c>
      <c r="H445" t="str">
        <v>#慈愛</v>
      </c>
      <c r="I445">
        <v>10</v>
      </c>
      <c r="J445">
        <v>75</v>
      </c>
      <c r="K445">
        <v>45</v>
      </c>
      <c r="L445">
        <v>1</v>
      </c>
    </row>
    <row r="446">
      <c r="A446" t="str">
        <v>捕</v>
      </c>
      <c r="B446">
        <v>10</v>
      </c>
      <c r="C446" t="b">
        <v>1</v>
      </c>
      <c r="D446" t="str">
        <v>ホ ブ</v>
      </c>
      <c r="E446" t="str">
        <v>つか（まえる） つか（まる） と（らえる） と（らわれる） と（る）</v>
      </c>
      <c r="F446">
        <v>0</v>
      </c>
      <c r="G446" t="str">
        <v>とらえる。つかまえる。とる。逃げているものや罪人などをつかまえる。</v>
      </c>
      <c r="I446">
        <v>10</v>
      </c>
      <c r="J446">
        <v>50</v>
      </c>
      <c r="K446">
        <v>50</v>
      </c>
      <c r="L446">
        <v>1</v>
      </c>
    </row>
    <row r="447">
      <c r="A447" t="str">
        <v>快</v>
      </c>
      <c r="B447">
        <v>7</v>
      </c>
      <c r="C447" t="b">
        <v>1</v>
      </c>
      <c r="D447" t="str">
        <v>カイ ケ</v>
      </c>
      <c r="E447" t="str">
        <v>こころよ（い）</v>
      </c>
      <c r="F447" t="str">
        <v>はや やす よし</v>
      </c>
      <c r="G447" t="str">
        <v>こころよい。気持ちがよい。楽しい。喜ばしい。 はやい。すばやい。すみやか。 刃物の切れ味がよい。例：快刀</v>
      </c>
      <c r="H447" t="str">
        <v>#幸福 #心・志</v>
      </c>
      <c r="I447">
        <v>90</v>
      </c>
      <c r="J447">
        <v>100</v>
      </c>
      <c r="K447">
        <v>30</v>
      </c>
      <c r="L447">
        <v>0</v>
      </c>
      <c r="M447">
        <f>VLOOKUP(A447,[1]kanji_data!$A:$N,14,FALSE)</f>
        <v>0</v>
      </c>
    </row>
    <row r="448">
      <c r="A448" t="str">
        <v>技</v>
      </c>
      <c r="B448">
        <v>7</v>
      </c>
      <c r="C448" t="b">
        <v>1</v>
      </c>
      <c r="D448" t="str">
        <v>ギ</v>
      </c>
      <c r="E448" t="str">
        <v>わざ</v>
      </c>
      <c r="F448">
        <v>0</v>
      </c>
      <c r="G448" t="str">
        <v>わざ。うでまえ。すぐれた細工。 たくみ。すぐれた技術を持つ職人。</v>
      </c>
      <c r="H448" t="str">
        <v>#知性</v>
      </c>
      <c r="I448">
        <v>10</v>
      </c>
      <c r="J448">
        <v>70</v>
      </c>
      <c r="K448">
        <v>50</v>
      </c>
      <c r="L448">
        <v>0</v>
      </c>
      <c r="M448">
        <f>VLOOKUP(A448,[1]kanji_data!$A:$N,14,FALSE)</f>
        <v>0</v>
      </c>
    </row>
    <row r="449">
      <c r="A449" t="str">
        <v>均</v>
      </c>
      <c r="B449">
        <v>7</v>
      </c>
      <c r="C449" t="b">
        <v>1</v>
      </c>
      <c r="D449" t="str">
        <v>キン イン ウン</v>
      </c>
      <c r="E449" t="str">
        <v>ととの（える） なら（す） ひと（しい）</v>
      </c>
      <c r="F449" t="str">
        <v>お ただ なお なり ひとし ひら まさ</v>
      </c>
      <c r="G449" t="str">
        <v>ひとしい。ならす。同じ。同じにする。 ととのえる。つりあいがとれている。 響き。調和した響き。</v>
      </c>
      <c r="H449" t="str">
        <v>#調和</v>
      </c>
      <c r="I449">
        <v>30</v>
      </c>
      <c r="J449">
        <v>55</v>
      </c>
      <c r="K449">
        <v>55</v>
      </c>
      <c r="L449">
        <v>0</v>
      </c>
      <c r="M449">
        <f>VLOOKUP(A449,[1]kanji_data!$A:$N,14,FALSE)</f>
        <v>0</v>
      </c>
    </row>
    <row r="450">
      <c r="A450" t="str">
        <v>既</v>
      </c>
      <c r="B450">
        <v>10</v>
      </c>
      <c r="C450" t="b">
        <v>1</v>
      </c>
      <c r="D450" t="str">
        <v>キ</v>
      </c>
      <c r="E450" t="str">
        <v>すで（に）</v>
      </c>
      <c r="F450">
        <v>0</v>
      </c>
      <c r="G450" t="str">
        <v>すでに。もう。もはや。とっくに。 つきる。つくす。</v>
      </c>
      <c r="I450">
        <v>10</v>
      </c>
      <c r="J450">
        <v>50</v>
      </c>
      <c r="K450">
        <v>50</v>
      </c>
      <c r="L450">
        <v>1</v>
      </c>
    </row>
    <row r="451">
      <c r="A451" t="str">
        <v>志</v>
      </c>
      <c r="B451">
        <v>7</v>
      </c>
      <c r="C451" t="b">
        <v>1</v>
      </c>
      <c r="D451" t="str">
        <v>シ</v>
      </c>
      <c r="E451" t="str">
        <v>こころざし こころざ（す） しる（す）</v>
      </c>
      <c r="F451" t="str">
        <v>さね むね もと ゆき</v>
      </c>
      <c r="G451" t="str">
        <v>こころざす。ある目的や目標に心を向ける。 こころざし。心に決めた目的や目標。 しるす。おぼえる。記憶する。 しるす。書きつける。記録する。 書き記された記録。書物。 主典（さかん）。四等官で、衛門府・兵衛府などの第四位。 「志摩」の略。</v>
      </c>
      <c r="H451" t="str">
        <v>#勇気 #心・志 #繁栄</v>
      </c>
      <c r="I451">
        <v>100</v>
      </c>
      <c r="J451">
        <v>95</v>
      </c>
      <c r="K451">
        <v>35</v>
      </c>
      <c r="L451">
        <v>0</v>
      </c>
      <c r="M451">
        <f>VLOOKUP(A451,[1]kanji_data!$A:$N,14,FALSE)</f>
        <v>0</v>
      </c>
    </row>
    <row r="452">
      <c r="A452" t="str">
        <v>陥</v>
      </c>
      <c r="B452">
        <v>10</v>
      </c>
      <c r="C452" t="b">
        <v>1</v>
      </c>
      <c r="D452" t="str">
        <v>カン</v>
      </c>
      <c r="E452" t="str">
        <v>おちい（る） おとしい（れる）</v>
      </c>
      <c r="F452">
        <v>0</v>
      </c>
      <c r="G452" t="str">
        <v>おちいる。おとしいれる。穴に落ちこむ。落としこむ。 おちいる。おとしいれる。策略にはまる。計略にかける。 おちいる。おとしいれる。城などを攻め落とさせる。攻め落とす。 あな。落とし穴。 とおす。突きとおす。突きさす。</v>
      </c>
      <c r="I452">
        <v>10</v>
      </c>
      <c r="J452">
        <v>50</v>
      </c>
      <c r="K452">
        <v>50</v>
      </c>
      <c r="L452">
        <v>1</v>
      </c>
    </row>
    <row r="453">
      <c r="A453" t="str">
        <v>序</v>
      </c>
      <c r="B453">
        <v>7</v>
      </c>
      <c r="C453" t="b">
        <v>1</v>
      </c>
      <c r="D453" t="str">
        <v>ジョ</v>
      </c>
      <c r="E453" t="str">
        <v>つい（で） はしがき まなびや</v>
      </c>
      <c r="F453">
        <v>0</v>
      </c>
      <c r="G453" t="str">
        <v>ついで。順序。順番。次第。 まなびや。中国周代の学校。 はしがき。書物のはしがき。書物の一番初めに書く短い文章。 いとぐち。物事の始め。 ついで。本来の目的といっしょに別のことをおこなうことができる機会。 じょ。曲の初めの部分。</v>
      </c>
      <c r="H453" t="str">
        <v>#調和</v>
      </c>
      <c r="I453">
        <v>10</v>
      </c>
      <c r="J453">
        <v>60</v>
      </c>
      <c r="K453">
        <v>60</v>
      </c>
      <c r="L453">
        <v>0</v>
      </c>
      <c r="M453">
        <f>VLOOKUP(A453,[1]kanji_data!$A:$N,14,FALSE)</f>
        <v>0</v>
      </c>
    </row>
    <row r="454">
      <c r="A454" t="str">
        <v>宵</v>
      </c>
      <c r="B454">
        <v>10</v>
      </c>
      <c r="C454" t="b">
        <v>1</v>
      </c>
      <c r="D454" t="str">
        <v>ショウ</v>
      </c>
      <c r="E454" t="str">
        <v>よい</v>
      </c>
      <c r="F454">
        <v>0</v>
      </c>
      <c r="G454" t="str">
        <v>よい。日が暮れて暗くなりはじめたころ。 よる。日が暮れてから夜中まで間。 ちいさい。＝小</v>
      </c>
      <c r="I454">
        <v>10</v>
      </c>
      <c r="J454">
        <v>25</v>
      </c>
      <c r="K454">
        <v>100</v>
      </c>
      <c r="L454">
        <v>0</v>
      </c>
      <c r="M454">
        <f>VLOOKUP(A454,[1]kanji_data!$A:$N,14,FALSE)</f>
        <v>0</v>
      </c>
    </row>
    <row r="455">
      <c r="A455" t="str">
        <v>畝</v>
      </c>
      <c r="B455">
        <v>10</v>
      </c>
      <c r="C455" t="b">
        <v>1</v>
      </c>
      <c r="D455" t="str">
        <v>ホ ボウ</v>
      </c>
      <c r="E455" t="str">
        <v>うね せ</v>
      </c>
      <c r="F455">
        <v>0</v>
      </c>
      <c r="G455" t="str">
        <v>うね。畑のうね。 土地の面積の単位。 せ。田畑の面積の単位。</v>
      </c>
      <c r="I455">
        <v>10</v>
      </c>
      <c r="J455">
        <v>50</v>
      </c>
      <c r="K455">
        <v>50</v>
      </c>
      <c r="L455">
        <v>1</v>
      </c>
    </row>
    <row r="456">
      <c r="A456" t="str">
        <v>判</v>
      </c>
      <c r="B456">
        <v>7</v>
      </c>
      <c r="C456" t="b">
        <v>1</v>
      </c>
      <c r="D456" t="str">
        <v>ハン バン ホウ</v>
      </c>
      <c r="E456" t="str">
        <v>わか（る） わ（ける）</v>
      </c>
      <c r="F456">
        <v>0</v>
      </c>
      <c r="G456" t="str">
        <v>わかる。はっきりする。 わける。区別する。良し悪しなどを見分ける。 わかれる。離れる。分裂する。 かたわれ。半分。二つにわけたうちの一つ。 はん。昔の金貨。大判。小判。 はん。はんこ。印形。花押。 はん。紙などの大きさ。</v>
      </c>
      <c r="H456" t="str">
        <v>#知性 #花・彩</v>
      </c>
      <c r="I456">
        <v>10</v>
      </c>
      <c r="J456">
        <v>50</v>
      </c>
      <c r="K456">
        <v>50</v>
      </c>
      <c r="L456">
        <v>1</v>
      </c>
    </row>
    <row r="457">
      <c r="A457" t="str">
        <v>逐</v>
      </c>
      <c r="B457">
        <v>10</v>
      </c>
      <c r="C457" t="b">
        <v>1</v>
      </c>
      <c r="D457" t="str">
        <v>チク ジク</v>
      </c>
      <c r="E457" t="str">
        <v>お（う）</v>
      </c>
      <c r="F457">
        <v>0</v>
      </c>
      <c r="G457" t="str">
        <v>追う。追いかける。 追い払う。退ける。 順にしたがう。順をおう。 きそう。あらそう。</v>
      </c>
      <c r="I457">
        <v>10</v>
      </c>
      <c r="J457">
        <v>50</v>
      </c>
      <c r="K457">
        <v>50</v>
      </c>
      <c r="L457">
        <v>1</v>
      </c>
    </row>
    <row r="458">
      <c r="A458" t="str">
        <v>挨</v>
      </c>
      <c r="B458">
        <v>10</v>
      </c>
      <c r="C458" t="b">
        <v>1</v>
      </c>
      <c r="D458" t="str">
        <v>アイ</v>
      </c>
      <c r="E458" t="str">
        <v>お（す） ひら（く）</v>
      </c>
      <c r="F458">
        <v>0</v>
      </c>
      <c r="G458" t="str">
        <v>おす。ひらく。押しのける。押し合う。 せまる。すり寄る。近寄る。</v>
      </c>
      <c r="I458">
        <v>10</v>
      </c>
      <c r="J458">
        <v>50</v>
      </c>
      <c r="K458">
        <v>50</v>
      </c>
      <c r="L458">
        <v>1</v>
      </c>
    </row>
    <row r="459">
      <c r="A459" t="str">
        <v>俺</v>
      </c>
      <c r="B459">
        <v>10</v>
      </c>
      <c r="C459" t="b">
        <v>1</v>
      </c>
      <c r="D459" t="str">
        <v>エン</v>
      </c>
      <c r="E459" t="str">
        <v>おれ われ</v>
      </c>
      <c r="F459">
        <v>0</v>
      </c>
      <c r="G459" t="str">
        <v>おれ。われ。じぶん。一人称代名詞。</v>
      </c>
      <c r="I459">
        <v>10</v>
      </c>
      <c r="J459">
        <v>50</v>
      </c>
      <c r="K459">
        <v>50</v>
      </c>
      <c r="L459">
        <v>1</v>
      </c>
    </row>
    <row r="460">
      <c r="A460" t="str">
        <v>峨</v>
      </c>
      <c r="B460">
        <v>10</v>
      </c>
      <c r="C460" t="b">
        <v>0</v>
      </c>
      <c r="D460" t="str">
        <v>ガ</v>
      </c>
      <c r="E460" t="str">
        <v>けわ（しい）</v>
      </c>
      <c r="F460">
        <v>0</v>
      </c>
      <c r="G460" t="str">
        <v>けわしい。山がけわしくそびえるさま。</v>
      </c>
      <c r="I460">
        <v>10</v>
      </c>
      <c r="J460">
        <v>90</v>
      </c>
      <c r="K460">
        <v>35</v>
      </c>
      <c r="L460">
        <v>0</v>
      </c>
      <c r="M460">
        <f>VLOOKUP(A460,[1]kanji_data!$A:$N,14,FALSE)</f>
        <v>0</v>
      </c>
    </row>
    <row r="461">
      <c r="A461" t="str">
        <v>孝</v>
      </c>
      <c r="B461">
        <v>7</v>
      </c>
      <c r="C461" t="b">
        <v>1</v>
      </c>
      <c r="D461" t="str">
        <v>コウ キョウ</v>
      </c>
      <c r="E461">
        <v>0</v>
      </c>
      <c r="F461" t="str">
        <v>あつ たか たかし なり のり みち ゆき よし</v>
      </c>
      <c r="G461" t="str">
        <v>父母を大切にする。よく父母に仕える。 祖先を大切にする。祖先をあつく祭る。 喪服。また、喪に服すること。</v>
      </c>
      <c r="H461" t="str">
        <v>#慈愛</v>
      </c>
      <c r="I461">
        <v>95</v>
      </c>
      <c r="J461">
        <v>60</v>
      </c>
      <c r="K461">
        <v>50</v>
      </c>
      <c r="L461">
        <v>0</v>
      </c>
      <c r="M461">
        <f>VLOOKUP(A461,[1]kanji_data!$A:$N,14,FALSE)</f>
        <v>0</v>
      </c>
    </row>
    <row r="462">
      <c r="A462" t="str">
        <v>啄</v>
      </c>
      <c r="B462">
        <v>10</v>
      </c>
      <c r="C462" t="b">
        <v>0</v>
      </c>
      <c r="D462" t="str">
        <v>タク トク</v>
      </c>
      <c r="E462" t="str">
        <v>ついば（む）</v>
      </c>
      <c r="F462">
        <v>0</v>
      </c>
      <c r="G462" t="str">
        <v>ついばむ。鳥がくちばしでつついて、えさを食べる。 たたく。こつこつと叩く。鳥がくちばしでつつく。また、その音。 書法「永字八法」の一つ。筆画の趯。短い左はらいのこと。 鳥のくちばし。</v>
      </c>
      <c r="I462">
        <v>10</v>
      </c>
      <c r="J462">
        <v>70</v>
      </c>
      <c r="K462">
        <v>55</v>
      </c>
      <c r="L462">
        <v>0</v>
      </c>
      <c r="M462">
        <f>VLOOKUP(A462,[1]kanji_data!$A:$N,14,FALSE)</f>
        <v>0</v>
      </c>
    </row>
    <row r="463">
      <c r="A463" t="str">
        <v>黒</v>
      </c>
      <c r="B463">
        <v>11</v>
      </c>
      <c r="C463" t="b">
        <v>1</v>
      </c>
      <c r="D463" t="str">
        <v>コク</v>
      </c>
      <c r="E463" t="str">
        <v>くろ くろ（い）</v>
      </c>
      <c r="F463">
        <v>0</v>
      </c>
      <c r="G463" t="str">
        <v>くろ。くろい。色がくろい。 くろい。おろか。 くろい。悪い。正しくない。</v>
      </c>
      <c r="I463">
        <v>10</v>
      </c>
      <c r="J463">
        <v>50</v>
      </c>
      <c r="K463">
        <v>50</v>
      </c>
      <c r="L463">
        <v>1</v>
      </c>
    </row>
    <row r="464">
      <c r="A464" t="str">
        <v>週</v>
      </c>
      <c r="B464">
        <v>11</v>
      </c>
      <c r="C464" t="b">
        <v>1</v>
      </c>
      <c r="D464" t="str">
        <v>シュウ</v>
      </c>
      <c r="E464" t="str">
        <v>めぐ（る）</v>
      </c>
      <c r="F464">
        <v>0</v>
      </c>
      <c r="G464" t="str">
        <v>めぐる。めぐらす。ひとめぐりする。 ひとまわりするために要する時間の単位。しゅう。 しゅう。七日間を一回りとした日時の単位。</v>
      </c>
      <c r="I464">
        <v>10</v>
      </c>
      <c r="J464">
        <v>50</v>
      </c>
      <c r="K464">
        <v>50</v>
      </c>
      <c r="L464">
        <v>1</v>
      </c>
    </row>
    <row r="465">
      <c r="A465" t="str">
        <v>批</v>
      </c>
      <c r="B465">
        <v>7</v>
      </c>
      <c r="C465" t="b">
        <v>1</v>
      </c>
      <c r="D465" t="str">
        <v>ヒ</v>
      </c>
      <c r="E465" t="str">
        <v>う（つ） ただ（す）</v>
      </c>
      <c r="F465">
        <v>0</v>
      </c>
      <c r="G465" t="str">
        <v>うつ。たたく。ふれる。 ただす。正しくする。 よしあしを判断する。品定めをする。 臣下から提出された書類の終わりに、天子が書き示す決裁。</v>
      </c>
      <c r="H465" t="str">
        <v>#知性</v>
      </c>
      <c r="I465">
        <v>10</v>
      </c>
      <c r="J465">
        <v>50</v>
      </c>
      <c r="K465">
        <v>50</v>
      </c>
      <c r="L465">
        <v>1</v>
      </c>
    </row>
    <row r="466">
      <c r="A466" t="str">
        <v>忘</v>
      </c>
      <c r="B466">
        <v>7</v>
      </c>
      <c r="C466" t="b">
        <v>1</v>
      </c>
      <c r="D466" t="str">
        <v>ボウ モウ</v>
      </c>
      <c r="E466" t="str">
        <v>わす（れる）</v>
      </c>
      <c r="F466">
        <v>0</v>
      </c>
      <c r="G466" t="str">
        <v>わすれる。記憶からなくなる。おぼえていたことが思い出せなくなる。</v>
      </c>
      <c r="H466" t="str">
        <v>#心・志</v>
      </c>
      <c r="I466">
        <v>10</v>
      </c>
      <c r="J466">
        <v>35</v>
      </c>
      <c r="K466">
        <v>75</v>
      </c>
      <c r="L466">
        <v>1</v>
      </c>
    </row>
    <row r="467">
      <c r="A467" t="str">
        <v>悪</v>
      </c>
      <c r="B467">
        <v>11</v>
      </c>
      <c r="C467" t="b">
        <v>1</v>
      </c>
      <c r="D467" t="str">
        <v>アク オ</v>
      </c>
      <c r="E467" t="str">
        <v>わる（い） あ（し） いずく（んぞ） にく（む）</v>
      </c>
      <c r="F467">
        <v>0</v>
      </c>
      <c r="G467" t="str">
        <v>わるい。あし。よくない。正しくない。 わるい。あし。みにくい。不快。 わるい。あし。粗末。いいかげん。 にくむ。嫌う。嫌がる。 「いずくんぞ」と読み、「どうして～か」「どうして～であろうか」と反語の意を表す。 「いずくに」「いずくにか」と読み、「どこに～か」と疑問・反語の意を表す。</v>
      </c>
      <c r="I467">
        <v>10</v>
      </c>
      <c r="J467">
        <v>50</v>
      </c>
      <c r="K467">
        <v>50</v>
      </c>
      <c r="L467">
        <v>1</v>
      </c>
    </row>
    <row r="468">
      <c r="A468" t="str">
        <v>乱</v>
      </c>
      <c r="B468">
        <v>7</v>
      </c>
      <c r="C468" t="b">
        <v>1</v>
      </c>
      <c r="D468" t="str">
        <v>ラン ロン</v>
      </c>
      <c r="E468" t="str">
        <v>みだ（す） みだ（れる） みだ（りに）</v>
      </c>
      <c r="F468">
        <v>0</v>
      </c>
      <c r="G468" t="str">
        <v>みだす。みだれる。秩序がない。まとまらない。 みだれ。混乱。反乱。 みだりに。むやみに。やたらと。 わたる。川の流れを横切ってわたる。 音楽のまとめとなる最後の一節。</v>
      </c>
      <c r="H468" t="str">
        <v>#海・水</v>
      </c>
      <c r="I468">
        <v>10</v>
      </c>
      <c r="J468">
        <v>100</v>
      </c>
      <c r="K468">
        <v>25</v>
      </c>
      <c r="L468">
        <v>1</v>
      </c>
    </row>
    <row r="469">
      <c r="A469" t="str">
        <v>壱</v>
      </c>
      <c r="B469">
        <v>7</v>
      </c>
      <c r="C469" t="b">
        <v>1</v>
      </c>
      <c r="D469" t="str">
        <v>イチ イツ</v>
      </c>
      <c r="E469" t="str">
        <v>ひと（つ）</v>
      </c>
      <c r="F469" t="str">
        <v>かず さね もろ</v>
      </c>
      <c r="G469" t="str">
        <v>ひとつ。一。数の名。 すべて。もっぱら。まったく。ひとえに。 ひとたび。一度。 契約書や証書などの文書で数字を表すとき、書き換えを防ぐために「一」の代わりに用いる文字。大字。</v>
      </c>
      <c r="H469" t="str">
        <v>#心・志</v>
      </c>
      <c r="I469">
        <v>60</v>
      </c>
      <c r="J469">
        <v>60</v>
      </c>
      <c r="K469">
        <v>50</v>
      </c>
      <c r="L469">
        <v>0</v>
      </c>
      <c r="M469">
        <f>VLOOKUP(A469,[1]kanji_data!$A:$N,14,FALSE)</f>
        <v>0</v>
      </c>
    </row>
    <row r="470">
      <c r="A470" t="str">
        <v>第</v>
      </c>
      <c r="B470">
        <v>11</v>
      </c>
      <c r="C470" t="b">
        <v>1</v>
      </c>
      <c r="D470" t="str">
        <v>ダイ テイ</v>
      </c>
      <c r="E470" t="str">
        <v>つい（で） やしき</v>
      </c>
      <c r="F470">
        <v>0</v>
      </c>
      <c r="G470" t="str">
        <v>順序。ついで。 順序を定める。 しな。階級。等級。 やしき。家。 試験。試験に合格すること。例：及第 ただ。しばらく。限定や強調を表す助字。</v>
      </c>
      <c r="I470">
        <v>10</v>
      </c>
      <c r="J470">
        <v>50</v>
      </c>
      <c r="K470">
        <v>50</v>
      </c>
      <c r="L470">
        <v>1</v>
      </c>
    </row>
    <row r="471">
      <c r="A471" t="str">
        <v>含</v>
      </c>
      <c r="B471">
        <v>7</v>
      </c>
      <c r="C471" t="b">
        <v>1</v>
      </c>
      <c r="D471" t="str">
        <v>ガン カン ゴン</v>
      </c>
      <c r="E471" t="str">
        <v>ふく（む） ふく（める）</v>
      </c>
      <c r="F471">
        <v>0</v>
      </c>
      <c r="G471" t="str">
        <v>ふくむ。口の中にいれる。 つつみもつ。中に包んで持つ。収め入れる。 昔の葬礼で、死者の口の中にふくませた玉。 ふくめる。言い聞かせる。説明して納得させる。</v>
      </c>
      <c r="H471" t="str">
        <v>#品格</v>
      </c>
      <c r="I471">
        <v>10</v>
      </c>
      <c r="J471">
        <v>35</v>
      </c>
      <c r="K471">
        <v>70</v>
      </c>
      <c r="L471">
        <v>0</v>
      </c>
      <c r="M471">
        <f>VLOOKUP(A471,[1]kanji_data!$A:$N,14,FALSE)</f>
        <v>0</v>
      </c>
    </row>
    <row r="472">
      <c r="A472" t="str">
        <v>帳</v>
      </c>
      <c r="B472">
        <v>11</v>
      </c>
      <c r="C472" t="b">
        <v>1</v>
      </c>
      <c r="D472" t="str">
        <v>チョウ</v>
      </c>
      <c r="E472" t="str">
        <v>とばり はり</v>
      </c>
      <c r="F472">
        <v>0</v>
      </c>
      <c r="G472" t="str">
        <v>とばり。室内にたれ下げる布。カーテン。 はり。とばりや幕などを数える語。 ものを書き記すために複数の紙をとじて作ったもの。帳面。ノート。</v>
      </c>
      <c r="I472">
        <v>10</v>
      </c>
      <c r="J472">
        <v>50</v>
      </c>
      <c r="K472">
        <v>50</v>
      </c>
      <c r="L472">
        <v>1</v>
      </c>
    </row>
    <row r="473">
      <c r="A473" t="str">
        <v>狂</v>
      </c>
      <c r="B473">
        <v>7</v>
      </c>
      <c r="C473" t="b">
        <v>1</v>
      </c>
      <c r="D473" t="str">
        <v>キョウ</v>
      </c>
      <c r="E473" t="str">
        <v>くる（う） くる（おしい） ふ（れる）</v>
      </c>
      <c r="F473">
        <v>0</v>
      </c>
      <c r="G473" t="str">
        <v>くるう。気がちがう。普通でなくなる。正常でないさま。 常軌を逸する。他をかえりみないほど熱中する。 ふざける。こっけい。おどける。 くるおしい。心が乱れている。精神が正常な状態でない。 たけりくるう。荒れくるう。 くるう。調子がおかしくなる。ねらいがはずれる。</v>
      </c>
      <c r="H473" t="str">
        <v>#心・志</v>
      </c>
      <c r="I473">
        <v>0</v>
      </c>
      <c r="J473">
        <v>50</v>
      </c>
      <c r="K473">
        <v>50</v>
      </c>
      <c r="L473">
        <v>1</v>
      </c>
    </row>
    <row r="474">
      <c r="A474" t="str">
        <v>迎</v>
      </c>
      <c r="B474">
        <v>7</v>
      </c>
      <c r="C474" t="b">
        <v>1</v>
      </c>
      <c r="D474" t="str">
        <v>ゲイ ギョウ ゴウ</v>
      </c>
      <c r="E474" t="str">
        <v>むか（える）</v>
      </c>
      <c r="F474">
        <v>0</v>
      </c>
      <c r="G474" t="str">
        <v>むかえる。もてなす。来るものを待ち受ける。出迎える。 相手の気持ちに合わせる。人の気に入るようにする。 むかえにいく。むかえに行って連れて来る。</v>
      </c>
      <c r="H474" t="str">
        <v>#心・志</v>
      </c>
      <c r="I474">
        <v>10</v>
      </c>
      <c r="J474">
        <v>70</v>
      </c>
      <c r="K474">
        <v>50</v>
      </c>
      <c r="L474">
        <v>0</v>
      </c>
      <c r="M474">
        <f>VLOOKUP(A474,[1]kanji_data!$A:$N,14,FALSE)</f>
        <v>0</v>
      </c>
    </row>
    <row r="475">
      <c r="A475" t="str">
        <v>問</v>
      </c>
      <c r="B475">
        <v>11</v>
      </c>
      <c r="C475" t="b">
        <v>1</v>
      </c>
      <c r="D475" t="str">
        <v>モン ブン</v>
      </c>
      <c r="E475" t="str">
        <v>と（い） と（う） とん たず（ねる） たよ（り）</v>
      </c>
      <c r="F475">
        <v>0</v>
      </c>
      <c r="G475" t="str">
        <v>とい。とう。たずねる。知らないことや分からないことなどを聞いてたずねる。 とう。罪を問いただす。追及する。 とう。たずねる。おとずれる。人をたずねる。また、人がおとずれる。 たより。手紙。知らせ。 とん。問屋（とんや・といや）は昔の卸売業者。</v>
      </c>
      <c r="I475">
        <v>10</v>
      </c>
      <c r="J475">
        <v>50</v>
      </c>
      <c r="K475">
        <v>50</v>
      </c>
      <c r="L475">
        <v>1</v>
      </c>
    </row>
    <row r="476">
      <c r="A476" t="str">
        <v>貨</v>
      </c>
      <c r="B476">
        <v>11</v>
      </c>
      <c r="C476" t="b">
        <v>1</v>
      </c>
      <c r="D476" t="str">
        <v>カ</v>
      </c>
      <c r="E476" t="str">
        <v>たから</v>
      </c>
      <c r="F476">
        <v>0</v>
      </c>
      <c r="G476" t="str">
        <v>たから。金銭。品物。 まいなう。たからを贈る。買収する。わいろをつかう。 物品を売る。</v>
      </c>
      <c r="I476">
        <v>10</v>
      </c>
      <c r="J476">
        <v>50</v>
      </c>
      <c r="K476">
        <v>50</v>
      </c>
      <c r="L476">
        <v>1</v>
      </c>
    </row>
    <row r="477">
      <c r="A477" t="str">
        <v>攻</v>
      </c>
      <c r="B477">
        <v>7</v>
      </c>
      <c r="C477" t="b">
        <v>1</v>
      </c>
      <c r="D477" t="str">
        <v>コウ</v>
      </c>
      <c r="E477" t="str">
        <v>せ（める） おさ（める） みが（く）</v>
      </c>
      <c r="F477" t="str">
        <v>おさむ</v>
      </c>
      <c r="G477" t="str">
        <v>せめる。敵をうつ。攻撃する。 せめる。とがめる。なじる。 おさめる。みがく。玉をみがく。転じて、学んだり研究したりする。</v>
      </c>
      <c r="H477" t="str">
        <v>#繁栄</v>
      </c>
      <c r="I477">
        <v>5</v>
      </c>
      <c r="J477">
        <v>65</v>
      </c>
      <c r="K477">
        <v>50</v>
      </c>
      <c r="L477">
        <v>1</v>
      </c>
    </row>
    <row r="478">
      <c r="A478" t="str">
        <v>械</v>
      </c>
      <c r="B478">
        <v>11</v>
      </c>
      <c r="C478" t="b">
        <v>1</v>
      </c>
      <c r="D478" t="str">
        <v>カイ</v>
      </c>
      <c r="E478" t="str">
        <v>かせ からくり</v>
      </c>
      <c r="F478">
        <v>0</v>
      </c>
      <c r="G478" t="str">
        <v>かせ。罪人の手や足にはめる刑具。 からくり。仕掛け。</v>
      </c>
      <c r="I478">
        <v>10</v>
      </c>
      <c r="J478">
        <v>50</v>
      </c>
      <c r="K478">
        <v>50</v>
      </c>
      <c r="L478">
        <v>1</v>
      </c>
    </row>
    <row r="479">
      <c r="A479" t="str">
        <v>秀</v>
      </c>
      <c r="B479">
        <v>7</v>
      </c>
      <c r="C479" t="b">
        <v>1</v>
      </c>
      <c r="D479" t="str">
        <v>シュウ</v>
      </c>
      <c r="E479" t="str">
        <v>ひい（でる）</v>
      </c>
      <c r="F479" t="str">
        <v>さかえ しげる すえ ひいず ひで ひでし ほ ほず ほら みつ みのる よし</v>
      </c>
      <c r="G479" t="str">
        <v>ひいでる。すぐれる。のびる。のび出る。ぬきんでる。 芽が出る。花が咲く。</v>
      </c>
      <c r="H479" t="str">
        <v>#品格 #繁栄 #自然 #花・彩</v>
      </c>
      <c r="I479">
        <v>98</v>
      </c>
      <c r="J479">
        <v>45</v>
      </c>
      <c r="K479">
        <v>85</v>
      </c>
      <c r="L479">
        <v>0</v>
      </c>
      <c r="M479">
        <f>VLOOKUP(A479,[1]kanji_data!$A:$N,14,FALSE)</f>
        <v>0</v>
      </c>
    </row>
    <row r="480">
      <c r="A480" t="str">
        <v>停</v>
      </c>
      <c r="B480">
        <v>11</v>
      </c>
      <c r="C480" t="b">
        <v>1</v>
      </c>
      <c r="D480" t="str">
        <v>テイ</v>
      </c>
      <c r="E480" t="str">
        <v>とど（まる） と（まる）</v>
      </c>
      <c r="F480" t="str">
        <v>とどむ</v>
      </c>
      <c r="G480" t="str">
        <v>とまる。とどまる。 やめる。とどめる。 とどこおる。はかどらない。</v>
      </c>
      <c r="I480">
        <v>30</v>
      </c>
      <c r="J480">
        <v>50</v>
      </c>
      <c r="K480">
        <v>50</v>
      </c>
      <c r="L480">
        <v>1</v>
      </c>
    </row>
    <row r="481">
      <c r="A481" t="str">
        <v>敗</v>
      </c>
      <c r="B481">
        <v>11</v>
      </c>
      <c r="C481" t="b">
        <v>1</v>
      </c>
      <c r="D481" t="str">
        <v>ハイ</v>
      </c>
      <c r="E481" t="str">
        <v>やぶ（れる） ま（ける） やぶ（る）</v>
      </c>
      <c r="F481">
        <v>0</v>
      </c>
      <c r="G481" t="str">
        <v>やぶれる。まける。戦いに負ける。 やぶれる。だめになる。そこなわれる。こわれる。 やぶる。だめにする。そこなう。こわす。</v>
      </c>
      <c r="I481">
        <v>10</v>
      </c>
      <c r="J481">
        <v>50</v>
      </c>
      <c r="K481">
        <v>50</v>
      </c>
      <c r="L481">
        <v>1</v>
      </c>
    </row>
    <row r="482">
      <c r="A482" t="str">
        <v>移</v>
      </c>
      <c r="B482">
        <v>11</v>
      </c>
      <c r="C482" t="b">
        <v>1</v>
      </c>
      <c r="D482" t="str">
        <v>イ</v>
      </c>
      <c r="E482" t="str">
        <v>うつ（す） うつ（る）</v>
      </c>
      <c r="F482">
        <v>0</v>
      </c>
      <c r="G482" t="str">
        <v>うつる。動く。変わる。 うつす。動かす。変える。 まわしぶみ。文書を次々に回す。回覧文。 うつる。色が変わる。</v>
      </c>
      <c r="I482">
        <v>10</v>
      </c>
      <c r="J482">
        <v>50</v>
      </c>
      <c r="K482">
        <v>50</v>
      </c>
      <c r="L482">
        <v>1</v>
      </c>
    </row>
    <row r="483">
      <c r="A483" t="str">
        <v>沢</v>
      </c>
      <c r="B483">
        <v>7</v>
      </c>
      <c r="C483" t="b">
        <v>1</v>
      </c>
      <c r="D483" t="str">
        <v>タク</v>
      </c>
      <c r="E483" t="str">
        <v>さわ うるお（う） つや</v>
      </c>
      <c r="F483">
        <v>0</v>
      </c>
      <c r="G483" t="str">
        <v>さわ。水が浅くたまっているところ。草木の茂った湿地帯。 つや。かがやき。ひかり。つやつやしい。つやがある。 うるおう。うるおす。ぬらす。めぐむ。なさけ。 こする。もむ。</v>
      </c>
      <c r="H483" t="str">
        <v>#慈愛 #海・水 #自然</v>
      </c>
      <c r="I483">
        <v>40</v>
      </c>
      <c r="J483">
        <v>35</v>
      </c>
      <c r="K483">
        <v>75</v>
      </c>
      <c r="L483">
        <v>0</v>
      </c>
      <c r="M483">
        <f>VLOOKUP(A483,[1]kanji_data!$A:$N,14,FALSE)</f>
        <v>0</v>
      </c>
    </row>
    <row r="484">
      <c r="A484" t="str">
        <v>沖</v>
      </c>
      <c r="B484">
        <v>7</v>
      </c>
      <c r="C484" t="b">
        <v>1</v>
      </c>
      <c r="D484" t="str">
        <v>チュウ</v>
      </c>
      <c r="E484" t="str">
        <v>おき と（ぶ） むな（しい）</v>
      </c>
      <c r="F484">
        <v>0</v>
      </c>
      <c r="G484" t="str">
        <v>わく。水がわき上がる。 むなしい。むなしくする。 おだやか。かたよらない。たしかに。 おさない。いとけない。 深い。奥深い。 おき。海や湖などで、岸から離れた水上。</v>
      </c>
      <c r="H484" t="str">
        <v>#慈愛 #海・水 #繁栄</v>
      </c>
      <c r="I484">
        <v>10</v>
      </c>
      <c r="J484">
        <v>80</v>
      </c>
      <c r="K484">
        <v>45</v>
      </c>
      <c r="L484">
        <v>0</v>
      </c>
      <c r="M484">
        <f>VLOOKUP(A484,[1]kanji_data!$A:$N,14,FALSE)</f>
        <v>0</v>
      </c>
    </row>
    <row r="485">
      <c r="A485" t="str">
        <v>沈</v>
      </c>
      <c r="B485">
        <v>7</v>
      </c>
      <c r="C485" t="b">
        <v>1</v>
      </c>
      <c r="D485" t="str">
        <v>チン ジン</v>
      </c>
      <c r="E485" t="str">
        <v>しず（む） しず（める）</v>
      </c>
      <c r="F485">
        <v>0</v>
      </c>
      <c r="G485" t="str">
        <v>しずむ。しずめる。深入りする。水中に深く入る。 気がしずむ。気がふさがる。落ち込む。思いにしずむ。 しずか。ものしずか。落ち着いている。 とどまる。とどこおる。</v>
      </c>
      <c r="H485" t="str">
        <v>#心・志</v>
      </c>
      <c r="I485">
        <v>10</v>
      </c>
      <c r="J485">
        <v>55</v>
      </c>
      <c r="K485">
        <v>60</v>
      </c>
      <c r="L485">
        <v>1</v>
      </c>
    </row>
    <row r="486">
      <c r="A486" t="str">
        <v>抜</v>
      </c>
      <c r="B486">
        <v>7</v>
      </c>
      <c r="C486" t="b">
        <v>1</v>
      </c>
      <c r="D486" t="str">
        <v>バツ</v>
      </c>
      <c r="E486" t="str">
        <v>ぬ（かす） ぬ（かる） ぬ（く） ぬ（ける）</v>
      </c>
      <c r="F486">
        <v>0</v>
      </c>
      <c r="G486" t="str">
        <v>ぬく。ぬける。引きぬく。ぬき出す。 ぬく。攻め落とす。攻め取る。 ぬける。ぬきんでる。 ぬく。ぬかす。ぬける。間を飛ばす。省略する。漏らす。 ぬかる。大事なことに気づかずに失敗する。また、油断して失敗する。</v>
      </c>
      <c r="H486" t="str">
        <v>#品格 #繁栄</v>
      </c>
      <c r="I486">
        <v>10</v>
      </c>
      <c r="J486">
        <v>70</v>
      </c>
      <c r="K486">
        <v>50</v>
      </c>
      <c r="L486">
        <v>0</v>
      </c>
      <c r="M486">
        <f>VLOOKUP(A486,[1]kanji_data!$A:$N,14,FALSE)</f>
        <v>0</v>
      </c>
    </row>
    <row r="487">
      <c r="A487" t="str">
        <v>液</v>
      </c>
      <c r="B487">
        <v>11</v>
      </c>
      <c r="C487" t="b">
        <v>1</v>
      </c>
      <c r="D487" t="str">
        <v>エキ</v>
      </c>
      <c r="E487" t="str">
        <v>しる わき</v>
      </c>
      <c r="F487">
        <v>0</v>
      </c>
      <c r="G487" t="str">
        <v>しる。つゆ。物の内部から出るしる。水状のもの。 わき。かたわら。両わき。</v>
      </c>
      <c r="I487">
        <v>10</v>
      </c>
      <c r="J487">
        <v>50</v>
      </c>
      <c r="K487">
        <v>50</v>
      </c>
      <c r="L487">
        <v>1</v>
      </c>
    </row>
    <row r="488">
      <c r="A488" t="str">
        <v>険</v>
      </c>
      <c r="B488">
        <v>11</v>
      </c>
      <c r="C488" t="b">
        <v>1</v>
      </c>
      <c r="D488" t="str">
        <v>ケン</v>
      </c>
      <c r="E488" t="str">
        <v>けわ（しい）</v>
      </c>
      <c r="F488">
        <v>0</v>
      </c>
      <c r="G488" t="str">
        <v>けわしい。山が切り立っている。 けわしい。あぶない。あやうい。 けわしい所。平らでない所。 きびしい。きつい。とげとげしい。</v>
      </c>
      <c r="I488">
        <v>10</v>
      </c>
      <c r="J488">
        <v>50</v>
      </c>
      <c r="K488">
        <v>50</v>
      </c>
      <c r="L488">
        <v>1</v>
      </c>
    </row>
    <row r="489">
      <c r="A489" t="str">
        <v>妙</v>
      </c>
      <c r="B489">
        <v>7</v>
      </c>
      <c r="C489" t="b">
        <v>1</v>
      </c>
      <c r="D489" t="str">
        <v>ミョウ ビョウ</v>
      </c>
      <c r="E489" t="str">
        <v>たえ わか（い）</v>
      </c>
      <c r="F489" t="str">
        <v>ただ たゆ とう</v>
      </c>
      <c r="G489" t="str">
        <v>たえ。非常に巧みですぐれている。 たえ。きわめて美しい。 わかい。年がわかい。 みょう。普通でない。不思議。</v>
      </c>
      <c r="H489" t="str">
        <v>#花・彩</v>
      </c>
      <c r="I489">
        <v>70</v>
      </c>
      <c r="J489">
        <v>50</v>
      </c>
      <c r="K489">
        <v>75</v>
      </c>
      <c r="L489">
        <v>0</v>
      </c>
      <c r="M489">
        <f>VLOOKUP(A489,[1]kanji_data!$A:$N,14,FALSE)</f>
        <v>0</v>
      </c>
    </row>
    <row r="490">
      <c r="A490" t="str">
        <v>肝</v>
      </c>
      <c r="B490">
        <v>7</v>
      </c>
      <c r="C490" t="b">
        <v>1</v>
      </c>
      <c r="D490" t="str">
        <v>カン</v>
      </c>
      <c r="E490" t="str">
        <v>きも</v>
      </c>
      <c r="F490">
        <v>0</v>
      </c>
      <c r="G490" t="str">
        <v>きも。肝臓。 こころ。まごころ。心の中。 かなめ。要所。</v>
      </c>
      <c r="H490" t="str">
        <v>#心・志</v>
      </c>
      <c r="I490">
        <v>10</v>
      </c>
      <c r="J490">
        <v>45</v>
      </c>
      <c r="K490">
        <v>70</v>
      </c>
      <c r="L490">
        <v>1</v>
      </c>
    </row>
    <row r="491">
      <c r="A491" t="str">
        <v>異</v>
      </c>
      <c r="B491">
        <v>11</v>
      </c>
      <c r="C491" t="b">
        <v>1</v>
      </c>
      <c r="D491" t="str">
        <v>イ</v>
      </c>
      <c r="E491" t="str">
        <v>こと あや（しい）</v>
      </c>
      <c r="F491">
        <v>0</v>
      </c>
      <c r="G491" t="str">
        <v>ことなる。ことにする。同じではない。 普通でない。普通とは違う。めずらしい。あやしい。ふしぎである。 ことにする。別々にする。区別する。</v>
      </c>
      <c r="I491">
        <v>10</v>
      </c>
      <c r="J491">
        <v>50</v>
      </c>
      <c r="K491">
        <v>50</v>
      </c>
      <c r="L491">
        <v>1</v>
      </c>
    </row>
    <row r="492">
      <c r="A492" t="str">
        <v>域</v>
      </c>
      <c r="B492">
        <v>11</v>
      </c>
      <c r="C492" t="b">
        <v>1</v>
      </c>
      <c r="D492" t="str">
        <v>イキ ヨク</v>
      </c>
      <c r="E492" t="str">
        <v>さかい ところ</v>
      </c>
      <c r="F492">
        <v>0</v>
      </c>
      <c r="G492" t="str">
        <v>さかい。くぎり。ところ。くぎられた土地。一定の地域の中。 くに。領土。国土。 ある一定の範囲。限定された範囲。</v>
      </c>
      <c r="I492">
        <v>10</v>
      </c>
      <c r="J492">
        <v>50</v>
      </c>
      <c r="K492">
        <v>50</v>
      </c>
      <c r="L492">
        <v>1</v>
      </c>
    </row>
    <row r="493">
      <c r="A493" t="str">
        <v>閉</v>
      </c>
      <c r="B493">
        <v>11</v>
      </c>
      <c r="C493" t="b">
        <v>1</v>
      </c>
      <c r="D493" t="str">
        <v>ヘイ</v>
      </c>
      <c r="E493" t="str">
        <v>し（まる） し（める） と（じる） と（ざす） た（てる）</v>
      </c>
      <c r="F493">
        <v>0</v>
      </c>
      <c r="G493" t="str">
        <v>とじる。とざす。しめる。しまる。 とじる。やめる。終わりにする。 とじこめる。また、とじこもる。 かぎ。門のかんぬきを差しこむ穴。</v>
      </c>
      <c r="I493">
        <v>10</v>
      </c>
      <c r="J493">
        <v>50</v>
      </c>
      <c r="K493">
        <v>50</v>
      </c>
      <c r="L493">
        <v>1</v>
      </c>
    </row>
    <row r="494">
      <c r="A494" t="str">
        <v>克</v>
      </c>
      <c r="B494">
        <v>7</v>
      </c>
      <c r="C494" t="b">
        <v>1</v>
      </c>
      <c r="D494" t="str">
        <v>コク</v>
      </c>
      <c r="E494" t="str">
        <v>か（つ） よ（く）</v>
      </c>
      <c r="F494" t="str">
        <v>いそし かつ かつみ すぐる たえ なり まさる よし</v>
      </c>
      <c r="G494" t="str">
        <v>かつ。困難にうちかつ。争いに勝つ。 よく。十分に。 よくする。物事の上手に行う能力がある。</v>
      </c>
      <c r="H494" t="str">
        <v>#知性</v>
      </c>
      <c r="I494">
        <v>90</v>
      </c>
      <c r="J494">
        <v>65</v>
      </c>
      <c r="K494">
        <v>50</v>
      </c>
      <c r="L494">
        <v>0</v>
      </c>
      <c r="M494">
        <f>VLOOKUP(A494,[1]kanji_data!$A:$N,14,FALSE)</f>
        <v>0</v>
      </c>
    </row>
    <row r="495">
      <c r="A495" t="str">
        <v>寿</v>
      </c>
      <c r="B495">
        <v>7</v>
      </c>
      <c r="C495" t="b">
        <v>1</v>
      </c>
      <c r="D495" t="str">
        <v>ジュ ス</v>
      </c>
      <c r="E495" t="str">
        <v>ことぶき いのちなが（し） ことほ（ぐ） とし ひさ（しい）</v>
      </c>
      <c r="F495" t="str">
        <v>かず ず のぶ ひさ ひさし よし</v>
      </c>
      <c r="G495" t="str">
        <v>ひさしい。いのちながし。長生きである。寿命が長い。 とし。よわい。年齢。 ことぶき。ことほぐ。長命を喜び祝う。 ことぶき。ことほぐ。めでたいことを喜び祝う。また、その言葉。</v>
      </c>
      <c r="H495" t="str">
        <v>#健康 #幸福 #自然</v>
      </c>
      <c r="I495">
        <v>98</v>
      </c>
      <c r="J495">
        <v>55</v>
      </c>
      <c r="K495">
        <v>60</v>
      </c>
      <c r="L495">
        <v>0</v>
      </c>
      <c r="M495">
        <f>VLOOKUP(A495,[1]kanji_data!$A:$N,14,FALSE)</f>
        <v>0</v>
      </c>
    </row>
    <row r="496">
      <c r="A496" t="str">
        <v>伸</v>
      </c>
      <c r="B496">
        <v>7</v>
      </c>
      <c r="C496" t="b">
        <v>1</v>
      </c>
      <c r="D496" t="str">
        <v>シン</v>
      </c>
      <c r="E496" t="str">
        <v>の（ばす） の（びる） の（べる） の（す） の（る）</v>
      </c>
      <c r="F496" t="str">
        <v>ただ のぶ のぶる のぼる</v>
      </c>
      <c r="G496" t="str">
        <v>のばす。のびる。真っ直ぐにする。長くする。 述べる。申す。 無実の罪の疑いを晴らす。例：伸冤（しんえん） のす。のばし広げる。勢力などが拡大する。 のる。背のび。体を長くのばす。</v>
      </c>
      <c r="H496" t="str">
        <v>#健康 #天空 #繁栄</v>
      </c>
      <c r="I496">
        <v>95</v>
      </c>
      <c r="J496">
        <v>75</v>
      </c>
      <c r="K496">
        <v>50</v>
      </c>
      <c r="L496">
        <v>0</v>
      </c>
      <c r="M496">
        <f>VLOOKUP(A496,[1]kanji_data!$A:$N,14,FALSE)</f>
        <v>0</v>
      </c>
    </row>
    <row r="497">
      <c r="A497" t="str">
        <v>訪</v>
      </c>
      <c r="B497">
        <v>11</v>
      </c>
      <c r="C497" t="b">
        <v>1</v>
      </c>
      <c r="D497" t="str">
        <v>ホウ</v>
      </c>
      <c r="E497" t="str">
        <v>たず（ねる） おとず（れる） おとな（う） と（う）</v>
      </c>
      <c r="F497">
        <v>0</v>
      </c>
      <c r="G497" t="str">
        <v>たずねる。おとずれる。とう。人をたずね問う。訪問する。 たずねる。たずね求める。さがし求める。</v>
      </c>
      <c r="I497">
        <v>10</v>
      </c>
      <c r="J497">
        <v>50</v>
      </c>
      <c r="K497">
        <v>50</v>
      </c>
      <c r="L497">
        <v>1</v>
      </c>
    </row>
    <row r="498">
      <c r="A498" t="str">
        <v>訳</v>
      </c>
      <c r="B498">
        <v>11</v>
      </c>
      <c r="C498" t="b">
        <v>1</v>
      </c>
      <c r="D498" t="str">
        <v>ヤク エキ</v>
      </c>
      <c r="E498" t="str">
        <v>わけ と（く）</v>
      </c>
      <c r="F498">
        <v>0</v>
      </c>
      <c r="G498" t="str">
        <v>やくす。やく。あることばを他のことばに変えて意味を伝える。また、そのことば。 とく。ときあかす。解釈する。 わけ。意味、また理由。事情。</v>
      </c>
      <c r="I498">
        <v>10</v>
      </c>
      <c r="J498">
        <v>50</v>
      </c>
      <c r="K498">
        <v>50</v>
      </c>
      <c r="L498">
        <v>1</v>
      </c>
    </row>
    <row r="499">
      <c r="A499" t="str">
        <v>脚</v>
      </c>
      <c r="B499">
        <v>11</v>
      </c>
      <c r="C499" t="b">
        <v>1</v>
      </c>
      <c r="D499" t="str">
        <v>キャク キャ カク</v>
      </c>
      <c r="E499" t="str">
        <v>あし</v>
      </c>
      <c r="F499">
        <v>0</v>
      </c>
      <c r="G499" t="str">
        <v>あし。あし全体。 ひざの下。すね。 物の下について支えの役割をするもの。 足のある物を数える助数詞。</v>
      </c>
      <c r="I499">
        <v>10</v>
      </c>
      <c r="J499">
        <v>50</v>
      </c>
      <c r="K499">
        <v>50</v>
      </c>
      <c r="L499">
        <v>1</v>
      </c>
    </row>
    <row r="500">
      <c r="A500" t="str">
        <v>伴</v>
      </c>
      <c r="B500">
        <v>7</v>
      </c>
      <c r="C500" t="b">
        <v>1</v>
      </c>
      <c r="D500" t="str">
        <v>ハン バン</v>
      </c>
      <c r="E500" t="str">
        <v>ともな（う） とも</v>
      </c>
      <c r="F500">
        <v>0</v>
      </c>
      <c r="G500" t="str">
        <v>ともなう。連れ立つ。一緒に行く。 とも。行動をともにする人。仲間。</v>
      </c>
      <c r="H500" t="str">
        <v>#調和</v>
      </c>
      <c r="I500">
        <v>10</v>
      </c>
      <c r="J500">
        <v>60</v>
      </c>
      <c r="K500">
        <v>60</v>
      </c>
      <c r="L500">
        <v>0</v>
      </c>
      <c r="M500">
        <f>VLOOKUP(A500,[1]kanji_data!$A:$N,14,FALSE)</f>
        <v>0</v>
      </c>
    </row>
    <row r="501">
      <c r="A501" t="str">
        <v>芳</v>
      </c>
      <c r="B501">
        <v>7</v>
      </c>
      <c r="C501" t="b">
        <v>1</v>
      </c>
      <c r="D501" t="str">
        <v>ホウ</v>
      </c>
      <c r="E501" t="str">
        <v>かんば（しい） かお（り） かぐわ（しい）</v>
      </c>
      <c r="F501" t="str">
        <v>か かおり かおる はな ふさ ほ みち よし</v>
      </c>
      <c r="G501" t="str">
        <v>かんばしい。かぐわしい。よいかおりがする。かおりのよい花。 評判がよい。名声がすぐれている。 才能のある人物。賢者。 他人に関する物事に冠する敬称。</v>
      </c>
      <c r="H501" t="str">
        <v>#品格 #知性 #花・彩</v>
      </c>
      <c r="I501">
        <v>95</v>
      </c>
      <c r="J501">
        <v>35</v>
      </c>
      <c r="K501">
        <v>95</v>
      </c>
      <c r="L501">
        <v>0</v>
      </c>
      <c r="M501">
        <f>VLOOKUP(A501,[1]kanji_data!$A:$N,14,FALSE)</f>
        <v>0</v>
      </c>
    </row>
    <row r="502">
      <c r="A502" t="str">
        <v>邦</v>
      </c>
      <c r="B502">
        <v>7</v>
      </c>
      <c r="C502" t="b">
        <v>1</v>
      </c>
      <c r="D502" t="str">
        <v>ホウ</v>
      </c>
      <c r="E502" t="str">
        <v>くに</v>
      </c>
      <c r="F502" t="str">
        <v>さかえ</v>
      </c>
      <c r="G502" t="str">
        <v>国。大国。みやこ。天下。 くにする。封ずる。 日本の国の。わが国の。</v>
      </c>
      <c r="H502" t="str">
        <v>#品格</v>
      </c>
      <c r="I502">
        <v>65</v>
      </c>
      <c r="J502">
        <v>75</v>
      </c>
      <c r="K502">
        <v>40</v>
      </c>
      <c r="L502">
        <v>0</v>
      </c>
      <c r="M502">
        <f>VLOOKUP(A502,[1]kanji_data!$A:$N,14,FALSE)</f>
        <v>0</v>
      </c>
    </row>
    <row r="503">
      <c r="A503" t="str">
        <v>掘</v>
      </c>
      <c r="B503">
        <v>11</v>
      </c>
      <c r="C503" t="b">
        <v>1</v>
      </c>
      <c r="D503" t="str">
        <v>クツ</v>
      </c>
      <c r="E503" t="str">
        <v>ほ（る）</v>
      </c>
      <c r="F503">
        <v>0</v>
      </c>
      <c r="G503" t="str">
        <v>ほる。穴をほる。穴をあける。 つよい。芯が強い。強情。＝倔</v>
      </c>
      <c r="I503">
        <v>10</v>
      </c>
      <c r="J503">
        <v>50</v>
      </c>
      <c r="K503">
        <v>50</v>
      </c>
      <c r="L503">
        <v>1</v>
      </c>
    </row>
    <row r="504">
      <c r="A504" t="str">
        <v>斜</v>
      </c>
      <c r="B504">
        <v>11</v>
      </c>
      <c r="C504" t="b">
        <v>1</v>
      </c>
      <c r="D504" t="str">
        <v>シャ</v>
      </c>
      <c r="E504" t="str">
        <v>なな（め） はす</v>
      </c>
      <c r="F504">
        <v>0</v>
      </c>
      <c r="G504" t="str">
        <v>ななめ。はす。かたむき。かたむく。</v>
      </c>
      <c r="I504">
        <v>10</v>
      </c>
      <c r="J504">
        <v>50</v>
      </c>
      <c r="K504">
        <v>50</v>
      </c>
      <c r="L504">
        <v>1</v>
      </c>
    </row>
    <row r="505">
      <c r="A505" t="str">
        <v>抑</v>
      </c>
      <c r="B505">
        <v>7</v>
      </c>
      <c r="C505" t="b">
        <v>1</v>
      </c>
      <c r="D505" t="str">
        <v>ヨク</v>
      </c>
      <c r="E505" t="str">
        <v>おさ（える） そもそも ふさ（ぐ）</v>
      </c>
      <c r="F505">
        <v>0</v>
      </c>
      <c r="G505" t="str">
        <v>おさえる。おさえつける。 ふさぐ。気持ちが晴れない。 「そもそも」と読み、「あるいは」「それとも」などと選択の意を表す。 「そもそも」と読み、「しかしながら」「けれども」「とはいえ」「さて」「いったい」などと話題を転換する意を表す。</v>
      </c>
      <c r="H505" t="str">
        <v>#天空 #心・志</v>
      </c>
      <c r="I505">
        <v>10</v>
      </c>
      <c r="J505">
        <v>55</v>
      </c>
      <c r="K505">
        <v>60</v>
      </c>
      <c r="L505">
        <v>1</v>
      </c>
    </row>
    <row r="506">
      <c r="A506" t="str">
        <v>励</v>
      </c>
      <c r="B506">
        <v>7</v>
      </c>
      <c r="C506" t="b">
        <v>1</v>
      </c>
      <c r="D506" t="str">
        <v>レイ</v>
      </c>
      <c r="E506" t="str">
        <v>はげ（ます） はげ（む）</v>
      </c>
      <c r="F506" t="str">
        <v>すすむ つとむ</v>
      </c>
      <c r="G506" t="str">
        <v>はげます。勧める。元気づける。 はげむ。つとめる。努力する。</v>
      </c>
      <c r="H506" t="str">
        <v>#勇気 #繁栄</v>
      </c>
      <c r="I506">
        <v>90</v>
      </c>
      <c r="J506">
        <v>100</v>
      </c>
      <c r="K506">
        <v>25</v>
      </c>
      <c r="L506">
        <v>0</v>
      </c>
      <c r="M506">
        <f>VLOOKUP(A506,[1]kanji_data!$A:$N,14,FALSE)</f>
        <v>0</v>
      </c>
    </row>
    <row r="507">
      <c r="A507" t="str">
        <v>亜</v>
      </c>
      <c r="B507">
        <v>7</v>
      </c>
      <c r="C507" t="b">
        <v>1</v>
      </c>
      <c r="D507" t="str">
        <v>ア</v>
      </c>
      <c r="E507" t="str">
        <v>つ（ぐ） はふり</v>
      </c>
      <c r="F507" t="str">
        <v>つぎ つぐ</v>
      </c>
      <c r="G507" t="str">
        <v>つぐ。つぎ。次位。二番目。 あいむこ。姉妹のむこ同士を呼ぶときの呼称。 近い。仲間。同類。たぐい。 はふり。葬祭の儀礼を司る官職名。 「亜細亜」の略。</v>
      </c>
      <c r="H507" t="str">
        <v>#品格 #調和</v>
      </c>
      <c r="I507">
        <v>60</v>
      </c>
      <c r="J507">
        <v>50</v>
      </c>
      <c r="K507">
        <v>50</v>
      </c>
      <c r="L507">
        <v>0</v>
      </c>
      <c r="M507">
        <f>VLOOKUP(A507,[1]kanji_data!$A:$N,14,FALSE)</f>
        <v>0</v>
      </c>
    </row>
    <row r="508">
      <c r="A508" t="str">
        <v>吟</v>
      </c>
      <c r="B508">
        <v>7</v>
      </c>
      <c r="C508" t="b">
        <v>1</v>
      </c>
      <c r="D508" t="str">
        <v>ギン</v>
      </c>
      <c r="E508" t="str">
        <v>うた（う） うめ（く）</v>
      </c>
      <c r="F508" t="str">
        <v>あき あきら うた おと こえ</v>
      </c>
      <c r="G508" t="str">
        <v>うたう。詩歌をつくる。また、口ずさむ。 うめく。うなる。低い声でうなる。 詩歌の形式。</v>
      </c>
      <c r="H508" t="str">
        <v>#品格</v>
      </c>
      <c r="I508">
        <v>40</v>
      </c>
      <c r="J508">
        <v>25</v>
      </c>
      <c r="K508">
        <v>100</v>
      </c>
      <c r="L508">
        <v>0</v>
      </c>
      <c r="M508">
        <f>VLOOKUP(A508,[1]kanji_data!$A:$N,14,FALSE)</f>
        <v>0</v>
      </c>
    </row>
    <row r="509">
      <c r="A509" t="str">
        <v>販</v>
      </c>
      <c r="B509">
        <v>11</v>
      </c>
      <c r="C509" t="b">
        <v>1</v>
      </c>
      <c r="D509" t="str">
        <v>ハン</v>
      </c>
      <c r="E509" t="str">
        <v>あきな（う） ひさ（ぐ）</v>
      </c>
      <c r="F509">
        <v>0</v>
      </c>
      <c r="G509" t="str">
        <v>あきなう。ひさぐ。売る。買う。 あきない。商売。 商人。行商。</v>
      </c>
      <c r="I509">
        <v>10</v>
      </c>
      <c r="J509">
        <v>50</v>
      </c>
      <c r="K509">
        <v>50</v>
      </c>
      <c r="L509">
        <v>1</v>
      </c>
    </row>
    <row r="510">
      <c r="A510" t="str">
        <v>佐</v>
      </c>
      <c r="B510">
        <v>7</v>
      </c>
      <c r="C510" t="b">
        <v>1</v>
      </c>
      <c r="D510" t="str">
        <v>サ</v>
      </c>
      <c r="E510" t="str">
        <v>すけ たす（ける）</v>
      </c>
      <c r="F510" t="str">
        <v>たすく よし</v>
      </c>
      <c r="G510" t="str">
        <v>たすける。手助けをする。力を貸す。補佐する。 すすめる。酒をすすめることを佐酒という。 すけ。次官。衛門府・兵衛府などの次官。</v>
      </c>
      <c r="H510" t="str">
        <v>#慈愛</v>
      </c>
      <c r="I510">
        <v>95</v>
      </c>
      <c r="J510">
        <v>90</v>
      </c>
      <c r="K510">
        <v>45</v>
      </c>
      <c r="L510">
        <v>0</v>
      </c>
      <c r="M510">
        <f>VLOOKUP(A510,[1]kanji_data!$A:$N,14,FALSE)</f>
        <v>0</v>
      </c>
    </row>
    <row r="511">
      <c r="A511" t="str">
        <v>赦</v>
      </c>
      <c r="B511">
        <v>11</v>
      </c>
      <c r="C511" t="b">
        <v>1</v>
      </c>
      <c r="D511" t="str">
        <v>シャ</v>
      </c>
      <c r="E511" t="str">
        <v>ゆる（す）</v>
      </c>
      <c r="F511">
        <v>0</v>
      </c>
      <c r="G511" t="str">
        <v>ゆるす。罪やあやまちをとがめず許す。 ゆるし。</v>
      </c>
      <c r="I511">
        <v>10</v>
      </c>
      <c r="J511">
        <v>50</v>
      </c>
      <c r="K511">
        <v>50</v>
      </c>
      <c r="L511">
        <v>1</v>
      </c>
    </row>
    <row r="512">
      <c r="A512" t="str">
        <v>袋</v>
      </c>
      <c r="B512">
        <v>11</v>
      </c>
      <c r="C512" t="b">
        <v>1</v>
      </c>
      <c r="D512" t="str">
        <v>タイ テイ</v>
      </c>
      <c r="E512" t="str">
        <v>ふくろ</v>
      </c>
      <c r="F512">
        <v>0</v>
      </c>
      <c r="G512" t="str">
        <v>ふくろ。布・紙・皮などで作られた、物を入れるもの。 ふくろ。行き止まり。行き詰まり。例：袋小路</v>
      </c>
      <c r="I512">
        <v>10</v>
      </c>
      <c r="J512">
        <v>50</v>
      </c>
      <c r="K512">
        <v>50</v>
      </c>
      <c r="L512">
        <v>1</v>
      </c>
    </row>
    <row r="513">
      <c r="A513" t="str">
        <v>杉</v>
      </c>
      <c r="B513">
        <v>7</v>
      </c>
      <c r="C513" t="b">
        <v>1</v>
      </c>
      <c r="D513" t="str">
        <v>サン</v>
      </c>
      <c r="E513" t="str">
        <v>すぎ</v>
      </c>
      <c r="F513">
        <v>0</v>
      </c>
      <c r="G513" t="str">
        <v>すぎ。スギ科の常緑高木。建築用材として利用される。</v>
      </c>
      <c r="H513" t="str">
        <v>#自然</v>
      </c>
      <c r="I513">
        <v>10</v>
      </c>
      <c r="J513">
        <v>50</v>
      </c>
      <c r="K513">
        <v>55</v>
      </c>
      <c r="L513">
        <v>0</v>
      </c>
      <c r="M513">
        <f>VLOOKUP(A513,[1]kanji_data!$A:$N,14,FALSE)</f>
        <v>0</v>
      </c>
    </row>
    <row r="514">
      <c r="A514" t="str">
        <v>妥</v>
      </c>
      <c r="B514">
        <v>7</v>
      </c>
      <c r="C514" t="b">
        <v>1</v>
      </c>
      <c r="D514" t="str">
        <v>ダ タ</v>
      </c>
      <c r="E514" t="str">
        <v>おだ（やか） やす（らか）</v>
      </c>
      <c r="F514">
        <v>0</v>
      </c>
      <c r="G514" t="str">
        <v>おだやか。やすらか。落ち着いている。安定している。</v>
      </c>
      <c r="H514" t="str">
        <v>#慈愛</v>
      </c>
      <c r="I514">
        <v>10</v>
      </c>
      <c r="J514">
        <v>65</v>
      </c>
      <c r="K514">
        <v>55</v>
      </c>
      <c r="L514">
        <v>1</v>
      </c>
    </row>
    <row r="515">
      <c r="A515" t="str">
        <v>窒</v>
      </c>
      <c r="B515">
        <v>11</v>
      </c>
      <c r="C515" t="b">
        <v>1</v>
      </c>
      <c r="D515" t="str">
        <v>チツ</v>
      </c>
      <c r="E515" t="str">
        <v>ふさ（がる）</v>
      </c>
      <c r="F515">
        <v>0</v>
      </c>
      <c r="G515" t="str">
        <v>ふさぐ。ふさがる。とじる。行き詰まる。 化学元素の一つ。窒素。</v>
      </c>
      <c r="I515">
        <v>10</v>
      </c>
      <c r="J515">
        <v>50</v>
      </c>
      <c r="K515">
        <v>50</v>
      </c>
      <c r="L515">
        <v>1</v>
      </c>
    </row>
    <row r="516">
      <c r="A516" t="str">
        <v>陳</v>
      </c>
      <c r="B516">
        <v>11</v>
      </c>
      <c r="C516" t="b">
        <v>1</v>
      </c>
      <c r="D516" t="str">
        <v>チン ジン</v>
      </c>
      <c r="E516" t="str">
        <v>つら（ねる） の（べる） ひ（ねる） ふる（い）</v>
      </c>
      <c r="F516">
        <v>0</v>
      </c>
      <c r="G516" t="str">
        <v>つらねる。ならべる。しきならべる。 のべる。申しのべる。言いのべる。 ふるい。ふるびた。 国名。周代の国の名。 王朝名。南朝のひとつ。 戦闘の備え。軍隊の配置。＝陣</v>
      </c>
      <c r="I516">
        <v>10</v>
      </c>
      <c r="J516">
        <v>50</v>
      </c>
      <c r="K516">
        <v>50</v>
      </c>
      <c r="L516">
        <v>1</v>
      </c>
    </row>
    <row r="517">
      <c r="A517" t="str">
        <v>豚</v>
      </c>
      <c r="B517">
        <v>11</v>
      </c>
      <c r="C517" t="b">
        <v>1</v>
      </c>
      <c r="D517" t="str">
        <v>トン</v>
      </c>
      <c r="E517" t="str">
        <v>ぶた</v>
      </c>
      <c r="F517">
        <v>0</v>
      </c>
      <c r="G517" t="str">
        <v>ぶた。家畜の一種。 「河豚」は、魚のふぐのこと。 「土豚」は、土手のこと。</v>
      </c>
      <c r="I517">
        <v>10</v>
      </c>
      <c r="J517">
        <v>50</v>
      </c>
      <c r="K517">
        <v>50</v>
      </c>
      <c r="L517">
        <v>1</v>
      </c>
    </row>
    <row r="518">
      <c r="A518" t="str">
        <v>忍</v>
      </c>
      <c r="B518">
        <v>7</v>
      </c>
      <c r="C518" t="b">
        <v>1</v>
      </c>
      <c r="D518" t="str">
        <v>ニン ジン</v>
      </c>
      <c r="E518" t="str">
        <v>しの（ばせる） しの（ぶ） むご（い）</v>
      </c>
      <c r="F518" t="str">
        <v>おし しのぶ もと</v>
      </c>
      <c r="G518" t="str">
        <v>しのぶ。たえる。我慢する。 むごい。ひどい。残酷。 しのび。しのぶ。人に知られないようにする。人目をさける。 しのび。忍術。または、忍者。 しのばせる。隠して持つ。こっそりと目立たないようにする。</v>
      </c>
      <c r="H518" t="str">
        <v>#勇気 #心・志</v>
      </c>
      <c r="I518">
        <v>85</v>
      </c>
      <c r="J518">
        <v>85</v>
      </c>
      <c r="K518">
        <v>35</v>
      </c>
      <c r="L518">
        <v>0</v>
      </c>
      <c r="M518">
        <f>VLOOKUP(A518,[1]kanji_data!$A:$N,14,FALSE)</f>
        <v>0</v>
      </c>
    </row>
    <row r="519">
      <c r="A519" t="str">
        <v>排</v>
      </c>
      <c r="B519">
        <v>11</v>
      </c>
      <c r="C519" t="b">
        <v>1</v>
      </c>
      <c r="D519" t="str">
        <v>ハイ</v>
      </c>
      <c r="E519" t="str">
        <v>おしの（ける） つら（ねる）</v>
      </c>
      <c r="F519">
        <v>0</v>
      </c>
      <c r="G519" t="str">
        <v>おしのける。とりのぞく。しりぞける。 おしひらく。おしてあける。ひらく。 つらねる。ならべる。</v>
      </c>
      <c r="I519">
        <v>10</v>
      </c>
      <c r="J519">
        <v>50</v>
      </c>
      <c r="K519">
        <v>50</v>
      </c>
      <c r="L519">
        <v>1</v>
      </c>
    </row>
    <row r="520">
      <c r="A520" t="str">
        <v>符</v>
      </c>
      <c r="B520">
        <v>11</v>
      </c>
      <c r="C520" t="b">
        <v>1</v>
      </c>
      <c r="D520" t="str">
        <v>フ</v>
      </c>
      <c r="E520" t="str">
        <v>わりふ</v>
      </c>
      <c r="F520">
        <v>0</v>
      </c>
      <c r="G520" t="str">
        <v>わりふ。あいふだ。しるし。 あかし。証拠。おしで。印章。しるし。 未来記。きざし。 神仏の守り札。おふだ。 合う。ぴったりと合う。</v>
      </c>
      <c r="I520">
        <v>10</v>
      </c>
      <c r="J520">
        <v>50</v>
      </c>
      <c r="K520">
        <v>50</v>
      </c>
      <c r="L520">
        <v>1</v>
      </c>
    </row>
    <row r="521">
      <c r="A521" t="str">
        <v>伯</v>
      </c>
      <c r="B521">
        <v>7</v>
      </c>
      <c r="C521" t="b">
        <v>1</v>
      </c>
      <c r="D521" t="str">
        <v>ハク ハ</v>
      </c>
      <c r="E521" t="str">
        <v>おさ かしら はたがしら</v>
      </c>
      <c r="F521">
        <v>0</v>
      </c>
      <c r="G521" t="str">
        <v>おさ。かしら。最年長の人。最上位の人。 兄弟の一番上。年齢の順に上から「伯・仲・叔・季」という。 おじ。父の兄（日本では母の兄のこともいう）。また、父（母）の弟には「叔」を用いる。 五等級の爵位（公・侯・伯・子・男）の三番目。 一芸にすぐれた者。 はたがしら。諸侯のおさ。＝覇</v>
      </c>
      <c r="H521" t="str">
        <v>#品格</v>
      </c>
      <c r="I521">
        <v>50</v>
      </c>
      <c r="J521">
        <v>75</v>
      </c>
      <c r="K521">
        <v>40</v>
      </c>
      <c r="L521">
        <v>0</v>
      </c>
      <c r="M521">
        <f>VLOOKUP(A521,[1]kanji_data!$A:$N,14,FALSE)</f>
        <v>0</v>
      </c>
    </row>
    <row r="522">
      <c r="A522" t="str">
        <v>扶</v>
      </c>
      <c r="B522">
        <v>7</v>
      </c>
      <c r="C522" t="b">
        <v>1</v>
      </c>
      <c r="D522" t="str">
        <v>フ</v>
      </c>
      <c r="E522" t="str">
        <v>たす（ける）</v>
      </c>
      <c r="F522" t="str">
        <v>すけ たもつ もと</v>
      </c>
      <c r="G522" t="str">
        <v>たすける。ささえる。世話をする。 寄り添う。身を寄せる。</v>
      </c>
      <c r="H522" t="str">
        <v>#慈愛 #調和</v>
      </c>
      <c r="I522">
        <v>50</v>
      </c>
      <c r="J522">
        <v>45</v>
      </c>
      <c r="K522">
        <v>50</v>
      </c>
      <c r="L522">
        <v>0</v>
      </c>
      <c r="M522">
        <f>VLOOKUP(A522,[1]kanji_data!$A:$N,14,FALSE)</f>
        <v>0</v>
      </c>
    </row>
    <row r="523">
      <c r="A523" t="str">
        <v>戻</v>
      </c>
      <c r="B523">
        <v>7</v>
      </c>
      <c r="C523" t="b">
        <v>1</v>
      </c>
      <c r="D523" t="str">
        <v>レイ</v>
      </c>
      <c r="E523" t="str">
        <v>もど（す） もど（る） いた（る） もと（る）</v>
      </c>
      <c r="F523">
        <v>0</v>
      </c>
      <c r="G523" t="str">
        <v>もとる。さからう。道理にそむく。 いたる。とどく。来る。 もどる。もどす。もとの場所や状態にかえる。また、かえす。</v>
      </c>
      <c r="H523" t="str">
        <v>#繁栄</v>
      </c>
      <c r="I523">
        <v>10</v>
      </c>
      <c r="J523">
        <v>50</v>
      </c>
      <c r="K523">
        <v>50</v>
      </c>
      <c r="L523">
        <v>1</v>
      </c>
    </row>
    <row r="524">
      <c r="A524" t="str">
        <v>串</v>
      </c>
      <c r="B524">
        <v>7</v>
      </c>
      <c r="C524" t="b">
        <v>1</v>
      </c>
      <c r="D524" t="str">
        <v>カン セン</v>
      </c>
      <c r="E524" t="str">
        <v>くし つらぬ（く） な（れる）</v>
      </c>
      <c r="F524">
        <v>0</v>
      </c>
      <c r="G524" t="str">
        <v>なれる。なれ親しむ。 つらぬく。うがつ。穴をあけて通す。 くし。肉や魚などを刺し通す、竹や鉄の細い棒。</v>
      </c>
      <c r="H524" t="str">
        <v>#勇気 #自然</v>
      </c>
      <c r="I524">
        <v>10</v>
      </c>
      <c r="J524">
        <v>50</v>
      </c>
      <c r="K524">
        <v>50</v>
      </c>
      <c r="L524">
        <v>1</v>
      </c>
    </row>
    <row r="525">
      <c r="A525" t="str">
        <v>沙</v>
      </c>
      <c r="B525">
        <v>7</v>
      </c>
      <c r="C525" t="b">
        <v>1</v>
      </c>
      <c r="D525" t="str">
        <v>サ シャ</v>
      </c>
      <c r="E525" t="str">
        <v>すな みぎわ よな（げる）</v>
      </c>
      <c r="F525" t="str">
        <v>いさ す</v>
      </c>
      <c r="G525" t="str">
        <v>すな。まさご。こまかい砂。 みぎわ。すなはま。 砂漠。砂原。水や草のない土地。 よなげる。水で洗って、良いものと悪いものをよりわける。 しゃ。数の単位。１０の－８乗。</v>
      </c>
      <c r="H525" t="str">
        <v>#海・水 #自然</v>
      </c>
      <c r="I525">
        <v>90</v>
      </c>
      <c r="J525">
        <v>60</v>
      </c>
      <c r="K525">
        <v>60</v>
      </c>
      <c r="L525">
        <v>0</v>
      </c>
      <c r="M525">
        <f>VLOOKUP(A525,[1]kanji_data!$A:$N,14,FALSE)</f>
        <v>0</v>
      </c>
    </row>
    <row r="526">
      <c r="A526" t="str">
        <v>渇</v>
      </c>
      <c r="B526">
        <v>11</v>
      </c>
      <c r="C526" t="b">
        <v>1</v>
      </c>
      <c r="D526" t="str">
        <v>カツ ケツ</v>
      </c>
      <c r="E526" t="str">
        <v>かわ（く） むさぼ（る）</v>
      </c>
      <c r="F526">
        <v>0</v>
      </c>
      <c r="G526" t="str">
        <v>かわく。のどがかわいて水を欲しがる。また、そのように強く望むこと。 かわき。のどのかわき。 かれる。水がかれる。水が尽きてなくなる。</v>
      </c>
      <c r="I526">
        <v>10</v>
      </c>
      <c r="J526">
        <v>50</v>
      </c>
      <c r="K526">
        <v>50</v>
      </c>
      <c r="L526">
        <v>1</v>
      </c>
    </row>
    <row r="527">
      <c r="A527" t="str">
        <v>偽</v>
      </c>
      <c r="B527">
        <v>11</v>
      </c>
      <c r="C527" t="b">
        <v>1</v>
      </c>
      <c r="D527" t="str">
        <v>ギ</v>
      </c>
      <c r="E527" t="str">
        <v>いつわ（る） にせ</v>
      </c>
      <c r="F527">
        <v>0</v>
      </c>
      <c r="G527" t="str">
        <v>いつわる。あざむく。だます。ふりをする。 にせ。にせもの。いつわり。 人が手を加えたもの。人為。</v>
      </c>
      <c r="I527">
        <v>10</v>
      </c>
      <c r="J527">
        <v>50</v>
      </c>
      <c r="K527">
        <v>50</v>
      </c>
      <c r="L527">
        <v>1</v>
      </c>
    </row>
    <row r="528">
      <c r="A528" t="str">
        <v>那</v>
      </c>
      <c r="B528">
        <v>7</v>
      </c>
      <c r="C528" t="b">
        <v>1</v>
      </c>
      <c r="D528" t="str">
        <v>ナ ダ</v>
      </c>
      <c r="E528" t="str">
        <v>いかん（ぞ） なに なん（ぞ）</v>
      </c>
      <c r="F528" t="str">
        <v>とも ふゆ やす</v>
      </c>
      <c r="G528" t="str">
        <v>多い。 美しい。 安らか。 なんぞ。いかんぞ。いかん。疑問・反語をあらわす助字。 なに。かの。あの。</v>
      </c>
      <c r="H528" t="str">
        <v>#花・彩</v>
      </c>
      <c r="I528">
        <v>95</v>
      </c>
      <c r="J528">
        <v>25</v>
      </c>
      <c r="K528">
        <v>85</v>
      </c>
      <c r="L528">
        <v>0</v>
      </c>
      <c r="M528">
        <f>VLOOKUP(A528,[1]kanji_data!$A:$N,14,FALSE)</f>
        <v>0</v>
      </c>
    </row>
    <row r="529">
      <c r="A529" t="str">
        <v>偵</v>
      </c>
      <c r="B529">
        <v>11</v>
      </c>
      <c r="C529" t="b">
        <v>1</v>
      </c>
      <c r="D529" t="str">
        <v>テイ</v>
      </c>
      <c r="E529" t="str">
        <v>うかが（う）</v>
      </c>
      <c r="F529">
        <v>0</v>
      </c>
      <c r="G529" t="str">
        <v>うかがう。様子をさぐる。のぞき見る。 まわしもの。間者。</v>
      </c>
      <c r="I529">
        <v>10</v>
      </c>
      <c r="J529">
        <v>50</v>
      </c>
      <c r="K529">
        <v>50</v>
      </c>
      <c r="L529">
        <v>1</v>
      </c>
    </row>
    <row r="530">
      <c r="A530" t="str">
        <v>猫</v>
      </c>
      <c r="B530">
        <v>11</v>
      </c>
      <c r="C530" t="b">
        <v>1</v>
      </c>
      <c r="D530" t="str">
        <v>ビョウ ミョウ</v>
      </c>
      <c r="E530" t="str">
        <v>ねこ</v>
      </c>
      <c r="F530">
        <v>0</v>
      </c>
      <c r="G530" t="str">
        <v>ねこ。動物の名。ネコ科の哺乳類の総称。</v>
      </c>
      <c r="I530">
        <v>10</v>
      </c>
      <c r="J530">
        <v>50</v>
      </c>
      <c r="K530">
        <v>50</v>
      </c>
      <c r="L530">
        <v>1</v>
      </c>
    </row>
    <row r="531">
      <c r="A531" t="str">
        <v>冶</v>
      </c>
      <c r="B531">
        <v>7</v>
      </c>
      <c r="C531" t="b">
        <v>1</v>
      </c>
      <c r="D531" t="str">
        <v>ヤ</v>
      </c>
      <c r="E531" t="str">
        <v>い（る） と（ける） なまめ（かしい）</v>
      </c>
      <c r="F531">
        <v>0</v>
      </c>
      <c r="G531" t="str">
        <v>いる。とける。とかす。金属をとかして加工する。例：鍛冶 鋳物師。鍛冶屋。鍛冶を職業とする人。 なまめかしい。色っぽく美しい。</v>
      </c>
      <c r="H531" t="str">
        <v>#花・彩</v>
      </c>
      <c r="I531">
        <v>10</v>
      </c>
      <c r="J531">
        <v>30</v>
      </c>
      <c r="K531">
        <v>90</v>
      </c>
      <c r="L531">
        <v>0</v>
      </c>
      <c r="M531">
        <f>VLOOKUP(A531,[1]kanji_data!$A:$N,14,FALSE)</f>
        <v>0</v>
      </c>
    </row>
    <row r="532">
      <c r="A532" t="str">
        <v>妖</v>
      </c>
      <c r="B532">
        <v>7</v>
      </c>
      <c r="C532" t="b">
        <v>1</v>
      </c>
      <c r="D532" t="str">
        <v>ヨウ</v>
      </c>
      <c r="E532" t="str">
        <v>あや（しい） なまめ（かしい） わざわ（い）</v>
      </c>
      <c r="F532">
        <v>0</v>
      </c>
      <c r="G532" t="str">
        <v>あやしい。あやしげなもの。人を惑わすもの。 なまめかしい。うつくしい。あでやか。 ばけもの。もののけ。異様な生物。 わざわい。災難。</v>
      </c>
      <c r="H532" t="str">
        <v>#花・彩</v>
      </c>
      <c r="I532">
        <v>10</v>
      </c>
      <c r="J532">
        <v>50</v>
      </c>
      <c r="K532">
        <v>50</v>
      </c>
      <c r="L532">
        <v>1</v>
      </c>
    </row>
    <row r="533">
      <c r="A533" t="str">
        <v>萎</v>
      </c>
      <c r="B533">
        <v>11</v>
      </c>
      <c r="C533" t="b">
        <v>1</v>
      </c>
      <c r="D533" t="str">
        <v>イ</v>
      </c>
      <c r="E533" t="str">
        <v>な（える） しお（れる） しな（びる） しぼ（む） つか（れる）</v>
      </c>
      <c r="F533">
        <v>0</v>
      </c>
      <c r="G533" t="str">
        <v>なえる。しおれる。しなびる。しぼむ。かれる。 衰える。疲れる。ぐったりする。 なやむ。病む。</v>
      </c>
      <c r="I533">
        <v>10</v>
      </c>
      <c r="J533">
        <v>50</v>
      </c>
      <c r="K533">
        <v>50</v>
      </c>
      <c r="L533">
        <v>1</v>
      </c>
    </row>
    <row r="534">
      <c r="A534" t="str">
        <v>呂</v>
      </c>
      <c r="B534">
        <v>7</v>
      </c>
      <c r="C534" t="b">
        <v>1</v>
      </c>
      <c r="D534" t="str">
        <v>ロ リョ</v>
      </c>
      <c r="E534">
        <v>0</v>
      </c>
      <c r="F534" t="str">
        <v>おと とも なが ふえ</v>
      </c>
      <c r="G534" t="str">
        <v>背骨。 音楽の調子。現在の一オクターブを十二分したものを「十二律」といい、その中の六段の陰律を「六呂」、六段の陽律を「六律」という。 国名。周代の国の名。</v>
      </c>
      <c r="H534" t="str">
        <v>#調和</v>
      </c>
      <c r="I534">
        <v>75</v>
      </c>
      <c r="J534">
        <v>60</v>
      </c>
      <c r="K534">
        <v>60</v>
      </c>
      <c r="L534">
        <v>0</v>
      </c>
      <c r="M534">
        <f>VLOOKUP(A534,[1]kanji_data!$A:$N,14,FALSE)</f>
        <v>0</v>
      </c>
    </row>
    <row r="535">
      <c r="A535" t="str">
        <v>崖</v>
      </c>
      <c r="B535">
        <v>11</v>
      </c>
      <c r="C535" t="b">
        <v>1</v>
      </c>
      <c r="D535" t="str">
        <v>ガイ</v>
      </c>
      <c r="E535" t="str">
        <v>がけ かどだ（つ）</v>
      </c>
      <c r="F535">
        <v>0</v>
      </c>
      <c r="G535" t="str">
        <v>がけ。切り立ったがけ。 かどだつ。かどがある。 かぎり。はて。＝涯</v>
      </c>
      <c r="I535">
        <v>10</v>
      </c>
      <c r="J535">
        <v>50</v>
      </c>
      <c r="K535">
        <v>50</v>
      </c>
      <c r="L535">
        <v>1</v>
      </c>
    </row>
    <row r="536">
      <c r="A536" t="str">
        <v>杏</v>
      </c>
      <c r="B536">
        <v>7</v>
      </c>
      <c r="C536" t="b">
        <v>0</v>
      </c>
      <c r="D536" t="str">
        <v>アン キョウ</v>
      </c>
      <c r="E536" t="str">
        <v>あんず</v>
      </c>
      <c r="F536">
        <v>0</v>
      </c>
      <c r="G536" t="str">
        <v>あんず。からもも。バラ科の落葉小高木。 「銀杏」は、いちょうの実。</v>
      </c>
      <c r="H536" t="str">
        <v>#自然</v>
      </c>
      <c r="I536">
        <v>70</v>
      </c>
      <c r="J536">
        <v>10</v>
      </c>
      <c r="K536">
        <v>100</v>
      </c>
      <c r="L536">
        <v>0</v>
      </c>
      <c r="M536">
        <f>VLOOKUP(A536,[1]kanji_data!$A:$N,14,FALSE)</f>
        <v>0</v>
      </c>
    </row>
    <row r="537">
      <c r="A537" t="str">
        <v>佑</v>
      </c>
      <c r="B537">
        <v>7</v>
      </c>
      <c r="C537" t="b">
        <v>0</v>
      </c>
      <c r="D537" t="str">
        <v>ユウ ウ</v>
      </c>
      <c r="E537" t="str">
        <v>たす（け） たす（ける）</v>
      </c>
      <c r="F537" t="str">
        <v>すけ たすく ゆ</v>
      </c>
      <c r="G537" t="str">
        <v>たすけ。たすける。かばう。かばってたすける。</v>
      </c>
      <c r="H537" t="str">
        <v>#慈愛</v>
      </c>
      <c r="I537">
        <v>90</v>
      </c>
      <c r="J537">
        <v>45</v>
      </c>
      <c r="K537">
        <v>75</v>
      </c>
      <c r="L537">
        <v>0</v>
      </c>
      <c r="M537">
        <f>VLOOKUP(A537,[1]kanji_data!$A:$N,14,FALSE)</f>
        <v>0</v>
      </c>
    </row>
    <row r="538">
      <c r="A538" t="str">
        <v>舷</v>
      </c>
      <c r="B538">
        <v>11</v>
      </c>
      <c r="C538" t="b">
        <v>1</v>
      </c>
      <c r="D538" t="str">
        <v>ゲン</v>
      </c>
      <c r="E538" t="str">
        <v>ふなばた ふなべり</v>
      </c>
      <c r="F538">
        <v>0</v>
      </c>
      <c r="G538" t="str">
        <v>ふなばた。ふなべり。船の両側面。</v>
      </c>
      <c r="I538">
        <v>10</v>
      </c>
      <c r="J538">
        <v>80</v>
      </c>
      <c r="K538">
        <v>45</v>
      </c>
      <c r="L538">
        <v>0</v>
      </c>
      <c r="M538">
        <f>VLOOKUP(A538,[1]kanji_data!$A:$N,14,FALSE)</f>
        <v>0</v>
      </c>
    </row>
    <row r="539">
      <c r="A539" t="str">
        <v>猪</v>
      </c>
      <c r="B539">
        <v>11</v>
      </c>
      <c r="C539" t="b">
        <v>0</v>
      </c>
      <c r="D539" t="str">
        <v>チョ</v>
      </c>
      <c r="E539" t="str">
        <v>い いのしし</v>
      </c>
      <c r="F539">
        <v>0</v>
      </c>
      <c r="G539" t="str">
        <v>い。いのしし。豚。</v>
      </c>
      <c r="I539">
        <v>10</v>
      </c>
      <c r="J539">
        <v>85</v>
      </c>
      <c r="K539">
        <v>30</v>
      </c>
      <c r="L539">
        <v>0</v>
      </c>
      <c r="M539">
        <f>VLOOKUP(A539,[1]kanji_data!$A:$N,14,FALSE)</f>
        <v>0</v>
      </c>
    </row>
    <row r="540">
      <c r="A540" t="str">
        <v>陥</v>
      </c>
      <c r="B540">
        <v>10</v>
      </c>
      <c r="C540" t="b">
        <v>1</v>
      </c>
      <c r="D540" t="str">
        <v>カン</v>
      </c>
      <c r="E540" t="str">
        <v>おちい（る） おとしい（れる）</v>
      </c>
      <c r="F540">
        <v>0</v>
      </c>
      <c r="G540" t="str">
        <v>おちいる。おとしいれる。穴に落ちこむ。落としこむ。 おちいる。おとしいれる。策略にはまる。計略にかける。 おちいる。おとしいれる。城などを攻め落とさせる。攻め落とす。 あな。落とし穴。 とおす。突きとおす。突きさす。</v>
      </c>
      <c r="I540">
        <v>10</v>
      </c>
      <c r="J540">
        <v>50</v>
      </c>
      <c r="K540">
        <v>50</v>
      </c>
      <c r="L540">
        <v>1</v>
      </c>
    </row>
    <row r="541">
      <c r="A541" t="str">
        <v>芥</v>
      </c>
      <c r="B541">
        <v>7</v>
      </c>
      <c r="C541" t="b">
        <v>0</v>
      </c>
      <c r="D541" t="str">
        <v>カイ ケ</v>
      </c>
      <c r="E541" t="str">
        <v>あくた からし</v>
      </c>
      <c r="F541">
        <v>0</v>
      </c>
      <c r="G541" t="str">
        <v>からしな。アブラナ科の植物。からしは、からしなの実を粉にした香辛料。 あくた。小さなごみ。ちり。 小さいもの。とるにたりないもの。つまらぬもの。</v>
      </c>
      <c r="H541" t="str">
        <v>#自然</v>
      </c>
      <c r="I541">
        <v>10</v>
      </c>
      <c r="J541">
        <v>50</v>
      </c>
      <c r="K541">
        <v>50</v>
      </c>
      <c r="L541">
        <v>1</v>
      </c>
    </row>
    <row r="542">
      <c r="A542" t="str">
        <v>飲</v>
      </c>
      <c r="B542">
        <v>12</v>
      </c>
      <c r="C542" t="b">
        <v>1</v>
      </c>
      <c r="D542" t="str">
        <v>イン オン</v>
      </c>
      <c r="E542" t="str">
        <v>の（む） の（ます） みずか（う）</v>
      </c>
      <c r="F542">
        <v>0</v>
      </c>
      <c r="G542" t="str">
        <v>のむ。水や酒などをのむ。 のむ。のみこむ。ぐっとこらえる。 のみもの。水や酒。 さかもり。宴会。酒宴。 のます。みずかう。のみものをのませる。</v>
      </c>
      <c r="I542">
        <v>10</v>
      </c>
      <c r="J542">
        <v>50</v>
      </c>
      <c r="K542">
        <v>50</v>
      </c>
      <c r="L542">
        <v>1</v>
      </c>
    </row>
    <row r="543">
      <c r="A543" t="str">
        <v>歯</v>
      </c>
      <c r="B543">
        <v>12</v>
      </c>
      <c r="C543" t="b">
        <v>1</v>
      </c>
      <c r="D543" t="str">
        <v>シ</v>
      </c>
      <c r="E543" t="str">
        <v>は よわい</v>
      </c>
      <c r="F543" t="str">
        <v>かた とし</v>
      </c>
      <c r="G543" t="str">
        <v>は。口の中で食べ物をかみくだく器官。 よわい。年齢。</v>
      </c>
      <c r="I543">
        <v>30</v>
      </c>
      <c r="J543">
        <v>50</v>
      </c>
      <c r="K543">
        <v>50</v>
      </c>
      <c r="L543">
        <v>1</v>
      </c>
    </row>
    <row r="544">
      <c r="A544" t="str">
        <v>暑</v>
      </c>
      <c r="B544">
        <v>12</v>
      </c>
      <c r="C544" t="b">
        <v>1</v>
      </c>
      <c r="D544" t="str">
        <v>ショ</v>
      </c>
      <c r="E544" t="str">
        <v>あつ（い）</v>
      </c>
      <c r="F544">
        <v>0</v>
      </c>
      <c r="G544" t="str">
        <v>あつい。気温が高くてあつい。また、そのような季節。夏。</v>
      </c>
      <c r="I544">
        <v>10</v>
      </c>
      <c r="J544">
        <v>50</v>
      </c>
      <c r="K544">
        <v>50</v>
      </c>
      <c r="L544">
        <v>1</v>
      </c>
    </row>
    <row r="545">
      <c r="A545" t="str">
        <v>玖</v>
      </c>
      <c r="B545">
        <v>7</v>
      </c>
      <c r="C545" t="b">
        <v>0</v>
      </c>
      <c r="D545" t="str">
        <v>キュウ ク</v>
      </c>
      <c r="E545">
        <v>0</v>
      </c>
      <c r="F545" t="str">
        <v>き く たま ひさ</v>
      </c>
      <c r="G545" t="str">
        <v>黒い色の美しい石。 契約書や証書などの文書で数字を表すとき、書き換えを防ぐために「九」の代わりに用いる文字。大字。</v>
      </c>
      <c r="H545" t="str">
        <v>#花・彩</v>
      </c>
      <c r="I545">
        <v>90</v>
      </c>
      <c r="J545">
        <v>25</v>
      </c>
      <c r="K545">
        <v>85</v>
      </c>
      <c r="L545">
        <v>0</v>
      </c>
      <c r="M545">
        <f>VLOOKUP(A545,[1]kanji_data!$A:$N,14,FALSE)</f>
        <v>0</v>
      </c>
    </row>
    <row r="546">
      <c r="A546" t="str">
        <v>亨</v>
      </c>
      <c r="B546">
        <v>7</v>
      </c>
      <c r="C546" t="b">
        <v>0</v>
      </c>
      <c r="D546" t="str">
        <v>コウ キョウ ホウ</v>
      </c>
      <c r="E546" t="str">
        <v>とお（る） に（る）</v>
      </c>
      <c r="F546" t="str">
        <v>あき すすむ ちか とおる とし なお なが みち ゆき</v>
      </c>
      <c r="G546" t="str">
        <v>とおる。通じる。さしさわりがない。 すすめる。もてなす。＝享 にる。食材をやわらかくにる。＝烹</v>
      </c>
      <c r="H546" t="str">
        <v>#繁栄</v>
      </c>
      <c r="I546">
        <v>95</v>
      </c>
      <c r="J546">
        <v>65</v>
      </c>
      <c r="K546">
        <v>50</v>
      </c>
      <c r="L546">
        <v>0</v>
      </c>
      <c r="M546">
        <f>VLOOKUP(A546,[1]kanji_data!$A:$N,14,FALSE)</f>
        <v>0</v>
      </c>
    </row>
    <row r="547">
      <c r="A547" t="str">
        <v>筆</v>
      </c>
      <c r="B547">
        <v>12</v>
      </c>
      <c r="C547" t="b">
        <v>1</v>
      </c>
      <c r="D547" t="str">
        <v>ヒツ</v>
      </c>
      <c r="E547" t="str">
        <v>ふで</v>
      </c>
      <c r="F547">
        <v>0</v>
      </c>
      <c r="G547" t="str">
        <v>ふで。文字や絵をかくための道具。 文字や絵を書く。書き記す。 ふでで書いた文字や絵。 散文。韻を踏まない文。</v>
      </c>
      <c r="I547">
        <v>10</v>
      </c>
      <c r="J547">
        <v>50</v>
      </c>
      <c r="K547">
        <v>50</v>
      </c>
      <c r="L547">
        <v>1</v>
      </c>
    </row>
    <row r="548">
      <c r="A548" t="str">
        <v>芹</v>
      </c>
      <c r="B548">
        <v>7</v>
      </c>
      <c r="C548" t="b">
        <v>0</v>
      </c>
      <c r="D548" t="str">
        <v>キン</v>
      </c>
      <c r="E548" t="str">
        <v>せり</v>
      </c>
      <c r="F548" t="str">
        <v>き まさ よし</v>
      </c>
      <c r="G548" t="str">
        <v>せり。みずせり。セリ科の多年草。水辺に自生する。</v>
      </c>
      <c r="H548" t="str">
        <v>#海・水</v>
      </c>
      <c r="I548">
        <v>60</v>
      </c>
      <c r="J548">
        <v>60</v>
      </c>
      <c r="K548">
        <v>50</v>
      </c>
      <c r="L548">
        <v>0</v>
      </c>
      <c r="M548">
        <f>VLOOKUP(A548,[1]kanji_data!$A:$N,14,FALSE)</f>
        <v>0</v>
      </c>
    </row>
    <row r="549">
      <c r="A549" t="str">
        <v>冴</v>
      </c>
      <c r="B549">
        <v>7</v>
      </c>
      <c r="C549" t="b">
        <v>0</v>
      </c>
      <c r="D549" t="str">
        <v>ゴ</v>
      </c>
      <c r="E549" t="str">
        <v>こお（る） さ（える）</v>
      </c>
      <c r="F549" t="str">
        <v>さえ</v>
      </c>
      <c r="G549" t="str">
        <v>こおる。冷える。冷たい。＝冱 さむい。こごえるほど寒い。＝冱 さえる。澄みわたる。冷えきる。 さえる。頭や目などのはたらきがするどい。</v>
      </c>
      <c r="H549" t="str">
        <v>#天空 #知性</v>
      </c>
      <c r="I549">
        <v>95</v>
      </c>
      <c r="J549">
        <v>60</v>
      </c>
      <c r="K549">
        <v>60</v>
      </c>
      <c r="L549">
        <v>0</v>
      </c>
      <c r="M549">
        <f>VLOOKUP(A549,[1]kanji_data!$A:$N,14,FALSE)</f>
        <v>0</v>
      </c>
    </row>
    <row r="550">
      <c r="A550" t="str">
        <v>吾</v>
      </c>
      <c r="B550">
        <v>7</v>
      </c>
      <c r="C550" t="b">
        <v>0</v>
      </c>
      <c r="D550" t="str">
        <v>ゴ</v>
      </c>
      <c r="E550" t="str">
        <v>わ（が） われ</v>
      </c>
      <c r="F550" t="str">
        <v>あ みち</v>
      </c>
      <c r="G550" t="str">
        <v>わが。自分の。 われ。自分。一人称の代名詞。 親しい相手を呼ぶときに「吾子（ごし）」「吾兄（ごけい）」などと上につける語。 防ぐ。＝禦</v>
      </c>
      <c r="H550" t="str">
        <v>#心・志</v>
      </c>
      <c r="I550">
        <v>85</v>
      </c>
      <c r="J550">
        <v>50</v>
      </c>
      <c r="K550">
        <v>55</v>
      </c>
      <c r="L550">
        <v>0</v>
      </c>
      <c r="M550">
        <f>VLOOKUP(A550,[1]kanji_data!$A:$N,14,FALSE)</f>
        <v>0</v>
      </c>
    </row>
    <row r="551">
      <c r="A551" t="str">
        <v>宏</v>
      </c>
      <c r="B551">
        <v>7</v>
      </c>
      <c r="C551" t="b">
        <v>0</v>
      </c>
      <c r="D551" t="str">
        <v>コウ</v>
      </c>
      <c r="E551" t="str">
        <v>おお（きい） ひろ（い）</v>
      </c>
      <c r="F551" t="str">
        <v>あつ ひろし</v>
      </c>
      <c r="G551" t="str">
        <v>ひろい。おおきい。 ひろげる。おおきくする。 すぐれている。りっぱである。</v>
      </c>
      <c r="H551" t="str">
        <v>#繁栄</v>
      </c>
      <c r="I551">
        <v>90</v>
      </c>
      <c r="J551">
        <v>80</v>
      </c>
      <c r="K551">
        <v>45</v>
      </c>
      <c r="L551">
        <v>0</v>
      </c>
      <c r="M551">
        <f>VLOOKUP(A551,[1]kanji_data!$A:$N,14,FALSE)</f>
        <v>0</v>
      </c>
    </row>
    <row r="552">
      <c r="A552" t="str">
        <v>最</v>
      </c>
      <c r="B552">
        <v>12</v>
      </c>
      <c r="C552" t="b">
        <v>1</v>
      </c>
      <c r="D552" t="str">
        <v>サイ</v>
      </c>
      <c r="E552" t="str">
        <v>もっと（も） も</v>
      </c>
      <c r="F552">
        <v>0</v>
      </c>
      <c r="G552" t="str">
        <v>もっとも。いちばん。この上なく。</v>
      </c>
      <c r="I552">
        <v>10</v>
      </c>
      <c r="J552">
        <v>50</v>
      </c>
      <c r="K552">
        <v>50</v>
      </c>
      <c r="L552">
        <v>1</v>
      </c>
    </row>
    <row r="553">
      <c r="A553" t="str">
        <v>孜</v>
      </c>
      <c r="B553">
        <v>7</v>
      </c>
      <c r="C553" t="b">
        <v>0</v>
      </c>
      <c r="D553" t="str">
        <v>シ</v>
      </c>
      <c r="E553" t="str">
        <v>つと（める）</v>
      </c>
      <c r="F553" t="str">
        <v>あつ ただす つとむ</v>
      </c>
      <c r="G553" t="str">
        <v>つとめる。はげむ。精を出す。</v>
      </c>
      <c r="H553" t="str">
        <v>#勇気 #繁栄</v>
      </c>
      <c r="I553">
        <v>80</v>
      </c>
      <c r="J553">
        <v>80</v>
      </c>
      <c r="K553">
        <v>50</v>
      </c>
      <c r="L553">
        <v>0</v>
      </c>
      <c r="M553">
        <f>VLOOKUP(A553,[1]kanji_data!$A:$N,14,FALSE)</f>
        <v>0</v>
      </c>
    </row>
    <row r="554">
      <c r="A554" t="str">
        <v>灼</v>
      </c>
      <c r="B554">
        <v>7</v>
      </c>
      <c r="C554" t="b">
        <v>0</v>
      </c>
      <c r="D554" t="str">
        <v>シャク</v>
      </c>
      <c r="E554" t="str">
        <v>あき（らか） あらたか やいと や（く）</v>
      </c>
      <c r="F554">
        <v>0</v>
      </c>
      <c r="G554" t="str">
        <v>あきらか。明るいさま。きらきらとかがやくさま。 やく。あぶる。熱する。 やいと。お灸。お灸をすえる。</v>
      </c>
      <c r="H554" t="str">
        <v>#天空</v>
      </c>
      <c r="I554">
        <v>10</v>
      </c>
      <c r="J554">
        <v>80</v>
      </c>
      <c r="K554">
        <v>40</v>
      </c>
      <c r="L554">
        <v>1</v>
      </c>
    </row>
    <row r="555">
      <c r="A555" t="str">
        <v>散</v>
      </c>
      <c r="B555">
        <v>12</v>
      </c>
      <c r="C555" t="b">
        <v>1</v>
      </c>
      <c r="D555" t="str">
        <v>サン</v>
      </c>
      <c r="E555" t="str">
        <v>ち（らかす） ち（らかる） ち（らす） ち（る） ばら</v>
      </c>
      <c r="F555">
        <v>0</v>
      </c>
      <c r="G555" t="str">
        <v>ちる。ちらす。ちらばる。ばらばらになる。 ちる。はなれる。 ちらす。わける。わけ与える。 ちらばって、まとまりがない。 役に立たない。また、目的もなくぶらぶらしているさま。 粉薬。粉末状の薬。 ちらし。広告目的の印刷物。 ちらし。ちらし寿司のこと。</v>
      </c>
      <c r="I555">
        <v>10</v>
      </c>
      <c r="J555">
        <v>50</v>
      </c>
      <c r="K555">
        <v>50</v>
      </c>
      <c r="L555">
        <v>1</v>
      </c>
    </row>
    <row r="556">
      <c r="A556" t="str">
        <v>辰</v>
      </c>
      <c r="B556">
        <v>7</v>
      </c>
      <c r="C556" t="b">
        <v>0</v>
      </c>
      <c r="D556" t="str">
        <v>シン ジン</v>
      </c>
      <c r="E556" t="str">
        <v>たつ とき ひ</v>
      </c>
      <c r="F556" t="str">
        <v>のぶ のぶる よし</v>
      </c>
      <c r="G556" t="str">
        <v>とき。ひ。時刻。 たつ。十二支の五番目。方位では東南東。時刻では午前八時、および前後の二時間。想像上の生き物の竜（たつ）が当てられる。 太陽、月、星の総称。天体。 二十八宿の一つ。なかごぼし。 朝。早朝。 太陽と月が交わるとき。新月。</v>
      </c>
      <c r="H556" t="str">
        <v>#天空</v>
      </c>
      <c r="I556">
        <v>98</v>
      </c>
      <c r="J556">
        <v>75</v>
      </c>
      <c r="K556">
        <v>40</v>
      </c>
      <c r="L556">
        <v>0</v>
      </c>
      <c r="M556">
        <f>VLOOKUP(A556,[1]kanji_data!$A:$N,14,FALSE)</f>
        <v>0</v>
      </c>
    </row>
    <row r="557">
      <c r="A557" t="str">
        <v>杜</v>
      </c>
      <c r="B557">
        <v>7</v>
      </c>
      <c r="C557" t="b">
        <v>0</v>
      </c>
      <c r="D557" t="str">
        <v>ズ ト</v>
      </c>
      <c r="E557" t="str">
        <v>と（じる） ふさ（ぐ） もり やまなし</v>
      </c>
      <c r="F557">
        <v>0</v>
      </c>
      <c r="G557" t="str">
        <v>やまなし。バラ科の落葉高木。 とじる。ふさぐ。とざす。 もり。木々が密集した場所。また、神社を囲む森林。</v>
      </c>
      <c r="H557" t="str">
        <v>#自然</v>
      </c>
      <c r="I557">
        <v>10</v>
      </c>
      <c r="J557">
        <v>75</v>
      </c>
      <c r="K557">
        <v>40</v>
      </c>
      <c r="L557">
        <v>0</v>
      </c>
      <c r="M557">
        <f>VLOOKUP(A557,[1]kanji_data!$A:$N,14,FALSE)</f>
        <v>0</v>
      </c>
    </row>
    <row r="558">
      <c r="A558" t="str">
        <v>貯</v>
      </c>
      <c r="B558">
        <v>12</v>
      </c>
      <c r="C558" t="b">
        <v>1</v>
      </c>
      <c r="D558" t="str">
        <v>チョ</v>
      </c>
      <c r="E558" t="str">
        <v>たくわ（える）</v>
      </c>
      <c r="F558">
        <v>0</v>
      </c>
      <c r="G558" t="str">
        <v>ためる。しまっておく。たくわえる。たくわえ。</v>
      </c>
      <c r="I558">
        <v>10</v>
      </c>
      <c r="J558">
        <v>50</v>
      </c>
      <c r="K558">
        <v>50</v>
      </c>
      <c r="L558">
        <v>1</v>
      </c>
    </row>
    <row r="559">
      <c r="A559" t="str">
        <v>佃</v>
      </c>
      <c r="B559">
        <v>7</v>
      </c>
      <c r="C559" t="b">
        <v>0</v>
      </c>
      <c r="D559" t="str">
        <v>テン デン</v>
      </c>
      <c r="E559" t="str">
        <v>か（り） たがや（す） つくだ</v>
      </c>
      <c r="F559">
        <v>0</v>
      </c>
      <c r="G559" t="str">
        <v>かり。狩りをする。 たがやす。田畑を耕す。 つくだ。山野を切りひらいて作った田畑。</v>
      </c>
      <c r="H559" t="str">
        <v>#自然</v>
      </c>
      <c r="I559">
        <v>10</v>
      </c>
      <c r="J559">
        <v>65</v>
      </c>
      <c r="K559">
        <v>45</v>
      </c>
      <c r="L559">
        <v>1</v>
      </c>
    </row>
    <row r="560">
      <c r="A560" t="str">
        <v>飯</v>
      </c>
      <c r="B560">
        <v>12</v>
      </c>
      <c r="C560" t="b">
        <v>1</v>
      </c>
      <c r="D560" t="str">
        <v>ハン</v>
      </c>
      <c r="E560" t="str">
        <v>めし いい くら（う） まま</v>
      </c>
      <c r="F560">
        <v>0</v>
      </c>
      <c r="G560" t="str">
        <v>めし。いい。まま。ごはん。 くらう。くらわす。めしを食べる。また、めしを食べさせる。</v>
      </c>
      <c r="I560">
        <v>10</v>
      </c>
      <c r="J560">
        <v>50</v>
      </c>
      <c r="K560">
        <v>50</v>
      </c>
      <c r="L560">
        <v>1</v>
      </c>
    </row>
    <row r="561">
      <c r="A561" t="str">
        <v>兎</v>
      </c>
      <c r="B561">
        <v>7</v>
      </c>
      <c r="C561" t="b">
        <v>0</v>
      </c>
      <c r="D561" t="str">
        <v>ト</v>
      </c>
      <c r="E561" t="str">
        <v>うさぎ</v>
      </c>
      <c r="F561">
        <v>0</v>
      </c>
      <c r="G561" t="str">
        <v>うさぎ。ウサギ目の哺乳動物の総称。 月。月の別名。</v>
      </c>
      <c r="H561" t="str">
        <v>#天空</v>
      </c>
      <c r="I561">
        <v>10</v>
      </c>
      <c r="J561">
        <v>50</v>
      </c>
      <c r="K561">
        <v>50</v>
      </c>
      <c r="L561">
        <v>0</v>
      </c>
      <c r="M561">
        <f>VLOOKUP(A561,[1]kanji_data!$A:$N,14,FALSE)</f>
        <v>0</v>
      </c>
    </row>
    <row r="562">
      <c r="A562" t="str">
        <v>過</v>
      </c>
      <c r="B562">
        <v>12</v>
      </c>
      <c r="C562" t="b">
        <v>1</v>
      </c>
      <c r="D562" t="str">
        <v>カ</v>
      </c>
      <c r="E562" t="str">
        <v>す（ぎる） す（ごす） あやま（ち） あやま（つ） とが よぎ（る）</v>
      </c>
      <c r="F562">
        <v>0</v>
      </c>
      <c r="G562" t="str">
        <v>すぎる。とおる。ゆきすぎる。とおりすぎる。よぎる。 すごす。くらす。 すぎる。時間がたつ。時がたつ。 あやまる。あやまつ。間違える。 あやまり。あやまち。間違い。しくじり。とが。 責める。とがめる。</v>
      </c>
      <c r="I562">
        <v>10</v>
      </c>
      <c r="J562">
        <v>50</v>
      </c>
      <c r="K562">
        <v>50</v>
      </c>
      <c r="L562">
        <v>1</v>
      </c>
    </row>
    <row r="563">
      <c r="A563" t="str">
        <v>減</v>
      </c>
      <c r="B563">
        <v>12</v>
      </c>
      <c r="C563" t="b">
        <v>1</v>
      </c>
      <c r="D563" t="str">
        <v>ゲン</v>
      </c>
      <c r="E563" t="str">
        <v>へ（らす） へ（る）</v>
      </c>
      <c r="F563">
        <v>0</v>
      </c>
      <c r="G563" t="str">
        <v>へる。へらす。分量が少なくなる。少なくする。 数を引く。引き算。減法。 そぐ。そこなう。</v>
      </c>
      <c r="I563">
        <v>10</v>
      </c>
      <c r="J563">
        <v>50</v>
      </c>
      <c r="K563">
        <v>50</v>
      </c>
      <c r="L563">
        <v>1</v>
      </c>
    </row>
    <row r="564">
      <c r="A564" t="str">
        <v>庇</v>
      </c>
      <c r="B564">
        <v>7</v>
      </c>
      <c r="C564" t="b">
        <v>0</v>
      </c>
      <c r="D564" t="str">
        <v>ヒ</v>
      </c>
      <c r="E564" t="str">
        <v>かば（う） ひさし</v>
      </c>
      <c r="F564">
        <v>0</v>
      </c>
      <c r="G564" t="str">
        <v>かばう。守り助ける。保護する。 ひさし。家の軒に差し出して雨や日光をさえぎるための小さな屋根。</v>
      </c>
      <c r="H564" t="str">
        <v>#健康 #慈愛 #海・水 #自然</v>
      </c>
      <c r="I564">
        <v>10</v>
      </c>
      <c r="J564">
        <v>80</v>
      </c>
      <c r="K564">
        <v>45</v>
      </c>
      <c r="L564">
        <v>1</v>
      </c>
    </row>
    <row r="565">
      <c r="A565" t="str">
        <v>甫</v>
      </c>
      <c r="B565">
        <v>7</v>
      </c>
      <c r="C565" t="b">
        <v>0</v>
      </c>
      <c r="D565" t="str">
        <v>フ ホ</v>
      </c>
      <c r="E565" t="str">
        <v>おお（きい） はじ（め）</v>
      </c>
      <c r="F565" t="str">
        <v>すけ とし なみ のり はじめ まさ み もと よし</v>
      </c>
      <c r="G565" t="str">
        <v>はじめ。はじめて。はじめたて。 ひろい。おおきい。 男子に対する敬称。年長の男性を敬い、名を呼ぶときにその名につける語。例：尼甫（ジホ）＝孔子</v>
      </c>
      <c r="H565" t="str">
        <v>#繁栄</v>
      </c>
      <c r="I565">
        <v>85</v>
      </c>
      <c r="J565">
        <v>75</v>
      </c>
      <c r="K565">
        <v>45</v>
      </c>
      <c r="L565">
        <v>0</v>
      </c>
      <c r="M565">
        <f>VLOOKUP(A565,[1]kanji_data!$A:$N,14,FALSE)</f>
        <v>0</v>
      </c>
    </row>
    <row r="566">
      <c r="A566" t="str">
        <v>芙</v>
      </c>
      <c r="B566">
        <v>7</v>
      </c>
      <c r="C566" t="b">
        <v>0</v>
      </c>
      <c r="D566" t="str">
        <v>フ</v>
      </c>
      <c r="E566" t="str">
        <v>はす</v>
      </c>
      <c r="F566">
        <v>0</v>
      </c>
      <c r="G566" t="str">
        <v>はす。はちす。草花の名。</v>
      </c>
      <c r="H566" t="str">
        <v>#花・彩</v>
      </c>
      <c r="I566">
        <v>80</v>
      </c>
      <c r="J566">
        <v>20</v>
      </c>
      <c r="K566">
        <v>100</v>
      </c>
      <c r="L566">
        <v>0</v>
      </c>
      <c r="M566">
        <f>VLOOKUP(A566,[1]kanji_data!$A:$N,14,FALSE)</f>
        <v>0</v>
      </c>
    </row>
    <row r="567">
      <c r="A567" t="str">
        <v>貸</v>
      </c>
      <c r="B567">
        <v>12</v>
      </c>
      <c r="C567" t="b">
        <v>1</v>
      </c>
      <c r="D567" t="str">
        <v>タイ</v>
      </c>
      <c r="E567" t="str">
        <v>か（す）</v>
      </c>
      <c r="F567">
        <v>0</v>
      </c>
      <c r="G567" t="str">
        <v>かす。金品などを一時的にかす。 ゆるい。ゆるやかにする。 借り入れる。借りる。 乞う。 たがう。</v>
      </c>
      <c r="I567">
        <v>10</v>
      </c>
      <c r="J567">
        <v>50</v>
      </c>
      <c r="K567">
        <v>50</v>
      </c>
      <c r="L567">
        <v>1</v>
      </c>
    </row>
    <row r="568">
      <c r="A568" t="str">
        <v>牡</v>
      </c>
      <c r="B568">
        <v>7</v>
      </c>
      <c r="C568" t="b">
        <v>0</v>
      </c>
      <c r="D568" t="str">
        <v>ボ ボウ</v>
      </c>
      <c r="E568" t="str">
        <v>お おす</v>
      </c>
      <c r="F568">
        <v>0</v>
      </c>
      <c r="G568" t="str">
        <v>お。おす。鳥獣の雄。 丘。丘陵。 かぎ。穴にさしこむもの。</v>
      </c>
      <c r="H568" t="str">
        <v>#勇気 #自然</v>
      </c>
      <c r="I568">
        <v>10</v>
      </c>
      <c r="J568">
        <v>25</v>
      </c>
      <c r="K568">
        <v>85</v>
      </c>
      <c r="L568">
        <v>0</v>
      </c>
      <c r="M568">
        <f>VLOOKUP(A568,[1]kanji_data!$A:$N,14,FALSE)</f>
        <v>0</v>
      </c>
    </row>
    <row r="569">
      <c r="A569" t="str">
        <v>割</v>
      </c>
      <c r="B569">
        <v>12</v>
      </c>
      <c r="C569" t="b">
        <v>1</v>
      </c>
      <c r="D569" t="str">
        <v>カツ</v>
      </c>
      <c r="E569" t="str">
        <v>わり わ（る） わ（れる） さ（く）</v>
      </c>
      <c r="F569">
        <v>0</v>
      </c>
      <c r="G569" t="str">
        <v>わる。われる。分ける。 さく。切りさく。 切りとる。断ち切る。途中で切る。 わり。比率。割合。 わる。除算。割り算。 わる。壊す。破壊する。 わる。水などと混ぜ合わせる。</v>
      </c>
      <c r="I569">
        <v>10</v>
      </c>
      <c r="J569">
        <v>50</v>
      </c>
      <c r="K569">
        <v>50</v>
      </c>
      <c r="L569">
        <v>1</v>
      </c>
    </row>
    <row r="570">
      <c r="A570" t="str">
        <v>李</v>
      </c>
      <c r="B570">
        <v>7</v>
      </c>
      <c r="C570" t="b">
        <v>0</v>
      </c>
      <c r="D570" t="str">
        <v>リ</v>
      </c>
      <c r="E570" t="str">
        <v>すもも</v>
      </c>
      <c r="F570" t="str">
        <v>もも</v>
      </c>
      <c r="G570" t="str">
        <v>すもも。バラ科の落葉高木。 役人。裁判官。獄官。</v>
      </c>
      <c r="H570" t="str">
        <v>#自然</v>
      </c>
      <c r="I570">
        <v>90</v>
      </c>
      <c r="J570">
        <v>60</v>
      </c>
      <c r="K570">
        <v>50</v>
      </c>
      <c r="L570">
        <v>0</v>
      </c>
      <c r="M570">
        <f>VLOOKUP(A570,[1]kanji_data!$A:$N,14,FALSE)</f>
        <v>0</v>
      </c>
    </row>
    <row r="571">
      <c r="A571" t="str">
        <v>伶</v>
      </c>
      <c r="B571">
        <v>7</v>
      </c>
      <c r="C571" t="b">
        <v>0</v>
      </c>
      <c r="D571" t="str">
        <v>リョウ レイ</v>
      </c>
      <c r="E571" t="str">
        <v>さか（しい） わざおぎ</v>
      </c>
      <c r="F571" t="str">
        <v>とし れ</v>
      </c>
      <c r="G571" t="str">
        <v>さかしい。かしこい。頭がよい。利口。 わざおぎ。音楽を演奏する人や踊りを踊る人。 召し使い。こもの。</v>
      </c>
      <c r="H571" t="str">
        <v>#知性</v>
      </c>
      <c r="I571">
        <v>75</v>
      </c>
      <c r="J571">
        <v>55</v>
      </c>
      <c r="K571">
        <v>55</v>
      </c>
      <c r="L571">
        <v>0</v>
      </c>
      <c r="M571">
        <f>VLOOKUP(A571,[1]kanji_data!$A:$N,14,FALSE)</f>
        <v>0</v>
      </c>
    </row>
    <row r="572">
      <c r="A572" t="str">
        <v>衆</v>
      </c>
      <c r="B572">
        <v>12</v>
      </c>
      <c r="C572" t="b">
        <v>1</v>
      </c>
      <c r="D572" t="str">
        <v>シュウ シュ</v>
      </c>
      <c r="E572" t="str">
        <v>おお（い）</v>
      </c>
      <c r="F572" t="str">
        <v>あつむ とも ひろ もり もろ</v>
      </c>
      <c r="G572" t="str">
        <v>多い。多くの人。多くのもの。もろもろ。 民。庶民。</v>
      </c>
      <c r="I572">
        <v>30</v>
      </c>
      <c r="J572">
        <v>50</v>
      </c>
      <c r="K572">
        <v>50</v>
      </c>
      <c r="L572">
        <v>1</v>
      </c>
    </row>
    <row r="573">
      <c r="A573" t="str">
        <v>補</v>
      </c>
      <c r="B573">
        <v>12</v>
      </c>
      <c r="C573" t="b">
        <v>1</v>
      </c>
      <c r="D573" t="str">
        <v>ホ フ</v>
      </c>
      <c r="E573" t="str">
        <v>おぎな（う） たす（ける）</v>
      </c>
      <c r="F573" t="str">
        <v>さだ すけ たすく</v>
      </c>
      <c r="G573" t="str">
        <v>おぎなう。つくろう。不足したものをうめあわせる。助ける。 おぎない。たすけ。 官職を授ける。</v>
      </c>
      <c r="H573" t="str">
        <v>#慈愛 #調和</v>
      </c>
      <c r="I573">
        <v>45</v>
      </c>
      <c r="J573">
        <v>45</v>
      </c>
      <c r="K573">
        <v>45</v>
      </c>
      <c r="L573">
        <v>0</v>
      </c>
    </row>
    <row r="574">
      <c r="A574" t="str">
        <v>佛</v>
      </c>
      <c r="B574">
        <v>7</v>
      </c>
      <c r="C574" t="b">
        <v>0</v>
      </c>
      <c r="D574" t="str">
        <v>ブツ フツ</v>
      </c>
      <c r="E574" t="str">
        <v>ほとけ</v>
      </c>
      <c r="F574">
        <v>0</v>
      </c>
      <c r="G574" t="str">
        <v>ほとけ。悟りを開いた者。 仏教。また、仏教徒。 国名「佛蘭西（フランス）」の略。</v>
      </c>
      <c r="H574" t="str">
        <v>#知性</v>
      </c>
      <c r="I574">
        <v>10</v>
      </c>
      <c r="J574">
        <v>55</v>
      </c>
      <c r="K574">
        <v>55</v>
      </c>
      <c r="L574">
        <v>1</v>
      </c>
    </row>
    <row r="575">
      <c r="A575" t="str">
        <v>壯</v>
      </c>
      <c r="B575">
        <v>7</v>
      </c>
      <c r="C575" t="b">
        <v>0</v>
      </c>
      <c r="D575" t="str">
        <v>ソウ ショウ</v>
      </c>
      <c r="E575" t="str">
        <v>さか（ん）</v>
      </c>
      <c r="F575">
        <v>0</v>
      </c>
      <c r="G575" t="str">
        <v>若くて元気な男性。特に三十代前後の男性。 さかん。勇ましい。勢いがある。 さかん。大きい。立派。</v>
      </c>
      <c r="H575" t="str">
        <v>#勇気 #品格 #繁栄</v>
      </c>
      <c r="I575">
        <v>10</v>
      </c>
      <c r="J575">
        <v>85</v>
      </c>
      <c r="K575">
        <v>30</v>
      </c>
      <c r="L575">
        <v>0</v>
      </c>
      <c r="M575">
        <f>VLOOKUP(A575,[1]kanji_data!$A:$N,14,FALSE)</f>
        <v>0</v>
      </c>
    </row>
    <row r="576">
      <c r="A576" t="str">
        <v>棒</v>
      </c>
      <c r="B576">
        <v>12</v>
      </c>
      <c r="C576" t="b">
        <v>1</v>
      </c>
      <c r="D576" t="str">
        <v>ボウ ホウ</v>
      </c>
      <c r="E576">
        <v>0</v>
      </c>
      <c r="F576">
        <v>0</v>
      </c>
      <c r="G576" t="str">
        <v>ぼう。つえ。 うつ。たたく。ぼうで叩く。 ぼう。まっすぐな線。 ぼう。ぼうのようにまっすぐで変化のないこと。</v>
      </c>
      <c r="I576">
        <v>10</v>
      </c>
      <c r="J576">
        <v>50</v>
      </c>
      <c r="K576">
        <v>50</v>
      </c>
      <c r="L576">
        <v>1</v>
      </c>
    </row>
    <row r="577">
      <c r="A577" t="str">
        <v>步</v>
      </c>
      <c r="B577">
        <v>7</v>
      </c>
      <c r="C577" t="b">
        <v>0</v>
      </c>
      <c r="D577" t="str">
        <v>ホ ブ フ</v>
      </c>
      <c r="E577" t="str">
        <v>あゆ（む） ある（く）</v>
      </c>
      <c r="F577">
        <v>0</v>
      </c>
      <c r="G577" t="str">
        <v>あるく。あゆむ。足を踏み出して前に進む。 あゆみ。歩き方。進み方。 はかる。天体の運行をはかる。 長さの単位。一歩は、六尺。 ぶ。割合、また形勢。 ぶ。利率の単位。一歩は、一割の十分の一。 ぶ。面積の単位。一歩は、六尺四方。坪。 ふ。将棋の駒の名。</v>
      </c>
      <c r="H577" t="str">
        <v>#天空</v>
      </c>
      <c r="I577">
        <v>10</v>
      </c>
      <c r="J577">
        <v>70</v>
      </c>
      <c r="K577">
        <v>55</v>
      </c>
      <c r="L577">
        <v>0</v>
      </c>
      <c r="M577">
        <f>VLOOKUP(A577,[1]kanji_data!$A:$N,14,FALSE)</f>
        <v>0</v>
      </c>
    </row>
    <row r="578">
      <c r="A578" t="str">
        <v>握</v>
      </c>
      <c r="B578">
        <v>12</v>
      </c>
      <c r="C578" t="b">
        <v>1</v>
      </c>
      <c r="D578" t="str">
        <v>アク</v>
      </c>
      <c r="E578" t="str">
        <v>にぎ（る）</v>
      </c>
      <c r="F578">
        <v>0</v>
      </c>
      <c r="G578" t="str">
        <v>にぎる。つかむ。にぎりしめる。 にぎる。手中におさめる。自分のものにする。 にぎり。容量の単位。ひとにぎりの量。 にぎり。長さの単位。にぎりこぶしの幅。</v>
      </c>
      <c r="I578">
        <v>10</v>
      </c>
      <c r="J578">
        <v>50</v>
      </c>
      <c r="K578">
        <v>50</v>
      </c>
      <c r="L578">
        <v>1</v>
      </c>
    </row>
    <row r="579">
      <c r="A579" t="str">
        <v>雨</v>
      </c>
      <c r="B579">
        <v>8</v>
      </c>
      <c r="C579" t="b">
        <v>1</v>
      </c>
      <c r="D579" t="str">
        <v>ウ</v>
      </c>
      <c r="E579" t="str">
        <v>あま あめ</v>
      </c>
      <c r="F579" t="str">
        <v>さめ ふる</v>
      </c>
      <c r="G579" t="str">
        <v>あめ。あま。空から落ちてくる水滴。 ふる。あめふる。雨がふる。 ふる。雨のようにふる。</v>
      </c>
      <c r="H579" t="str">
        <v>#水景 #天空</v>
      </c>
      <c r="I579">
        <v>50</v>
      </c>
      <c r="J579">
        <v>40</v>
      </c>
      <c r="K579">
        <v>70</v>
      </c>
      <c r="L579">
        <v>0</v>
      </c>
      <c r="M579">
        <f>VLOOKUP(A579,[1]kanji_data!$A:$N,14,FALSE)</f>
        <v>0</v>
      </c>
    </row>
    <row r="580">
      <c r="A580" t="str">
        <v>学</v>
      </c>
      <c r="B580">
        <v>8</v>
      </c>
      <c r="C580" t="b">
        <v>1</v>
      </c>
      <c r="D580" t="str">
        <v>ガク</v>
      </c>
      <c r="E580" t="str">
        <v>まな（ぶ）</v>
      </c>
      <c r="F580" t="str">
        <v>あきら さと たか のり ひさ まなぶ みち</v>
      </c>
      <c r="G580" t="str">
        <v>まなぶ。教えてもらう。見習う。 まなぶ。勉強する。 まなび。まなぶこと。学問。学説。 まなびや。まなぶ場所。教育の場。 まなぶ者。学問をする人。</v>
      </c>
      <c r="H580" t="str">
        <v>#知性</v>
      </c>
      <c r="I580">
        <v>90</v>
      </c>
      <c r="J580">
        <v>70</v>
      </c>
      <c r="K580">
        <v>50</v>
      </c>
      <c r="L580">
        <v>0</v>
      </c>
      <c r="M580">
        <f>VLOOKUP(A580,[1]kanji_data!$A:$N,14,FALSE)</f>
        <v>0</v>
      </c>
    </row>
    <row r="581">
      <c r="A581" t="str">
        <v>空</v>
      </c>
      <c r="B581">
        <v>8</v>
      </c>
      <c r="C581" t="b">
        <v>1</v>
      </c>
      <c r="D581" t="str">
        <v>クウ</v>
      </c>
      <c r="E581" t="str">
        <v>あ（く） あ（ける） から そら あな うつ（ける） うつ（ろ） うろ す（く） むな（しい）</v>
      </c>
      <c r="F581" t="str">
        <v>く たか</v>
      </c>
      <c r="G581" t="str">
        <v>そら。おおぞら。大気。 むなしい。さびしい。何もない。とぼしい。無駄。虚ろ。あき。 むなしくする。からっぽにする。 広い。大きい。 から。うつろ。中身がない。人がいない。 むなしく。いたずらに。無駄に。 あな。つきぬけたあな。 すきま。間があいている。</v>
      </c>
      <c r="H581" t="str">
        <v>#天空 #繁栄</v>
      </c>
      <c r="I581">
        <v>100</v>
      </c>
      <c r="J581">
        <v>80</v>
      </c>
      <c r="K581">
        <v>50</v>
      </c>
      <c r="L581">
        <v>0</v>
      </c>
      <c r="M581">
        <f>VLOOKUP(A581,[1]kanji_data!$A:$N,14,FALSE)</f>
        <v>0</v>
      </c>
    </row>
    <row r="582">
      <c r="A582" t="str">
        <v>金</v>
      </c>
      <c r="B582">
        <v>8</v>
      </c>
      <c r="C582" t="b">
        <v>1</v>
      </c>
      <c r="D582" t="str">
        <v>キン コン</v>
      </c>
      <c r="E582" t="str">
        <v>かな かね こがね</v>
      </c>
      <c r="F582" t="str">
        <v>か</v>
      </c>
      <c r="G582" t="str">
        <v>かね。金属の総称。 こがね。きん。黄金。 かね。おかね。貨幣。金銭。 金属で作られた楽器。八音（「金」「石」「糸」「竹」「匏」「土」「革」「木」）の一つ。 金色。黄金色。黄色い。 かたい。かたいもののたとえ。 黄金のように美しいもの。貴重なもののたとえ。 五行の一つ。方位では西。色では白。 星の名前。金星。 きん。将棋の駒のひとつ。金将。 きん。金曜日。七曜のひとつ。</v>
      </c>
      <c r="H582" t="str">
        <v>#天空 #自然 #花・彩</v>
      </c>
      <c r="I582">
        <v>90</v>
      </c>
      <c r="J582">
        <v>20</v>
      </c>
      <c r="K582">
        <v>100</v>
      </c>
      <c r="L582">
        <v>0</v>
      </c>
      <c r="M582">
        <f>VLOOKUP(A582,[1]kanji_data!$A:$N,14,FALSE)</f>
        <v>0</v>
      </c>
    </row>
    <row r="583">
      <c r="A583" t="str">
        <v>青</v>
      </c>
      <c r="B583">
        <v>8</v>
      </c>
      <c r="C583" t="b">
        <v>1</v>
      </c>
      <c r="D583" t="str">
        <v>セイ ショウ</v>
      </c>
      <c r="E583" t="str">
        <v>あお あお（い）</v>
      </c>
      <c r="F583" t="str">
        <v>きよ しげ しげる じょう はる</v>
      </c>
      <c r="G583" t="str">
        <v>あお。あおい。あお色。 若い。若々しい。 古代中国の九州のひとつ。青州。 あお。青馬。馬。 あお。未熟。</v>
      </c>
      <c r="H583" t="str">
        <v>#天空 #自然 #花・彩</v>
      </c>
      <c r="I583">
        <v>95</v>
      </c>
      <c r="J583">
        <v>25</v>
      </c>
      <c r="K583">
        <v>90</v>
      </c>
      <c r="L583">
        <v>0</v>
      </c>
      <c r="M583">
        <f>VLOOKUP(A583,[1]kanji_data!$A:$N,14,FALSE)</f>
        <v>0</v>
      </c>
    </row>
    <row r="584">
      <c r="A584" t="str">
        <v>林</v>
      </c>
      <c r="B584">
        <v>8</v>
      </c>
      <c r="C584" t="b">
        <v>1</v>
      </c>
      <c r="D584" t="str">
        <v>リン</v>
      </c>
      <c r="E584" t="str">
        <v>はやし おお（い）</v>
      </c>
      <c r="F584" t="str">
        <v>き しげ もと もり よし</v>
      </c>
      <c r="G584" t="str">
        <v>はやし。木や竹などがむらがり生えた所。 おおい。数が多いさま。さかんなさま。</v>
      </c>
      <c r="H584" t="str">
        <v>#繁栄 #自然</v>
      </c>
      <c r="I584">
        <v>70</v>
      </c>
      <c r="J584">
        <v>50</v>
      </c>
      <c r="K584">
        <v>50</v>
      </c>
      <c r="L584">
        <v>0</v>
      </c>
      <c r="M584">
        <f>VLOOKUP(A584,[1]kanji_data!$A:$N,14,FALSE)</f>
        <v>0</v>
      </c>
    </row>
    <row r="585">
      <c r="A585" t="str">
        <v>替</v>
      </c>
      <c r="B585">
        <v>12</v>
      </c>
      <c r="C585" t="b">
        <v>1</v>
      </c>
      <c r="D585" t="str">
        <v>タイ テイ</v>
      </c>
      <c r="E585" t="str">
        <v>か（える） か（わる）</v>
      </c>
      <c r="F585">
        <v>0</v>
      </c>
      <c r="G585" t="str">
        <v>かわる。かえる。入れかわる。とりかえる。他のものにかえる。 すたれる。おとろえる。だめになる。</v>
      </c>
      <c r="I585">
        <v>10</v>
      </c>
      <c r="J585">
        <v>50</v>
      </c>
      <c r="K585">
        <v>50</v>
      </c>
      <c r="L585">
        <v>1</v>
      </c>
    </row>
    <row r="586">
      <c r="A586" t="str">
        <v>岩</v>
      </c>
      <c r="B586">
        <v>8</v>
      </c>
      <c r="C586" t="b">
        <v>1</v>
      </c>
      <c r="D586" t="str">
        <v>ガン</v>
      </c>
      <c r="E586" t="str">
        <v>いわ</v>
      </c>
      <c r="F586">
        <v>0</v>
      </c>
      <c r="G586" t="str">
        <v>いわ。いわお。ごつごつした大きな石。＝巌</v>
      </c>
      <c r="H586" t="str">
        <v>#自然</v>
      </c>
      <c r="I586">
        <v>10</v>
      </c>
      <c r="J586">
        <v>85</v>
      </c>
      <c r="K586">
        <v>30</v>
      </c>
      <c r="L586">
        <v>0</v>
      </c>
      <c r="M586">
        <f>VLOOKUP(A586,[1]kanji_data!$A:$N,14,FALSE)</f>
        <v>0</v>
      </c>
    </row>
    <row r="587">
      <c r="A587" t="str">
        <v>京</v>
      </c>
      <c r="B587">
        <v>8</v>
      </c>
      <c r="C587" t="b">
        <v>1</v>
      </c>
      <c r="D587" t="str">
        <v>キョウ ケイ キン</v>
      </c>
      <c r="E587" t="str">
        <v>みやこ</v>
      </c>
      <c r="F587" t="str">
        <v>あつ おさむ たかし ちか ひろし</v>
      </c>
      <c r="G587" t="str">
        <v>みやこ。王政のある地。国の中心地。 高い。大きい。盛ん。また、高い丘。 うれえるさま。心配なさま。 けい。数の単位。兆の一万倍。</v>
      </c>
      <c r="H587" t="str">
        <v>#自然</v>
      </c>
      <c r="I587">
        <v>50</v>
      </c>
      <c r="J587">
        <v>50</v>
      </c>
      <c r="K587">
        <v>50</v>
      </c>
      <c r="L587">
        <v>0</v>
      </c>
      <c r="M587">
        <f>VLOOKUP(A587,[1]kanji_data!$A:$N,14,FALSE)</f>
        <v>0</v>
      </c>
    </row>
    <row r="588">
      <c r="A588" t="str">
        <v>国</v>
      </c>
      <c r="B588">
        <v>8</v>
      </c>
      <c r="C588" t="b">
        <v>1</v>
      </c>
      <c r="D588" t="str">
        <v>コク</v>
      </c>
      <c r="E588" t="str">
        <v>くに</v>
      </c>
      <c r="F588" t="str">
        <v>とき</v>
      </c>
      <c r="G588" t="str">
        <v>くに。国家。 くに。諸侯の治める領地。 くに。特定の政府に属する地域。 みやこ。首都。首府。 くに。わが国。自分の国。</v>
      </c>
      <c r="H588" t="str">
        <v>#品格</v>
      </c>
      <c r="I588">
        <v>70</v>
      </c>
      <c r="J588">
        <v>75</v>
      </c>
      <c r="K588">
        <v>40</v>
      </c>
      <c r="L588">
        <v>0</v>
      </c>
      <c r="M588">
        <f>VLOOKUP(A588,[1]kanji_data!$A:$N,14,FALSE)</f>
        <v>0</v>
      </c>
    </row>
    <row r="589">
      <c r="A589" t="str">
        <v>弾</v>
      </c>
      <c r="B589">
        <v>12</v>
      </c>
      <c r="C589" t="b">
        <v>1</v>
      </c>
      <c r="D589" t="str">
        <v>ダン</v>
      </c>
      <c r="E589" t="str">
        <v>たま はず（む） ひ（く） ただ（す） はじ（く） はじ（ける） はず（み）</v>
      </c>
      <c r="F589">
        <v>0</v>
      </c>
      <c r="G589" t="str">
        <v>たま。はじき弓のたま。鉄砲などのたま。 はじく。指先ではじく。指先ではねのける。 ひく。弦楽器をかなでる。 ただす。罪や過ちを責める。 はずむ。ものがはね返る。 はずむ。勢いづく。勢いにのる。</v>
      </c>
      <c r="I589">
        <v>10</v>
      </c>
      <c r="J589">
        <v>50</v>
      </c>
      <c r="K589">
        <v>50</v>
      </c>
      <c r="L589">
        <v>1</v>
      </c>
    </row>
    <row r="590">
      <c r="A590" t="str">
        <v>知</v>
      </c>
      <c r="B590">
        <v>8</v>
      </c>
      <c r="C590" t="b">
        <v>1</v>
      </c>
      <c r="D590" t="str">
        <v>チ</v>
      </c>
      <c r="E590" t="str">
        <v>し（る） し（らせる）</v>
      </c>
      <c r="F590" t="str">
        <v>あき あきら おき かず さと さとし さとり さとる ちか つぐ とし とも のり はる</v>
      </c>
      <c r="G590" t="str">
        <v>しる。さとる。みとめる。感じる。わかる。 しらせ。しらせる。 しりあい。相手をしっている。 しっている事がら。例：知識 おさめる。つかさどる。 ちえ。考える能力。物事の本質を見抜く力。</v>
      </c>
      <c r="H590" t="str">
        <v>#知性</v>
      </c>
      <c r="I590">
        <v>100</v>
      </c>
      <c r="J590">
        <v>100</v>
      </c>
      <c r="K590">
        <v>35</v>
      </c>
      <c r="L590">
        <v>0</v>
      </c>
      <c r="M590">
        <f>VLOOKUP(A590,[1]kanji_data!$A:$N,14,FALSE)</f>
        <v>0</v>
      </c>
    </row>
    <row r="591">
      <c r="A591" t="str">
        <v>長</v>
      </c>
      <c r="B591">
        <v>8</v>
      </c>
      <c r="C591" t="b">
        <v>1</v>
      </c>
      <c r="D591" t="str">
        <v>チョウ ジョウ</v>
      </c>
      <c r="E591" t="str">
        <v>なが（い） おさ た（ける）</v>
      </c>
      <c r="F591" t="str">
        <v>たか たかし たけ たけし つね なが ながし のぶ ひさ ひさし まさ まさる ます みち</v>
      </c>
      <c r="G591" t="str">
        <v>ながい。時間がながい。 ながい。物がながい。大きい。 ながい。距離がながい。 たけ。ながさ。背のたけ。身長。 ながく。いつまでも。永久に。 おさ。かしら。ひきいる者。 年上。目上。高齢の人。 たける。そだつ。のびる。 たける。すぐれている。 むだ。あまり。余計な。</v>
      </c>
      <c r="H591" t="str">
        <v>#品格</v>
      </c>
      <c r="I591">
        <v>85</v>
      </c>
      <c r="J591">
        <v>80</v>
      </c>
      <c r="K591">
        <v>50</v>
      </c>
      <c r="L591">
        <v>0</v>
      </c>
      <c r="M591">
        <f>VLOOKUP(A591,[1]kanji_data!$A:$N,14,FALSE)</f>
        <v>0</v>
      </c>
    </row>
    <row r="592">
      <c r="A592" t="str">
        <v>直</v>
      </c>
      <c r="B592">
        <v>8</v>
      </c>
      <c r="C592" t="b">
        <v>1</v>
      </c>
      <c r="D592" t="str">
        <v>ジキ チョク チ</v>
      </c>
      <c r="E592" t="str">
        <v>ただ（ちに） なお（す） なお（る） あたい じか すぐ ひた</v>
      </c>
      <c r="F592" t="str">
        <v>すなお ただし まさ</v>
      </c>
      <c r="G592" t="str">
        <v>正しい。曲がっていない。すなお。まっすぐ。なおい。 なおす。なおる。正す。のばす。 あたる。番にあたる。事にあたる。 ただ。ただちに。すぐに。 じかに。間に何もなく。人や物を介さずに。 ね。あたい。値打ち。値段。価格。 あたいする。価値がある。値打ちがある。 なおす。なおる。元の状態になる。 ひた。ひたすら。ひたむき。ただ。</v>
      </c>
      <c r="H592" t="str">
        <v>#勇気 #品格 #心・志</v>
      </c>
      <c r="I592">
        <v>95</v>
      </c>
      <c r="J592">
        <v>100</v>
      </c>
      <c r="K592">
        <v>25</v>
      </c>
      <c r="L592">
        <v>0</v>
      </c>
      <c r="M592">
        <f>VLOOKUP(A592,[1]kanji_data!$A:$N,14,FALSE)</f>
        <v>0</v>
      </c>
    </row>
    <row r="593">
      <c r="A593" t="str">
        <v>遅</v>
      </c>
      <c r="B593">
        <v>12</v>
      </c>
      <c r="C593" t="b">
        <v>1</v>
      </c>
      <c r="D593" t="str">
        <v>チ</v>
      </c>
      <c r="E593" t="str">
        <v>おく（らす） おく（れる） おそ（い）</v>
      </c>
      <c r="F593">
        <v>0</v>
      </c>
      <c r="G593" t="str">
        <v>おくらす。おそくする。また、おくれる。おそくなる。 おそい。のろい。ゆっくりと。 待つ。待ち受ける。待ち望む。 すなわち。そこで。</v>
      </c>
      <c r="I593">
        <v>10</v>
      </c>
      <c r="J593">
        <v>50</v>
      </c>
      <c r="K593">
        <v>50</v>
      </c>
      <c r="L593">
        <v>1</v>
      </c>
    </row>
    <row r="594">
      <c r="A594" t="str">
        <v>東</v>
      </c>
      <c r="B594">
        <v>8</v>
      </c>
      <c r="C594" t="b">
        <v>1</v>
      </c>
      <c r="D594" t="str">
        <v>トウ</v>
      </c>
      <c r="E594" t="str">
        <v>ひがし あずま</v>
      </c>
      <c r="F594" t="str">
        <v>あきら き と はじめ はる ひで もと</v>
      </c>
      <c r="G594" t="str">
        <v>ひがし。方位の名。 ひがしする。東のほうにいく。 主人。古代、主人が東に、客が西に位置したことから。 あずま。箱根から東の地。関東。</v>
      </c>
      <c r="H594" t="str">
        <v>#自然</v>
      </c>
      <c r="I594">
        <v>40</v>
      </c>
      <c r="J594">
        <v>50</v>
      </c>
      <c r="K594">
        <v>55</v>
      </c>
      <c r="L594">
        <v>0</v>
      </c>
      <c r="M594">
        <f>VLOOKUP(A594,[1]kanji_data!$A:$N,14,FALSE)</f>
        <v>0</v>
      </c>
    </row>
    <row r="595">
      <c r="A595" t="str">
        <v>歩</v>
      </c>
      <c r="B595">
        <v>8</v>
      </c>
      <c r="C595" t="b">
        <v>1</v>
      </c>
      <c r="D595" t="str">
        <v>ホ ブ フ</v>
      </c>
      <c r="E595" t="str">
        <v>あゆ（む） ある（く）</v>
      </c>
      <c r="F595" t="str">
        <v>あゆみ あゆむ すすむ</v>
      </c>
      <c r="G595" t="str">
        <v>あるく。あゆむ。足を踏み出して前に進む。 あゆみ。歩き方。進み方。 はかる。天体の運行をはかる。 長さの単位。一歩は、六尺。 ぶ。割合、また形勢。 ぶ。利率の単位。一歩は、一割の十分の一。 ぶ。面積の単位。一歩は、六尺四方。坪。 ふ。将棋の駒の名。</v>
      </c>
      <c r="H595" t="str">
        <v>#天空</v>
      </c>
      <c r="I595">
        <v>90</v>
      </c>
      <c r="J595">
        <v>100</v>
      </c>
      <c r="K595">
        <v>30</v>
      </c>
      <c r="L595">
        <v>0</v>
      </c>
      <c r="M595">
        <f>VLOOKUP(A595,[1]kanji_data!$A:$N,14,FALSE)</f>
        <v>0</v>
      </c>
    </row>
    <row r="596">
      <c r="A596" t="str">
        <v>幅</v>
      </c>
      <c r="B596">
        <v>12</v>
      </c>
      <c r="C596" t="b">
        <v>1</v>
      </c>
      <c r="D596" t="str">
        <v>フク</v>
      </c>
      <c r="E596" t="str">
        <v>はば</v>
      </c>
      <c r="F596">
        <v>0</v>
      </c>
      <c r="G596" t="str">
        <v>はば。物のはば。物の横の長さ。 はば。布のはば。布の横の長さ。 掛け物。掛け軸。また、それを数える語。 はば。威勢。勢い。</v>
      </c>
      <c r="I596">
        <v>10</v>
      </c>
      <c r="J596">
        <v>50</v>
      </c>
      <c r="K596">
        <v>50</v>
      </c>
      <c r="L596">
        <v>1</v>
      </c>
    </row>
    <row r="597">
      <c r="A597" t="str">
        <v>明</v>
      </c>
      <c r="B597">
        <v>8</v>
      </c>
      <c r="C597" t="b">
        <v>1</v>
      </c>
      <c r="D597" t="str">
        <v>ミョウ メイ ミン</v>
      </c>
      <c r="E597" t="str">
        <v>あ（かす） あか（らむ） あ（かり） あか（るい） あか（るむ） あき（らか） あ（く） あ（くる） あ（ける）</v>
      </c>
      <c r="F597" t="str">
        <v>あきら あけ てる はる ひろ</v>
      </c>
      <c r="G597" t="str">
        <v>あかるい。光が当たってあかるい。 あきらか。はっきりしている。はっきりわかる。 あきらかにする。あかす。 あける。夜があける。日がのぼり、あかるくなる。 あくる。次の。夜や年があけて次の。 あかり。光。あかるくするためのもの。 この世。現在の世。 神。例：明神 みん。王朝の名前。 あき。あく。すき間。すき間ができる。 あかす。あきらかにする。あかるみに出す。 あかす。夜をあかす。眠らずに朝をむかえる。</v>
      </c>
      <c r="H597" t="str">
        <v>#天空 #知性</v>
      </c>
      <c r="I597">
        <v>100</v>
      </c>
      <c r="J597">
        <v>55</v>
      </c>
      <c r="K597">
        <v>65</v>
      </c>
      <c r="L597">
        <v>0</v>
      </c>
      <c r="M597">
        <f>VLOOKUP(A597,[1]kanji_data!$A:$N,14,FALSE)</f>
        <v>0</v>
      </c>
    </row>
    <row r="598">
      <c r="A598" t="str">
        <v>門</v>
      </c>
      <c r="B598">
        <v>8</v>
      </c>
      <c r="C598" t="b">
        <v>1</v>
      </c>
      <c r="D598" t="str">
        <v>モン ボン</v>
      </c>
      <c r="E598" t="str">
        <v>かど いえ と みうち</v>
      </c>
      <c r="F598" t="str">
        <v>ひろ ゆき</v>
      </c>
      <c r="G598" t="str">
        <v>かど。もん。建物などに出入りするために設けられたもの。 人や物などが出入りするところ。 家。家柄。身内。一族。 学問や宗教の系統。宗派。 物事の大まかな区分。 もん。大砲を数える助数詞。</v>
      </c>
      <c r="H598" t="str">
        <v>#品格 #心・志 #知性</v>
      </c>
      <c r="I598">
        <v>30</v>
      </c>
      <c r="J598">
        <v>75</v>
      </c>
      <c r="K598">
        <v>40</v>
      </c>
      <c r="L598">
        <v>0</v>
      </c>
      <c r="M598">
        <f>VLOOKUP(A598,[1]kanji_data!$A:$N,14,FALSE)</f>
        <v>0</v>
      </c>
    </row>
    <row r="599">
      <c r="A599" t="str">
        <v>帽</v>
      </c>
      <c r="B599">
        <v>12</v>
      </c>
      <c r="C599" t="b">
        <v>1</v>
      </c>
      <c r="D599" t="str">
        <v>ボウ</v>
      </c>
      <c r="E599">
        <v>0</v>
      </c>
      <c r="F599">
        <v>0</v>
      </c>
      <c r="G599" t="str">
        <v>ぼうし。頭にかぶるぼうし。かぶりもの。 物の上からかぶせるもの。</v>
      </c>
      <c r="I599">
        <v>10</v>
      </c>
      <c r="J599">
        <v>50</v>
      </c>
      <c r="K599">
        <v>50</v>
      </c>
      <c r="L599">
        <v>1</v>
      </c>
    </row>
    <row r="600">
      <c r="A600" t="str">
        <v>委</v>
      </c>
      <c r="B600">
        <v>8</v>
      </c>
      <c r="C600" t="b">
        <v>1</v>
      </c>
      <c r="D600" t="str">
        <v>イ</v>
      </c>
      <c r="E600" t="str">
        <v>ゆだ（ねる） お（く） くわ（しい） す（てる） まか（せる）</v>
      </c>
      <c r="F600">
        <v>0</v>
      </c>
      <c r="G600" t="str">
        <v>ゆだねる。まかせる。思いのままにさせる。 くわしい。こまかい。つぶさに。 すてる。おく。すておく。ほうっておく。 （人の動作などが）ゆったりと落ち着いているさま。また、美しいさま。</v>
      </c>
      <c r="H600" t="str">
        <v>#天空 #心・志 #花・彩</v>
      </c>
      <c r="I600">
        <v>10</v>
      </c>
      <c r="J600">
        <v>60</v>
      </c>
      <c r="K600">
        <v>50</v>
      </c>
      <c r="L600">
        <v>1</v>
      </c>
    </row>
    <row r="601">
      <c r="A601" t="str">
        <v>育</v>
      </c>
      <c r="B601">
        <v>8</v>
      </c>
      <c r="C601" t="b">
        <v>1</v>
      </c>
      <c r="D601" t="str">
        <v>イク</v>
      </c>
      <c r="E601" t="str">
        <v>そだ（つ） そだ（てる） はぐく（む）</v>
      </c>
      <c r="F601" t="str">
        <v>すけ なり なる やす</v>
      </c>
      <c r="G601" t="str">
        <v>生む。生まれる。 そだてる。はぐくむ。みちびく。やしなう。しつける。 そだつ。生長する。大きくなる。 幼い。</v>
      </c>
      <c r="H601" t="str">
        <v>#天空</v>
      </c>
      <c r="I601">
        <v>95</v>
      </c>
      <c r="J601">
        <v>35</v>
      </c>
      <c r="K601">
        <v>75</v>
      </c>
      <c r="L601">
        <v>0</v>
      </c>
      <c r="M601">
        <f>VLOOKUP(A601,[1]kanji_data!$A:$N,14,FALSE)</f>
        <v>0</v>
      </c>
    </row>
    <row r="602">
      <c r="A602" t="str">
        <v>換</v>
      </c>
      <c r="B602">
        <v>12</v>
      </c>
      <c r="C602" t="b">
        <v>1</v>
      </c>
      <c r="D602" t="str">
        <v>カン</v>
      </c>
      <c r="E602" t="str">
        <v>か（える） か（わる）</v>
      </c>
      <c r="F602">
        <v>0</v>
      </c>
      <c r="G602" t="str">
        <v>かえる。取りかえる。入れかえる。 かわる。入れかわる。</v>
      </c>
      <c r="I602">
        <v>10</v>
      </c>
      <c r="J602">
        <v>50</v>
      </c>
      <c r="K602">
        <v>50</v>
      </c>
      <c r="L602">
        <v>1</v>
      </c>
    </row>
    <row r="603">
      <c r="A603" t="str">
        <v>喫</v>
      </c>
      <c r="B603">
        <v>12</v>
      </c>
      <c r="C603" t="b">
        <v>1</v>
      </c>
      <c r="D603" t="str">
        <v>キツ</v>
      </c>
      <c r="E603" t="str">
        <v>く（う） す（う） の（む）</v>
      </c>
      <c r="F603">
        <v>0</v>
      </c>
      <c r="G603" t="str">
        <v>食う。食べる。 飲む。吸う。 受ける。こうむる。～される。特に損害や痛手を受けたり不意をつかれたりするの意。</v>
      </c>
      <c r="I603">
        <v>10</v>
      </c>
      <c r="J603">
        <v>50</v>
      </c>
      <c r="K603">
        <v>50</v>
      </c>
      <c r="L603">
        <v>1</v>
      </c>
    </row>
    <row r="604">
      <c r="A604" t="str">
        <v>苦</v>
      </c>
      <c r="B604">
        <v>8</v>
      </c>
      <c r="C604" t="b">
        <v>1</v>
      </c>
      <c r="D604" t="str">
        <v>ク</v>
      </c>
      <c r="E604" t="str">
        <v>くる（しい） くる（しむ） くる（しめる） にが（い） にが（る） にがな はなは（だ）</v>
      </c>
      <c r="F604">
        <v>0</v>
      </c>
      <c r="G604" t="str">
        <v>くるしい。くるしむ。なやむ。つらい。また、くるしめる。 にがい。にがにがしい。にがみ。五味の一つ。 にがな。キク科の多年草。にがみを持つ。 つとめる。はげむ。骨を折る。 はなはだ。ひどく。</v>
      </c>
      <c r="H604" t="str">
        <v>#繁栄</v>
      </c>
      <c r="I604">
        <v>10</v>
      </c>
      <c r="J604">
        <v>65</v>
      </c>
      <c r="K604">
        <v>50</v>
      </c>
      <c r="L604">
        <v>1</v>
      </c>
    </row>
    <row r="605">
      <c r="A605" t="str">
        <v>焦</v>
      </c>
      <c r="B605">
        <v>12</v>
      </c>
      <c r="C605" t="b">
        <v>1</v>
      </c>
      <c r="D605" t="str">
        <v>ショウ</v>
      </c>
      <c r="E605" t="str">
        <v>こ（がす） こ（がれる） こ（げる） あせ（る） じ（らす） じ（れる） や（く）</v>
      </c>
      <c r="F605">
        <v>0</v>
      </c>
      <c r="G605" t="str">
        <v>こげる。こがす。焼いて黒くなる。 あせる。こがす。こがれる。心を悩ます。いらいらする。いらだつ。 じれる。じらす。</v>
      </c>
      <c r="I605">
        <v>10</v>
      </c>
      <c r="J605">
        <v>50</v>
      </c>
      <c r="K605">
        <v>50</v>
      </c>
      <c r="L605">
        <v>1</v>
      </c>
    </row>
    <row r="606">
      <c r="A606" t="str">
        <v>幸</v>
      </c>
      <c r="B606">
        <v>8</v>
      </c>
      <c r="C606" t="b">
        <v>1</v>
      </c>
      <c r="D606" t="str">
        <v>コウ</v>
      </c>
      <c r="E606" t="str">
        <v>さいわ（い） しあわ（せ） さち みゆき</v>
      </c>
      <c r="F606" t="str">
        <v>さき たか とも ひで ゆき よし</v>
      </c>
      <c r="G606" t="str">
        <v>さいわい。しあわせ。さち。幸福。幸運。 かわいがる。大切にする。気に入る。 みゆき。天子の外出。天子の訪問。 さち。海や山から収穫したもの。</v>
      </c>
      <c r="H606" t="str">
        <v>#幸福 #慈愛 #海・水</v>
      </c>
      <c r="I606">
        <v>100</v>
      </c>
      <c r="J606">
        <v>50</v>
      </c>
      <c r="K606">
        <v>55</v>
      </c>
      <c r="L606">
        <v>0</v>
      </c>
      <c r="M606">
        <f>VLOOKUP(A606,[1]kanji_data!$A:$N,14,FALSE)</f>
        <v>0</v>
      </c>
    </row>
    <row r="607">
      <c r="A607" t="str">
        <v>始</v>
      </c>
      <c r="B607">
        <v>8</v>
      </c>
      <c r="C607" t="b">
        <v>1</v>
      </c>
      <c r="D607" t="str">
        <v>シ</v>
      </c>
      <c r="E607" t="str">
        <v>はじ（まる） はじ（める）</v>
      </c>
      <c r="F607" t="str">
        <v>とも はじめ はる もと</v>
      </c>
      <c r="G607" t="str">
        <v>はじめ。はじまり。物事のおこり。 はじまる。はじめる。おこす。 はじめて。最初に。新たに。</v>
      </c>
      <c r="H607" t="str">
        <v>#幸福 #繁栄</v>
      </c>
      <c r="I607">
        <v>90</v>
      </c>
      <c r="J607">
        <v>60</v>
      </c>
      <c r="K607">
        <v>55</v>
      </c>
      <c r="L607">
        <v>0</v>
      </c>
      <c r="M607">
        <f>VLOOKUP(A607,[1]kanji_data!$A:$N,14,FALSE)</f>
        <v>0</v>
      </c>
    </row>
    <row r="608">
      <c r="A608" t="str">
        <v>酢</v>
      </c>
      <c r="B608">
        <v>12</v>
      </c>
      <c r="C608" t="b">
        <v>1</v>
      </c>
      <c r="D608" t="str">
        <v>サク ソ</v>
      </c>
      <c r="E608" t="str">
        <v>す す（い）</v>
      </c>
      <c r="F608">
        <v>0</v>
      </c>
      <c r="G608" t="str">
        <v>す。酸味のある調味料。 すい。すっぱい。 むくいる。客が主人に酒をつぐ。</v>
      </c>
      <c r="I608">
        <v>10</v>
      </c>
      <c r="J608">
        <v>50</v>
      </c>
      <c r="K608">
        <v>50</v>
      </c>
      <c r="L608">
        <v>1</v>
      </c>
    </row>
    <row r="609">
      <c r="A609" t="str">
        <v>塀</v>
      </c>
      <c r="B609">
        <v>12</v>
      </c>
      <c r="C609" t="b">
        <v>1</v>
      </c>
      <c r="D609" t="str">
        <v>ヘイ</v>
      </c>
      <c r="E609">
        <v>0</v>
      </c>
      <c r="F609">
        <v>0</v>
      </c>
      <c r="G609" t="str">
        <v>へい。かき。かきね。敷地などの囲い。</v>
      </c>
      <c r="I609">
        <v>10</v>
      </c>
      <c r="J609">
        <v>50</v>
      </c>
      <c r="K609">
        <v>50</v>
      </c>
      <c r="L609">
        <v>1</v>
      </c>
    </row>
    <row r="610">
      <c r="A610" t="str">
        <v>実</v>
      </c>
      <c r="B610">
        <v>8</v>
      </c>
      <c r="C610" t="b">
        <v>1</v>
      </c>
      <c r="D610" t="str">
        <v>ジツ</v>
      </c>
      <c r="E610" t="str">
        <v>み みの（る） さね まこと まめ み（ちる）</v>
      </c>
      <c r="F610" t="str">
        <v>これ ちか なお のり みつ みのる</v>
      </c>
      <c r="G610" t="str">
        <v>み。草木のみ。草木の種。さね。 みのる。草木にみがなる。 みちる。いっぱいになる。豊かになる。 まこと。まごころ。 まこと。本当。偽りのない。 まことに。本当に。 じつ。真心。親切心。誠意。</v>
      </c>
      <c r="H610" t="str">
        <v>#心・志 #繁栄 #自然</v>
      </c>
      <c r="I610">
        <v>100</v>
      </c>
      <c r="J610">
        <v>75</v>
      </c>
      <c r="K610">
        <v>45</v>
      </c>
      <c r="L610">
        <v>0</v>
      </c>
      <c r="M610">
        <f>VLOOKUP(A610,[1]kanji_data!$A:$N,14,FALSE)</f>
        <v>0</v>
      </c>
    </row>
    <row r="611">
      <c r="A611" t="str">
        <v>猪</v>
      </c>
      <c r="B611">
        <v>12</v>
      </c>
      <c r="C611" t="b">
        <v>0</v>
      </c>
      <c r="D611" t="str">
        <v>チョ</v>
      </c>
      <c r="E611" t="str">
        <v>い いのしし</v>
      </c>
      <c r="F611">
        <v>0</v>
      </c>
      <c r="G611" t="str">
        <v>い。いのしし。豚。</v>
      </c>
      <c r="I611">
        <v>10</v>
      </c>
      <c r="J611">
        <v>85</v>
      </c>
      <c r="K611">
        <v>30</v>
      </c>
      <c r="L611">
        <v>0</v>
      </c>
      <c r="M611">
        <f>VLOOKUP(A611,[1]kanji_data!$A:$N,14,FALSE)</f>
        <v>0</v>
      </c>
    </row>
    <row r="612">
      <c r="A612" t="str">
        <v>数</v>
      </c>
      <c r="B612">
        <v>13</v>
      </c>
      <c r="C612" t="b">
        <v>1</v>
      </c>
      <c r="D612" t="str">
        <v>スウ ス サク シュ ソク</v>
      </c>
      <c r="E612" t="str">
        <v>かず かぞ（える） しばしば</v>
      </c>
      <c r="F612" t="str">
        <v>のり ひら や</v>
      </c>
      <c r="G612" t="str">
        <v>かず。順序や量をあらわすもの。 いくらか。いくつかの。 運命。めぐりあわせ。さだめ。 古代中国における六種類の基本教養「六芸」の一つ。算術。 はかりごと。くわだて。たくらみ。 かぞえる。かずを調べる。計算する。 かぞえる。かずに入れる。ひとつとして取り上げる。 せめる。罪をかぞえて相手を責める。 しばしば。たびたび。何度も。 こまかい。目がこまかい。</v>
      </c>
      <c r="I612">
        <v>30</v>
      </c>
      <c r="J612">
        <v>50</v>
      </c>
      <c r="K612">
        <v>50</v>
      </c>
      <c r="L612">
        <v>0</v>
      </c>
    </row>
    <row r="613">
      <c r="A613" t="str">
        <v>電</v>
      </c>
      <c r="B613">
        <v>13</v>
      </c>
      <c r="C613" t="b">
        <v>1</v>
      </c>
      <c r="D613" t="str">
        <v>デン テン</v>
      </c>
      <c r="E613" t="str">
        <v>いなずま</v>
      </c>
      <c r="F613" t="str">
        <v>あきら ひかり</v>
      </c>
      <c r="G613" t="str">
        <v>いなずま。いなびかり。 とてもはやい。いなずまのようにはやい。 電気。電気を利用したもの。</v>
      </c>
      <c r="I613">
        <v>30</v>
      </c>
      <c r="J613">
        <v>50</v>
      </c>
      <c r="K613">
        <v>50</v>
      </c>
      <c r="L613">
        <v>0</v>
      </c>
    </row>
    <row r="614">
      <c r="A614" t="str">
        <v>受</v>
      </c>
      <c r="B614">
        <v>8</v>
      </c>
      <c r="C614" t="b">
        <v>1</v>
      </c>
      <c r="D614" t="str">
        <v>ジュ ズ</v>
      </c>
      <c r="E614" t="str">
        <v>う（かる） う（ける）</v>
      </c>
      <c r="F614">
        <v>0</v>
      </c>
      <c r="G614" t="str">
        <v>うける。うけ取る。もらう。 うける。こうむる。被害に遭う。 うける。うけ継ぐ。授かる。 引きうける。聞きうける。うけ入れる。 うかる。合格する。 うけ。評判。</v>
      </c>
      <c r="H614" t="str">
        <v>#品格</v>
      </c>
      <c r="I614">
        <v>10</v>
      </c>
      <c r="J614">
        <v>45</v>
      </c>
      <c r="K614">
        <v>70</v>
      </c>
      <c r="L614">
        <v>0</v>
      </c>
    </row>
    <row r="615">
      <c r="A615" t="str">
        <v>暗</v>
      </c>
      <c r="B615">
        <v>13</v>
      </c>
      <c r="C615" t="b">
        <v>1</v>
      </c>
      <c r="D615" t="str">
        <v>アン</v>
      </c>
      <c r="E615" t="str">
        <v>くら（い） そら（んじる） やみ</v>
      </c>
      <c r="F615">
        <v>0</v>
      </c>
      <c r="G615" t="str">
        <v>くらい。光が少なくてくらい。よく見えない。 くらい。道理にくらい。おろか。 くらい。やみ。くらやみ。くらがり。 ひそかに。こっそりと。 そらんじる。そらんずる。そらで覚える。</v>
      </c>
      <c r="I615">
        <v>10</v>
      </c>
      <c r="J615">
        <v>50</v>
      </c>
      <c r="K615">
        <v>50</v>
      </c>
      <c r="L615">
        <v>1</v>
      </c>
    </row>
    <row r="616">
      <c r="A616" t="str">
        <v>注</v>
      </c>
      <c r="B616">
        <v>8</v>
      </c>
      <c r="C616" t="b">
        <v>1</v>
      </c>
      <c r="D616" t="str">
        <v>チュウ</v>
      </c>
      <c r="E616" t="str">
        <v>そそ（ぐ） さ（す） つ（ぐ）</v>
      </c>
      <c r="F616">
        <v>0</v>
      </c>
      <c r="G616" t="str">
        <v>そそぐ。さす。つぐ。水をそそぐ。水を流し込む。 そそぐ。気持ちや視線を一点に向ける。集中する。あつめる。 つける。くっつける。 投げる。狙いをつけて投げる。 記す。書き記す。書き留める。あつらえる。記載する。 とく。解き明かす。 文章の解釈・説明をする。例：注釈</v>
      </c>
      <c r="H616" t="str">
        <v>#心・志</v>
      </c>
      <c r="I616">
        <v>10</v>
      </c>
      <c r="J616">
        <v>75</v>
      </c>
      <c r="K616">
        <v>45</v>
      </c>
      <c r="L616">
        <v>0</v>
      </c>
      <c r="M616">
        <f>VLOOKUP(A616,[1]kanji_data!$A:$N,14,FALSE)</f>
        <v>0</v>
      </c>
    </row>
    <row r="617">
      <c r="A617" t="str">
        <v>定</v>
      </c>
      <c r="B617">
        <v>8</v>
      </c>
      <c r="C617" t="b">
        <v>1</v>
      </c>
      <c r="D617" t="str">
        <v>ジョウ テイ</v>
      </c>
      <c r="E617" t="str">
        <v>さだ（まる） さだ（める） さだ（か） き（まる）</v>
      </c>
      <c r="F617" t="str">
        <v>さだむ つら やす</v>
      </c>
      <c r="G617" t="str">
        <v>さだまる。さだめる。落ち着かせる。安定させる。 さだまる。さだめる。きまる。きめる。 さだめ。きまり。 さだめて。さぞ。きっと。必ず。 じょう。仏教で、雑念を断ち切って無念無想になること。 さだか。はっきりしている。明らかである。</v>
      </c>
      <c r="H617" t="str">
        <v>#心・志</v>
      </c>
      <c r="I617">
        <v>80</v>
      </c>
      <c r="J617">
        <v>55</v>
      </c>
      <c r="K617">
        <v>60</v>
      </c>
      <c r="L617">
        <v>0</v>
      </c>
      <c r="M617">
        <f>VLOOKUP(A617,[1]kanji_data!$A:$N,14,FALSE)</f>
        <v>0</v>
      </c>
    </row>
    <row r="618">
      <c r="A618" t="str">
        <v>波</v>
      </c>
      <c r="B618">
        <v>8</v>
      </c>
      <c r="C618" t="b">
        <v>1</v>
      </c>
      <c r="D618" t="str">
        <v>ハ</v>
      </c>
      <c r="E618" t="str">
        <v>なみ</v>
      </c>
      <c r="F618" t="str">
        <v>ば</v>
      </c>
      <c r="G618" t="str">
        <v>なみ。風によって起きる水面の動き。また、なみ状のもの。 なみだつ。なみが起きる。 なみのように伝わるもの。なみのように動くもの。 国名「波蘭（ポーランド）」の略。</v>
      </c>
      <c r="H618" t="str">
        <v>#海・水</v>
      </c>
      <c r="I618">
        <v>85</v>
      </c>
      <c r="J618">
        <v>90</v>
      </c>
      <c r="K618">
        <v>35</v>
      </c>
      <c r="L618">
        <v>0</v>
      </c>
      <c r="M618">
        <f>VLOOKUP(A618,[1]kanji_data!$A:$N,14,FALSE)</f>
        <v>0</v>
      </c>
    </row>
    <row r="619">
      <c r="A619" t="str">
        <v>農</v>
      </c>
      <c r="B619">
        <v>13</v>
      </c>
      <c r="C619" t="b">
        <v>1</v>
      </c>
      <c r="D619" t="str">
        <v>ノウ ドウ</v>
      </c>
      <c r="E619" t="str">
        <v>たがや（す）</v>
      </c>
      <c r="F619" t="str">
        <v>あつ あつし たか たみ つとむ とき とよ みのり みのる</v>
      </c>
      <c r="G619" t="str">
        <v>たがやす。田畑を耕す。土をほぐす。 農業。はたけしごと。 農民。農夫。百姓。 つとめる。尽力する。</v>
      </c>
      <c r="I619">
        <v>30</v>
      </c>
      <c r="J619">
        <v>50</v>
      </c>
      <c r="K619">
        <v>50</v>
      </c>
      <c r="L619">
        <v>1</v>
      </c>
    </row>
    <row r="620">
      <c r="A620" t="str">
        <v>表</v>
      </c>
      <c r="B620">
        <v>8</v>
      </c>
      <c r="C620" t="b">
        <v>1</v>
      </c>
      <c r="D620" t="str">
        <v>ヒョウ</v>
      </c>
      <c r="E620" t="str">
        <v>あらわ（す） あらわ（れる） おもて しるし</v>
      </c>
      <c r="F620">
        <v>0</v>
      </c>
      <c r="G620" t="str">
        <v>おもて。うわべ。外面。表面。外。 あらわす。あらわれる。明らかにする。明白にする。はっきりさせる。 上着。上着を着る。おもてぎ。 しるし。目印。旗印。あらわし記したもの。 手本。のり。 たていし。人徳などをたたえて建てた石柱。 ひかげばしら。日影を観測して時を図る柱。 事柄を分類ごとに整理して、一目でわかるようにしたもの。 おもて。おおやけ。公式の。正式の。</v>
      </c>
      <c r="H620" t="str">
        <v>#心・志 #知性</v>
      </c>
      <c r="I620">
        <v>10</v>
      </c>
      <c r="J620">
        <v>60</v>
      </c>
      <c r="K620">
        <v>50</v>
      </c>
      <c r="L620">
        <v>1</v>
      </c>
    </row>
    <row r="621">
      <c r="A621" t="str">
        <v>塩</v>
      </c>
      <c r="B621">
        <v>13</v>
      </c>
      <c r="C621" t="b">
        <v>1</v>
      </c>
      <c r="D621" t="str">
        <v>エン アン</v>
      </c>
      <c r="E621" t="str">
        <v>しお</v>
      </c>
      <c r="F621">
        <v>0</v>
      </c>
      <c r="G621" t="str">
        <v>しお。食塩。 化学元素の一つ。塩素。 しおづけにする。塩につける。</v>
      </c>
      <c r="I621">
        <v>10</v>
      </c>
      <c r="J621">
        <v>50</v>
      </c>
      <c r="K621">
        <v>50</v>
      </c>
      <c r="L621">
        <v>1</v>
      </c>
    </row>
    <row r="622">
      <c r="A622" t="str">
        <v>物</v>
      </c>
      <c r="B622">
        <v>8</v>
      </c>
      <c r="C622" t="b">
        <v>1</v>
      </c>
      <c r="D622" t="str">
        <v>ブツ モツ</v>
      </c>
      <c r="E622" t="str">
        <v>もの</v>
      </c>
      <c r="F622">
        <v>0</v>
      </c>
      <c r="G622" t="str">
        <v>もの。存在しているすべてのもの。 事がら。物事。 人。世間。 みる。探す。占う。 死ぬ。 もの。接頭語。「なんとなく」の意。</v>
      </c>
      <c r="H622" t="str">
        <v>#繁栄</v>
      </c>
      <c r="I622">
        <v>10</v>
      </c>
      <c r="J622">
        <v>50</v>
      </c>
      <c r="K622">
        <v>55</v>
      </c>
      <c r="L622">
        <v>1</v>
      </c>
    </row>
    <row r="623">
      <c r="A623" t="str">
        <v>放</v>
      </c>
      <c r="B623">
        <v>8</v>
      </c>
      <c r="C623" t="b">
        <v>1</v>
      </c>
      <c r="D623" t="str">
        <v>ホウ</v>
      </c>
      <c r="E623" t="str">
        <v>はな（す） はな（つ） はな（れる） ほう（る） こ（く） さ（く） ひ（る） ほしいまま まか（す） ゆる（す）</v>
      </c>
      <c r="F623">
        <v>0</v>
      </c>
      <c r="G623" t="str">
        <v>はなつ。はなす。ときはなして自由する。 はなつ。おいやる。おいだす。 はなつ。とばす。うちだす。 ほしいまま。気まま。 ならう。まねる。＝倣 ほうる。物を投げすてる。また、途中であきらめる。 こく。ひる。体の外に出す。</v>
      </c>
      <c r="H623" t="str">
        <v>#天空</v>
      </c>
      <c r="I623">
        <v>10</v>
      </c>
      <c r="J623">
        <v>75</v>
      </c>
      <c r="K623">
        <v>45</v>
      </c>
      <c r="L623">
        <v>1</v>
      </c>
    </row>
    <row r="624">
      <c r="A624" t="str">
        <v>置</v>
      </c>
      <c r="B624">
        <v>13</v>
      </c>
      <c r="C624" t="b">
        <v>1</v>
      </c>
      <c r="D624" t="str">
        <v>チ</v>
      </c>
      <c r="E624" t="str">
        <v>お（く）</v>
      </c>
      <c r="F624">
        <v>0</v>
      </c>
      <c r="G624" t="str">
        <v>おく。すえる。すえつける。設ける。 やめる。すておく。さしおく。 うまつぎ。宿場の馬。宿駅。また、宿場。</v>
      </c>
      <c r="I624">
        <v>10</v>
      </c>
      <c r="J624">
        <v>50</v>
      </c>
      <c r="K624">
        <v>50</v>
      </c>
      <c r="L624">
        <v>1</v>
      </c>
    </row>
    <row r="625">
      <c r="A625" t="str">
        <v>命</v>
      </c>
      <c r="B625">
        <v>8</v>
      </c>
      <c r="C625" t="b">
        <v>1</v>
      </c>
      <c r="D625" t="str">
        <v>メイ ミョウ</v>
      </c>
      <c r="E625" t="str">
        <v>いのち おお（せ） みこと</v>
      </c>
      <c r="F625">
        <v>0</v>
      </c>
      <c r="G625" t="str">
        <v>いのち。生命。 おおせ。目上の人からの指図。言いつけ。また、お告げ。おきて。 言いつける。告げる。 天のさだめ。めぐり合わせ。運命。天命。 名付ける。名前をつける。 ことば。誓いのことば。 めあて。目印。目標。 みこと。神や貴人の名にそえた敬称。</v>
      </c>
      <c r="H625" t="str">
        <v>#健康 #繁栄</v>
      </c>
      <c r="I625">
        <v>50</v>
      </c>
      <c r="J625">
        <v>85</v>
      </c>
      <c r="K625">
        <v>35</v>
      </c>
      <c r="L625">
        <v>0</v>
      </c>
      <c r="M625">
        <f>VLOOKUP(A625,[1]kanji_data!$A:$N,14,FALSE)</f>
        <v>0</v>
      </c>
    </row>
    <row r="626">
      <c r="A626" t="str">
        <v>墓</v>
      </c>
      <c r="B626">
        <v>13</v>
      </c>
      <c r="C626" t="b">
        <v>1</v>
      </c>
      <c r="D626" t="str">
        <v>ボ</v>
      </c>
      <c r="E626" t="str">
        <v>はか</v>
      </c>
      <c r="F626">
        <v>0</v>
      </c>
      <c r="G626" t="str">
        <v>はか。死者を埋葬する所。</v>
      </c>
      <c r="I626">
        <v>10</v>
      </c>
      <c r="J626">
        <v>50</v>
      </c>
      <c r="K626">
        <v>50</v>
      </c>
      <c r="L626">
        <v>1</v>
      </c>
    </row>
    <row r="627">
      <c r="A627" t="str">
        <v>和</v>
      </c>
      <c r="B627">
        <v>8</v>
      </c>
      <c r="C627" t="b">
        <v>1</v>
      </c>
      <c r="D627" t="str">
        <v>ワ オ カ</v>
      </c>
      <c r="E627" t="str">
        <v>なご（む） なご（やか） やわ（らぐ） やわ（らげる） あ（える） な（ぐ）</v>
      </c>
      <c r="F627" t="str">
        <v>あい かず たか ちか とも なごみ のどか やまと</v>
      </c>
      <c r="G627" t="str">
        <v>なごむ。やわらぐ。おだやかになる。 なごやか。おだやか。 やわらげる。おだやかにする。 あえる。まぜる。調合する。 仲良くする。争わない。 二つ以上の数を足したもの。 軾（しきみ、車の前部の横木）につける鈴。 応える。声で反応する。 声を合わせる。調子を合わせる。 わ。やまと。日本。 なぎ。風がおさまり波がおだやかな状態。</v>
      </c>
      <c r="H627" t="str">
        <v>#慈愛 #海・水 #調和</v>
      </c>
      <c r="I627">
        <v>100</v>
      </c>
      <c r="J627">
        <v>65</v>
      </c>
      <c r="K627">
        <v>55</v>
      </c>
      <c r="L627">
        <v>0</v>
      </c>
      <c r="M627">
        <f>VLOOKUP(A627,[1]kanji_data!$A:$N,14,FALSE)</f>
        <v>0</v>
      </c>
    </row>
    <row r="628">
      <c r="A628" t="str">
        <v>英</v>
      </c>
      <c r="B628">
        <v>8</v>
      </c>
      <c r="C628" t="b">
        <v>1</v>
      </c>
      <c r="D628" t="str">
        <v>エイ</v>
      </c>
      <c r="E628" t="str">
        <v>はな はなぶさ ひい（でる）</v>
      </c>
      <c r="F628" t="str">
        <v>あきら あや すぐる たけし つね てる とし ひで ひでる ひら ふさ ぶさ よし</v>
      </c>
      <c r="G628" t="str">
        <v>はな。実のならないはな。 はなびら。はなぶさ。はなしべ。 すぐれている。美しい。秀でている。また、そのような人物。 名誉。ほまれ。 芽生え。 国名「英吉利（イギリス）」の略。</v>
      </c>
      <c r="H628" t="str">
        <v>#品格 #自然 #花・彩</v>
      </c>
      <c r="I628">
        <v>100</v>
      </c>
      <c r="J628">
        <v>45</v>
      </c>
      <c r="K628">
        <v>85</v>
      </c>
      <c r="L628">
        <v>0</v>
      </c>
      <c r="M628">
        <f>VLOOKUP(A628,[1]kanji_data!$A:$N,14,FALSE)</f>
        <v>0</v>
      </c>
    </row>
    <row r="629">
      <c r="A629" t="str">
        <v>果</v>
      </c>
      <c r="B629">
        <v>8</v>
      </c>
      <c r="C629" t="b">
        <v>1</v>
      </c>
      <c r="D629" t="str">
        <v>カ</v>
      </c>
      <c r="E629" t="str">
        <v>は（たす） は（て） は（てる） おお（せる） くだもの はか</v>
      </c>
      <c r="F629" t="str">
        <v>あきら はた まさる</v>
      </c>
      <c r="G629" t="str">
        <v>くだもの。木や草の実。 はて。物事の終わり。 はたす。なしとげる。やりとげる。 思いきりがよい。思いきってする。 はたして。思ったとおり。予想したとおり。 はたして。本当に。 はてる。終わる。また、死ぬ。</v>
      </c>
      <c r="H629" t="str">
        <v>#天空 #心・志 #繁栄</v>
      </c>
      <c r="I629">
        <v>85</v>
      </c>
      <c r="J629">
        <v>65</v>
      </c>
      <c r="K629">
        <v>50</v>
      </c>
      <c r="L629">
        <v>0</v>
      </c>
      <c r="M629">
        <f>VLOOKUP(A629,[1]kanji_data!$A:$N,14,FALSE)</f>
        <v>0</v>
      </c>
    </row>
    <row r="630">
      <c r="A630" t="str">
        <v>芽</v>
      </c>
      <c r="B630">
        <v>8</v>
      </c>
      <c r="C630" t="b">
        <v>1</v>
      </c>
      <c r="D630" t="str">
        <v>ガ</v>
      </c>
      <c r="E630" t="str">
        <v>め めぐ（む）</v>
      </c>
      <c r="F630" t="str">
        <v>めい</v>
      </c>
      <c r="G630" t="str">
        <v>め。草木のめ。 めぐむ。めばえる。めが出始める。 ものごとの起こる兆し。起こり。初め。</v>
      </c>
      <c r="H630" t="str">
        <v>#慈愛 #繁栄 #自然</v>
      </c>
      <c r="I630">
        <v>95</v>
      </c>
      <c r="J630">
        <v>50</v>
      </c>
      <c r="K630">
        <v>55</v>
      </c>
      <c r="L630">
        <v>0</v>
      </c>
      <c r="M630">
        <f>VLOOKUP(A630,[1]kanji_data!$A:$N,14,FALSE)</f>
        <v>0</v>
      </c>
    </row>
    <row r="631">
      <c r="A631" t="str">
        <v>署</v>
      </c>
      <c r="B631">
        <v>13</v>
      </c>
      <c r="C631" t="b">
        <v>1</v>
      </c>
      <c r="D631" t="str">
        <v>ショ</v>
      </c>
      <c r="E631" t="str">
        <v>しる（す） やくわり</v>
      </c>
      <c r="F631">
        <v>0</v>
      </c>
      <c r="G631" t="str">
        <v>やくわり。役のわりふり。わりあて。てわけ。 役所。 しるす。書き記す。表書き。 職務を代行する。</v>
      </c>
      <c r="I631">
        <v>10</v>
      </c>
      <c r="J631">
        <v>50</v>
      </c>
      <c r="K631">
        <v>50</v>
      </c>
      <c r="L631">
        <v>1</v>
      </c>
    </row>
    <row r="632">
      <c r="A632" t="str">
        <v>季</v>
      </c>
      <c r="B632">
        <v>8</v>
      </c>
      <c r="C632" t="b">
        <v>1</v>
      </c>
      <c r="D632" t="str">
        <v>キ</v>
      </c>
      <c r="E632" t="str">
        <v>すえ</v>
      </c>
      <c r="F632" t="str">
        <v>とき とし ひで みのる</v>
      </c>
      <c r="G632" t="str">
        <v>すえ。すえっこ。兄弟の最年少者。年齢の順に上から「伯・仲・叔・季」または「孟・仲・季」という。 すえ。季節の終わり。時代の終わり。 一年を四季の分けた春夏秋冬それぞれの最後の月。または、春夏秋冬それぞれ三ヵ月の期間。</v>
      </c>
      <c r="H632" t="str">
        <v>#天空</v>
      </c>
      <c r="I632">
        <v>85</v>
      </c>
      <c r="J632">
        <v>20</v>
      </c>
      <c r="K632">
        <v>100</v>
      </c>
      <c r="L632">
        <v>0</v>
      </c>
      <c r="M632">
        <f>VLOOKUP(A632,[1]kanji_data!$A:$N,14,FALSE)</f>
        <v>0</v>
      </c>
    </row>
    <row r="633">
      <c r="A633" t="str">
        <v>傷</v>
      </c>
      <c r="B633">
        <v>13</v>
      </c>
      <c r="C633" t="b">
        <v>1</v>
      </c>
      <c r="D633" t="str">
        <v>ショウ</v>
      </c>
      <c r="E633" t="str">
        <v>きず いた（む） いた（める） そこ（なう）</v>
      </c>
      <c r="F633">
        <v>0</v>
      </c>
      <c r="G633" t="str">
        <v>きず。怪我。痛み。例：負傷 いたむ。いためる。怪我が痛む。心が痛む。うれえる。悲しむ。 そこなう。傷つく。傷つける。</v>
      </c>
      <c r="I633">
        <v>10</v>
      </c>
      <c r="J633">
        <v>50</v>
      </c>
      <c r="K633">
        <v>50</v>
      </c>
      <c r="L633">
        <v>1</v>
      </c>
    </row>
    <row r="634">
      <c r="A634" t="str">
        <v>協</v>
      </c>
      <c r="B634">
        <v>8</v>
      </c>
      <c r="C634" t="b">
        <v>1</v>
      </c>
      <c r="D634" t="str">
        <v>キョウ</v>
      </c>
      <c r="E634" t="str">
        <v>かな（う）</v>
      </c>
      <c r="F634" t="str">
        <v>かのう やす</v>
      </c>
      <c r="G634" t="str">
        <v>かなう。合う。一致する。調和する。 あわせる。力を一つにする。</v>
      </c>
      <c r="H634" t="str">
        <v>#調和</v>
      </c>
      <c r="I634">
        <v>90</v>
      </c>
      <c r="J634">
        <v>65</v>
      </c>
      <c r="K634">
        <v>55</v>
      </c>
      <c r="L634">
        <v>0</v>
      </c>
      <c r="M634">
        <f>VLOOKUP(A634,[1]kanji_data!$A:$N,14,FALSE)</f>
        <v>0</v>
      </c>
    </row>
    <row r="635">
      <c r="A635" t="str">
        <v>賃</v>
      </c>
      <c r="B635">
        <v>13</v>
      </c>
      <c r="C635" t="b">
        <v>1</v>
      </c>
      <c r="D635" t="str">
        <v>チン ジン</v>
      </c>
      <c r="E635" t="str">
        <v>やと（う）</v>
      </c>
      <c r="F635">
        <v>0</v>
      </c>
      <c r="G635" t="str">
        <v>やとう。やとわれる。 借りる。借用する。 給金。労働の対価に支払われる金銭。</v>
      </c>
      <c r="I635">
        <v>10</v>
      </c>
      <c r="J635">
        <v>50</v>
      </c>
      <c r="K635">
        <v>50</v>
      </c>
      <c r="L635">
        <v>1</v>
      </c>
    </row>
    <row r="636">
      <c r="A636" t="str">
        <v>違</v>
      </c>
      <c r="B636">
        <v>13</v>
      </c>
      <c r="C636" t="b">
        <v>1</v>
      </c>
      <c r="D636" t="str">
        <v>イ</v>
      </c>
      <c r="E636" t="str">
        <v>ちが（う） ちが（える） か（い） さ（る） たが（う） たが（える） よこしま</v>
      </c>
      <c r="F636">
        <v>0</v>
      </c>
      <c r="G636" t="str">
        <v>ちがう。たがう。そむく。たがえる。 去る。離れる。遠ざかる。逃げる。立ち去る。 よこしま。  あやまち。過失。</v>
      </c>
      <c r="I636">
        <v>10</v>
      </c>
      <c r="J636">
        <v>50</v>
      </c>
      <c r="K636">
        <v>50</v>
      </c>
      <c r="L636">
        <v>1</v>
      </c>
    </row>
    <row r="637">
      <c r="A637" t="str">
        <v>煙</v>
      </c>
      <c r="B637">
        <v>13</v>
      </c>
      <c r="C637" t="b">
        <v>1</v>
      </c>
      <c r="D637" t="str">
        <v>エン</v>
      </c>
      <c r="E637" t="str">
        <v>けむ（い） けむり けむ（る） けぶ（る） けむ</v>
      </c>
      <c r="F637">
        <v>0</v>
      </c>
      <c r="G637" t="str">
        <v>けむ。けむり。けむる。けぶる。すす。 かすみ。もや。けむり状のもの。 煙草。阿片。 けむい。けむたい。けむりが目にしみる。心苦しい。</v>
      </c>
      <c r="I637">
        <v>10</v>
      </c>
      <c r="J637">
        <v>50</v>
      </c>
      <c r="K637">
        <v>50</v>
      </c>
      <c r="L637">
        <v>1</v>
      </c>
    </row>
    <row r="638">
      <c r="A638" t="str">
        <v>参</v>
      </c>
      <c r="B638">
        <v>8</v>
      </c>
      <c r="C638" t="b">
        <v>1</v>
      </c>
      <c r="D638" t="str">
        <v>サン シン</v>
      </c>
      <c r="E638" t="str">
        <v>まい（る） まじ（わる）</v>
      </c>
      <c r="F638" t="str">
        <v>み</v>
      </c>
      <c r="G638" t="str">
        <v>まじわる。いりまじる。 加わる。仲間にはいる。 うかがう。目上の人に会う。高貴な人に謁見する。 比べる。調べる。 契約書や証書などの文書で数字を表すとき、書き換えを防ぐために「三」の代わりに用いる文字。大字。 二十八宿の一つ。からすきぼし。 長短ふぞろいに入りまじるさま。参差。 まいる。神社や寺などにもうでる。 まいる。「行く」「来る」をへりくだっていう語。 まいる。負ける。また、弱る。</v>
      </c>
      <c r="H638" t="str">
        <v>#品格 #調和</v>
      </c>
      <c r="I638">
        <v>20</v>
      </c>
      <c r="J638">
        <v>60</v>
      </c>
      <c r="K638">
        <v>50</v>
      </c>
      <c r="L638">
        <v>0</v>
      </c>
      <c r="M638">
        <f>VLOOKUP(A638,[1]kanji_data!$A:$N,14,FALSE)</f>
        <v>0</v>
      </c>
    </row>
    <row r="639">
      <c r="A639" t="str">
        <v>治</v>
      </c>
      <c r="B639">
        <v>8</v>
      </c>
      <c r="C639" t="b">
        <v>1</v>
      </c>
      <c r="D639" t="str">
        <v>ジ チ</v>
      </c>
      <c r="E639" t="str">
        <v>おさ（まる） おさ（める） なお（す） なお（る）</v>
      </c>
      <c r="F639" t="str">
        <v>おさむ さだ ず ただす つぐ とお のぶ はる よし</v>
      </c>
      <c r="G639" t="str">
        <v>おさめる。おさまる。ととのえる。営む。しずめる。例：統治 なおす。なおる。修理する。病気や怪我をなおす。例：治療 くらべる。匹敵する。 政庁の所在地。</v>
      </c>
      <c r="H639" t="str">
        <v>#品格 #心・志</v>
      </c>
      <c r="I639">
        <v>95</v>
      </c>
      <c r="J639">
        <v>80</v>
      </c>
      <c r="K639">
        <v>45</v>
      </c>
      <c r="L639">
        <v>0</v>
      </c>
      <c r="M639">
        <f>VLOOKUP(A639,[1]kanji_data!$A:$N,14,FALSE)</f>
        <v>0</v>
      </c>
    </row>
    <row r="640">
      <c r="A640" t="str">
        <v>周</v>
      </c>
      <c r="B640">
        <v>8</v>
      </c>
      <c r="C640" t="b">
        <v>1</v>
      </c>
      <c r="D640" t="str">
        <v>シュウ ス</v>
      </c>
      <c r="E640" t="str">
        <v>まわ（り） あまね（く） めぐ（る）</v>
      </c>
      <c r="F640" t="str">
        <v>いたる かた かね ただ ちか なり のり ひろし まこと めぐる</v>
      </c>
      <c r="G640" t="str">
        <v>まわり。あたり。近辺。かたわら。 あまねく。あまねし。すみずみまで行き渡る。広く行き渡る。 めぐる。まわる。ひとまわりする。 救う。助ける。 かなう。あう。適合する。調和する。 くま。すみ。道などが曲がって入りくんだところ。 固める。かたくする。固定する。 古代中国の王朝の名。</v>
      </c>
      <c r="H640" t="str">
        <v>#調和</v>
      </c>
      <c r="I640">
        <v>90</v>
      </c>
      <c r="J640">
        <v>80</v>
      </c>
      <c r="K640">
        <v>45</v>
      </c>
      <c r="L640">
        <v>0</v>
      </c>
      <c r="M640">
        <f>VLOOKUP(A640,[1]kanji_data!$A:$N,14,FALSE)</f>
        <v>0</v>
      </c>
    </row>
    <row r="641">
      <c r="A641" t="str">
        <v>松</v>
      </c>
      <c r="B641">
        <v>8</v>
      </c>
      <c r="C641" t="b">
        <v>1</v>
      </c>
      <c r="D641" t="str">
        <v>ショウ</v>
      </c>
      <c r="E641" t="str">
        <v>まつ</v>
      </c>
      <c r="F641" t="str">
        <v>ときわ</v>
      </c>
      <c r="G641" t="str">
        <v>まつ。マツ科の常緑高木。長寿や繁栄などの象徴とされる。</v>
      </c>
      <c r="H641" t="str">
        <v>#健康 #繁栄 #自然</v>
      </c>
      <c r="I641">
        <v>95</v>
      </c>
      <c r="J641">
        <v>55</v>
      </c>
      <c r="K641">
        <v>55</v>
      </c>
      <c r="L641">
        <v>0</v>
      </c>
      <c r="M641">
        <f>VLOOKUP(A641,[1]kanji_data!$A:$N,14,FALSE)</f>
        <v>0</v>
      </c>
    </row>
    <row r="642">
      <c r="A642" t="str">
        <v>鉛</v>
      </c>
      <c r="B642">
        <v>13</v>
      </c>
      <c r="C642" t="b">
        <v>1</v>
      </c>
      <c r="D642" t="str">
        <v>エン</v>
      </c>
      <c r="E642" t="str">
        <v>なまり おしろい</v>
      </c>
      <c r="F642">
        <v>0</v>
      </c>
      <c r="G642" t="str">
        <v>なまり。金属元素の一つ。 おしろい。なまりを原料とした顔料。</v>
      </c>
      <c r="I642">
        <v>10</v>
      </c>
      <c r="J642">
        <v>50</v>
      </c>
      <c r="K642">
        <v>50</v>
      </c>
      <c r="L642">
        <v>1</v>
      </c>
    </row>
    <row r="643">
      <c r="A643" t="str">
        <v>暇</v>
      </c>
      <c r="B643">
        <v>13</v>
      </c>
      <c r="C643" t="b">
        <v>1</v>
      </c>
      <c r="D643" t="str">
        <v>カ</v>
      </c>
      <c r="E643" t="str">
        <v>ひま いとま</v>
      </c>
      <c r="F643">
        <v>0</v>
      </c>
      <c r="G643" t="str">
        <v>ひま。いとま。やすみ。仕事や用事などがないとき。 ゆっくりする。のんびりする。</v>
      </c>
      <c r="I643">
        <v>10</v>
      </c>
      <c r="J643">
        <v>50</v>
      </c>
      <c r="K643">
        <v>50</v>
      </c>
      <c r="L643">
        <v>1</v>
      </c>
    </row>
    <row r="644">
      <c r="A644" t="str">
        <v>較</v>
      </c>
      <c r="B644">
        <v>13</v>
      </c>
      <c r="C644" t="b">
        <v>1</v>
      </c>
      <c r="D644" t="str">
        <v>カク コウ</v>
      </c>
      <c r="E644" t="str">
        <v>くら（べる）</v>
      </c>
      <c r="F644">
        <v>0</v>
      </c>
      <c r="G644" t="str">
        <v>車の箱の左右の板の上に曲がって出ている取っ手。 競う。争う。角を突き合わせて争う。力比べをする。 くらべる。突き合わせて比べる。例：比較 明らか。著しい。はっきりしているさま。 おおよそ。おおむね。ほぼ。あらまし。 やや。多少。割合に。</v>
      </c>
      <c r="I644">
        <v>10</v>
      </c>
      <c r="J644">
        <v>50</v>
      </c>
      <c r="K644">
        <v>50</v>
      </c>
      <c r="L644">
        <v>1</v>
      </c>
    </row>
    <row r="645">
      <c r="A645" t="str">
        <v>典</v>
      </c>
      <c r="B645">
        <v>8</v>
      </c>
      <c r="C645" t="b">
        <v>1</v>
      </c>
      <c r="D645" t="str">
        <v>テン</v>
      </c>
      <c r="E645" t="str">
        <v>のり ふみ</v>
      </c>
      <c r="F645" t="str">
        <v>おき すけ つね みち よし より</v>
      </c>
      <c r="G645" t="str">
        <v>のり。手本。規則。法則。 ふみ。書物。貴重な書物。 つね。おしえ。 儀式。礼式。しきたり。 よりどころ。ずっとかわらない基準。 つかさどる。あずかる。治める。 物品を質に入れる。 さかん。四等官（シトウカン）で、大宰府の第四位。</v>
      </c>
      <c r="H645" t="str">
        <v>#品格 #繁栄</v>
      </c>
      <c r="I645">
        <v>80</v>
      </c>
      <c r="J645">
        <v>55</v>
      </c>
      <c r="K645">
        <v>55</v>
      </c>
      <c r="L645">
        <v>0</v>
      </c>
      <c r="M645">
        <f>VLOOKUP(A645,[1]kanji_data!$A:$N,14,FALSE)</f>
        <v>0</v>
      </c>
    </row>
    <row r="646">
      <c r="A646" t="str">
        <v>毒</v>
      </c>
      <c r="B646">
        <v>8</v>
      </c>
      <c r="C646" t="b">
        <v>1</v>
      </c>
      <c r="D646" t="str">
        <v>ドク</v>
      </c>
      <c r="E646" t="str">
        <v>そこ（なう） わる（い）</v>
      </c>
      <c r="F646">
        <v>0</v>
      </c>
      <c r="G646" t="str">
        <v>どく。生命や健康を害するもの。 毒する。害する。そこなう。 悪い。害悪。悪いもの。 ひどい。むごい。</v>
      </c>
      <c r="H646" t="str">
        <v>#健康</v>
      </c>
      <c r="I646">
        <v>0</v>
      </c>
      <c r="J646">
        <v>50</v>
      </c>
      <c r="K646">
        <v>50</v>
      </c>
      <c r="L646">
        <v>1</v>
      </c>
    </row>
    <row r="647">
      <c r="A647" t="str">
        <v>念</v>
      </c>
      <c r="B647">
        <v>8</v>
      </c>
      <c r="C647" t="b">
        <v>1</v>
      </c>
      <c r="D647" t="str">
        <v>ネン</v>
      </c>
      <c r="E647" t="str">
        <v>おも（う）</v>
      </c>
      <c r="F647">
        <v>0</v>
      </c>
      <c r="G647" t="str">
        <v>おもう。心にとどめる。 思い。気持ち。心の中の考え。 よむ。となえる。声に出して読み上げる。 ねん。注意。気をつける。</v>
      </c>
      <c r="H647" t="str">
        <v>#心・志</v>
      </c>
      <c r="I647">
        <v>10</v>
      </c>
      <c r="J647">
        <v>100</v>
      </c>
      <c r="K647">
        <v>30</v>
      </c>
      <c r="L647">
        <v>0</v>
      </c>
      <c r="M647">
        <f>VLOOKUP(A647,[1]kanji_data!$A:$N,14,FALSE)</f>
        <v>0</v>
      </c>
    </row>
    <row r="648">
      <c r="A648" t="str">
        <v>府</v>
      </c>
      <c r="B648">
        <v>8</v>
      </c>
      <c r="C648" t="b">
        <v>1</v>
      </c>
      <c r="D648" t="str">
        <v>フ</v>
      </c>
      <c r="E648" t="str">
        <v>くら みやこ</v>
      </c>
      <c r="F648">
        <v>0</v>
      </c>
      <c r="G648" t="str">
        <v>くら。文書や財宝を収める所。 役所。官庁。 唐代から清代まで続いた行政区画の一つ。 やしき。大きくて立派な住まい。 人やものなどが集まる所。 はらわた。内臓。＝腑 ふ。地方公共団体の一つ。</v>
      </c>
      <c r="H648" t="str">
        <v>#品格</v>
      </c>
      <c r="I648">
        <v>10</v>
      </c>
      <c r="J648">
        <v>50</v>
      </c>
      <c r="K648">
        <v>50</v>
      </c>
      <c r="L648">
        <v>1</v>
      </c>
    </row>
    <row r="649">
      <c r="A649" t="str">
        <v>法</v>
      </c>
      <c r="B649">
        <v>8</v>
      </c>
      <c r="C649" t="b">
        <v>1</v>
      </c>
      <c r="D649" t="str">
        <v>ホウ ハッ ホッ</v>
      </c>
      <c r="E649" t="str">
        <v>のっと（る） のり フラン</v>
      </c>
      <c r="F649" t="str">
        <v>かず つね はかる</v>
      </c>
      <c r="G649" t="str">
        <v>のっとる。手本とする。従う。ならう。 のり。おきて。きまり。規則。 仏の教え。仏の道。仏教。 除数。割り算で割る方の数のこと。 てだて。やりかた。手本。模範。 フラン。フランスの旧通貨単位。</v>
      </c>
      <c r="H649" t="str">
        <v>#品格 #知性</v>
      </c>
      <c r="I649">
        <v>60</v>
      </c>
      <c r="J649">
        <v>65</v>
      </c>
      <c r="K649">
        <v>55</v>
      </c>
      <c r="L649">
        <v>0</v>
      </c>
      <c r="M649">
        <f>VLOOKUP(A649,[1]kanji_data!$A:$N,14,FALSE)</f>
        <v>0</v>
      </c>
    </row>
    <row r="650">
      <c r="A650" t="str">
        <v>傾</v>
      </c>
      <c r="B650">
        <v>13</v>
      </c>
      <c r="C650" t="b">
        <v>1</v>
      </c>
      <c r="D650" t="str">
        <v>ケイ</v>
      </c>
      <c r="E650" t="str">
        <v>かたむ（く） かたむ（ける） かし（ぐ） かた（げる） くつがえ（る）</v>
      </c>
      <c r="F650">
        <v>0</v>
      </c>
      <c r="G650" t="str">
        <v>かたむく。かたむける。かしぐ。かたげる。かたよる。斜めになる。 心をかたむける。集中する。 くつがえる。くつがえす。 危うくする。危うくなる。</v>
      </c>
      <c r="I650">
        <v>10</v>
      </c>
      <c r="J650">
        <v>50</v>
      </c>
      <c r="K650">
        <v>50</v>
      </c>
      <c r="L650">
        <v>1</v>
      </c>
    </row>
    <row r="651">
      <c r="A651" t="str">
        <v>例</v>
      </c>
      <c r="B651">
        <v>8</v>
      </c>
      <c r="C651" t="b">
        <v>1</v>
      </c>
      <c r="D651" t="str">
        <v>レイ</v>
      </c>
      <c r="E651" t="str">
        <v>たと（える） たぐい たと（えば） ためし</v>
      </c>
      <c r="F651">
        <v>0</v>
      </c>
      <c r="G651" t="str">
        <v>たとえる。たとえ。 たぐい。同じ種類。同類。 ためし。きまり。しきたり。ならわし。 たとえば。たとえをあげれば。</v>
      </c>
      <c r="H651" t="str">
        <v>#調和</v>
      </c>
      <c r="I651">
        <v>10</v>
      </c>
      <c r="J651">
        <v>50</v>
      </c>
      <c r="K651">
        <v>50</v>
      </c>
      <c r="L651">
        <v>1</v>
      </c>
    </row>
    <row r="652">
      <c r="A652" t="str">
        <v>易</v>
      </c>
      <c r="B652">
        <v>8</v>
      </c>
      <c r="C652" t="b">
        <v>1</v>
      </c>
      <c r="D652" t="str">
        <v>エキ イ</v>
      </c>
      <c r="E652" t="str">
        <v>やさ（しい） あなど（る） か（える） か（わる） やす（い）</v>
      </c>
      <c r="F652">
        <v>0</v>
      </c>
      <c r="G652" t="str">
        <v>かえる。かわる。あらためる。あらたまる。とりかえる。変化する。 占い。 やすい。たやすい。やさしい。 やすい。～しやすい。～しがちである。 たいら。高低やでこぼこがない。 あなどる。軽くみる。見下す。</v>
      </c>
      <c r="H652" t="str">
        <v>#慈愛</v>
      </c>
      <c r="I652">
        <v>10</v>
      </c>
      <c r="J652">
        <v>60</v>
      </c>
      <c r="K652">
        <v>60</v>
      </c>
      <c r="L652">
        <v>0</v>
      </c>
      <c r="M652">
        <f>VLOOKUP(A652,[1]kanji_data!$A:$N,14,FALSE)</f>
        <v>0</v>
      </c>
    </row>
    <row r="653">
      <c r="A653" t="str">
        <v>遣</v>
      </c>
      <c r="B653">
        <v>13</v>
      </c>
      <c r="C653" t="b">
        <v>1</v>
      </c>
      <c r="D653" t="str">
        <v>ケン</v>
      </c>
      <c r="E653" t="str">
        <v>つか（う） つか（わす） や（る）</v>
      </c>
      <c r="F653">
        <v>0</v>
      </c>
      <c r="G653" t="str">
        <v>やる。つかわす。行かせる。さしむける。 おう。追い払う。はなしてやる。 つかい。使者。 おくりもの。 使役を表す助詞。 つかう。使用する。 つかわす。与える。してやる。</v>
      </c>
      <c r="I653">
        <v>10</v>
      </c>
      <c r="J653">
        <v>50</v>
      </c>
      <c r="K653">
        <v>50</v>
      </c>
      <c r="L653">
        <v>1</v>
      </c>
    </row>
    <row r="654">
      <c r="A654" t="str">
        <v>飾</v>
      </c>
      <c r="B654">
        <v>13</v>
      </c>
      <c r="C654" t="b">
        <v>1</v>
      </c>
      <c r="D654" t="str">
        <v>ショク</v>
      </c>
      <c r="E654" t="str">
        <v>かざ（る） かざ（り）</v>
      </c>
      <c r="F654">
        <v>0</v>
      </c>
      <c r="G654" t="str">
        <v>かざる。手を加えて美しくみせる。 かざり。美しくみせるためのもの。</v>
      </c>
      <c r="I654">
        <v>10</v>
      </c>
      <c r="J654">
        <v>50</v>
      </c>
      <c r="K654">
        <v>50</v>
      </c>
      <c r="L654">
        <v>1</v>
      </c>
    </row>
    <row r="655">
      <c r="A655" t="str">
        <v>河</v>
      </c>
      <c r="B655">
        <v>8</v>
      </c>
      <c r="C655" t="b">
        <v>1</v>
      </c>
      <c r="D655" t="str">
        <v>カ</v>
      </c>
      <c r="E655" t="str">
        <v>かわ</v>
      </c>
      <c r="F655">
        <v>0</v>
      </c>
      <c r="G655" t="str">
        <v>川。大きな川。 中国の川の名「黄河」のこと。 天の川。あまのがわ。</v>
      </c>
      <c r="H655" t="str">
        <v>#海・水</v>
      </c>
      <c r="I655">
        <v>70</v>
      </c>
      <c r="J655">
        <v>75</v>
      </c>
      <c r="K655">
        <v>40</v>
      </c>
      <c r="L655">
        <v>0</v>
      </c>
      <c r="M655">
        <f>VLOOKUP(A655,[1]kanji_data!$A:$N,14,FALSE)</f>
        <v>0</v>
      </c>
    </row>
    <row r="656">
      <c r="A656" t="str">
        <v>触</v>
      </c>
      <c r="B656">
        <v>13</v>
      </c>
      <c r="C656" t="b">
        <v>1</v>
      </c>
      <c r="D656" t="str">
        <v>ショク ソク</v>
      </c>
      <c r="E656" t="str">
        <v>さわ（る） ふ（れる）</v>
      </c>
      <c r="F656">
        <v>0</v>
      </c>
      <c r="G656" t="str">
        <v>ふれる。さわる。手などを軽くつける。 ふれる。あたる。ぶつかる。 ふれる。けがす。罪をおかす。 ふれる。人々に広く知らせる。 ふれ。知らせ。通告。</v>
      </c>
      <c r="I656">
        <v>10</v>
      </c>
      <c r="J656">
        <v>50</v>
      </c>
      <c r="K656">
        <v>50</v>
      </c>
      <c r="L656">
        <v>1</v>
      </c>
    </row>
    <row r="657">
      <c r="A657" t="str">
        <v>嫁</v>
      </c>
      <c r="B657">
        <v>13</v>
      </c>
      <c r="C657" t="b">
        <v>1</v>
      </c>
      <c r="D657" t="str">
        <v>カ</v>
      </c>
      <c r="E657" t="str">
        <v>とつ（ぐ） よめ</v>
      </c>
      <c r="F657">
        <v>0</v>
      </c>
      <c r="G657" t="str">
        <v>とつぐ。よめにいく。よめいりする。 罪や責任などを他人に押しつける。 よめ。息子の妻。</v>
      </c>
      <c r="I657">
        <v>10</v>
      </c>
      <c r="J657">
        <v>50</v>
      </c>
      <c r="K657">
        <v>50</v>
      </c>
      <c r="L657">
        <v>1</v>
      </c>
    </row>
    <row r="658">
      <c r="A658" t="str">
        <v>塊</v>
      </c>
      <c r="B658">
        <v>13</v>
      </c>
      <c r="C658" t="b">
        <v>1</v>
      </c>
      <c r="D658" t="str">
        <v>カイ</v>
      </c>
      <c r="E658" t="str">
        <v>かたまり つちくれ</v>
      </c>
      <c r="F658">
        <v>0</v>
      </c>
      <c r="G658" t="str">
        <v>つちくれ。ひとかたまりの土。 かたまり。ひとつにかたまったもの。 ひとりぼっち。孤独。孤立。</v>
      </c>
      <c r="I658">
        <v>10</v>
      </c>
      <c r="J658">
        <v>50</v>
      </c>
      <c r="K658">
        <v>50</v>
      </c>
      <c r="L658">
        <v>1</v>
      </c>
    </row>
    <row r="659">
      <c r="A659" t="str">
        <v>該</v>
      </c>
      <c r="B659">
        <v>13</v>
      </c>
      <c r="C659" t="b">
        <v>1</v>
      </c>
      <c r="D659" t="str">
        <v>ガイ カイ</v>
      </c>
      <c r="E659" t="str">
        <v>か（ねる） そな（わる） そ（の）</v>
      </c>
      <c r="F659" t="str">
        <v>かぬ かね</v>
      </c>
      <c r="G659" t="str">
        <v>兼ねる。備える。 当たる。当てはまる。 その。この。事物を指定することば。例：当該 誓い。軍中の約束。 ことごとく。みな。</v>
      </c>
      <c r="I659">
        <v>30</v>
      </c>
      <c r="J659">
        <v>50</v>
      </c>
      <c r="K659">
        <v>50</v>
      </c>
      <c r="L659">
        <v>1</v>
      </c>
    </row>
    <row r="660">
      <c r="A660" t="str">
        <v>枝</v>
      </c>
      <c r="B660">
        <v>8</v>
      </c>
      <c r="C660" t="b">
        <v>1</v>
      </c>
      <c r="D660" t="str">
        <v>シ</v>
      </c>
      <c r="E660" t="str">
        <v>えだ</v>
      </c>
      <c r="F660" t="str">
        <v>え き しげ しな</v>
      </c>
      <c r="G660" t="str">
        <v>えだ。木のえだ。また、木のえだのように中心から分かれ出たもの。</v>
      </c>
      <c r="H660" t="str">
        <v>#自然</v>
      </c>
      <c r="I660">
        <v>60</v>
      </c>
      <c r="J660">
        <v>35</v>
      </c>
      <c r="K660">
        <v>70</v>
      </c>
      <c r="L660">
        <v>0</v>
      </c>
      <c r="M660">
        <f>VLOOKUP(A660,[1]kanji_data!$A:$N,14,FALSE)</f>
        <v>0</v>
      </c>
    </row>
    <row r="661">
      <c r="A661" t="str">
        <v>舎</v>
      </c>
      <c r="B661">
        <v>8</v>
      </c>
      <c r="C661" t="b">
        <v>1</v>
      </c>
      <c r="D661" t="str">
        <v>シャ セキ</v>
      </c>
      <c r="E661" t="str">
        <v>いえ お（く） やど やど（る）</v>
      </c>
      <c r="F661">
        <v>0</v>
      </c>
      <c r="G661" t="str">
        <v>いえ。建物。屋敷。 やど。やどや。旅館。 やどる。泊まる。 休む。憩う。 軍隊が一日に進む距離。約三十里。 自分、または身内を謙遜していう語。例：舎弟 おく。その場に置く。放置する。 すてる。＝捨 ゆるす。ゆるして釈放する。 置く。</v>
      </c>
      <c r="H661" t="str">
        <v>#天空 #心・志</v>
      </c>
      <c r="I661">
        <v>10</v>
      </c>
      <c r="J661">
        <v>55</v>
      </c>
      <c r="K661">
        <v>55</v>
      </c>
      <c r="L661">
        <v>1</v>
      </c>
    </row>
    <row r="662">
      <c r="A662" t="str">
        <v>携</v>
      </c>
      <c r="B662">
        <v>13</v>
      </c>
      <c r="C662" t="b">
        <v>1</v>
      </c>
      <c r="D662" t="str">
        <v>ケイ</v>
      </c>
      <c r="E662" t="str">
        <v>たずさ（える） たずさ（わる） はな（れる）</v>
      </c>
      <c r="F662">
        <v>0</v>
      </c>
      <c r="G662" t="str">
        <v>たずさえる。手にさげる。また、身につける。 たずさえる。連れ立つ。引き連れる。 はなれる。そむく。さからう。 たずさわる。関わる。関係する。</v>
      </c>
      <c r="I662">
        <v>10</v>
      </c>
      <c r="J662">
        <v>50</v>
      </c>
      <c r="K662">
        <v>50</v>
      </c>
      <c r="L662">
        <v>1</v>
      </c>
    </row>
    <row r="663">
      <c r="A663" t="str">
        <v>承</v>
      </c>
      <c r="B663">
        <v>8</v>
      </c>
      <c r="C663" t="b">
        <v>1</v>
      </c>
      <c r="D663" t="str">
        <v>ショウ</v>
      </c>
      <c r="E663" t="str">
        <v>うけたまわ（る） う（ける）</v>
      </c>
      <c r="F663" t="str">
        <v>じょう すけ</v>
      </c>
      <c r="G663" t="str">
        <v>うける。両手でささげうける。 うける。うけたまわる。つつしんでうける。 うける。うけつぐ。ひきつぐ。 うけたまわる。「聞く」をへりくだっていうことば。</v>
      </c>
      <c r="H663" t="str">
        <v>#品格 #繁栄 #調和</v>
      </c>
      <c r="I663">
        <v>85</v>
      </c>
      <c r="J663">
        <v>60</v>
      </c>
      <c r="K663">
        <v>55</v>
      </c>
      <c r="L663">
        <v>0</v>
      </c>
      <c r="M663">
        <f>VLOOKUP(A663,[1]kanji_data!$A:$N,14,FALSE)</f>
        <v>0</v>
      </c>
    </row>
    <row r="664">
      <c r="A664" t="str">
        <v>債</v>
      </c>
      <c r="B664">
        <v>13</v>
      </c>
      <c r="C664" t="b">
        <v>1</v>
      </c>
      <c r="D664" t="str">
        <v>サイ</v>
      </c>
      <c r="E664" t="str">
        <v>か（し） か（り）</v>
      </c>
      <c r="F664">
        <v>0</v>
      </c>
      <c r="G664" t="str">
        <v>かし。かり。借金や貸金。未精算の貸借関係。 債券の略。</v>
      </c>
      <c r="I664">
        <v>10</v>
      </c>
      <c r="J664">
        <v>50</v>
      </c>
      <c r="K664">
        <v>50</v>
      </c>
      <c r="L664">
        <v>1</v>
      </c>
    </row>
    <row r="665">
      <c r="A665" t="str">
        <v>搾</v>
      </c>
      <c r="B665">
        <v>13</v>
      </c>
      <c r="C665" t="b">
        <v>1</v>
      </c>
      <c r="D665" t="str">
        <v>サク</v>
      </c>
      <c r="E665" t="str">
        <v>しぼ（る）</v>
      </c>
      <c r="F665">
        <v>0</v>
      </c>
      <c r="G665" t="str">
        <v>しぼる。しめつけて、しぼりとる。</v>
      </c>
      <c r="I665">
        <v>10</v>
      </c>
      <c r="J665">
        <v>50</v>
      </c>
      <c r="K665">
        <v>50</v>
      </c>
      <c r="L665">
        <v>1</v>
      </c>
    </row>
    <row r="666">
      <c r="A666" t="str">
        <v>滞</v>
      </c>
      <c r="B666">
        <v>13</v>
      </c>
      <c r="C666" t="b">
        <v>1</v>
      </c>
      <c r="D666" t="str">
        <v>タイ</v>
      </c>
      <c r="E666" t="str">
        <v>とどこお（る）</v>
      </c>
      <c r="F666">
        <v>0</v>
      </c>
      <c r="G666" t="str">
        <v>とどこおる。物事が進まない。はかどらない。 とどこおる。止まる。動かない。一箇所にとどまる。 こる。こり固まる。</v>
      </c>
      <c r="I666">
        <v>10</v>
      </c>
      <c r="J666">
        <v>50</v>
      </c>
      <c r="K666">
        <v>50</v>
      </c>
      <c r="L666">
        <v>1</v>
      </c>
    </row>
    <row r="667">
      <c r="A667" t="str">
        <v>猿</v>
      </c>
      <c r="B667">
        <v>13</v>
      </c>
      <c r="C667" t="b">
        <v>1</v>
      </c>
      <c r="D667" t="str">
        <v>エン</v>
      </c>
      <c r="E667" t="str">
        <v>さる ましら</v>
      </c>
      <c r="F667">
        <v>0</v>
      </c>
      <c r="G667" t="str">
        <v>動物の名。さる。ましら。</v>
      </c>
      <c r="I667">
        <v>10</v>
      </c>
      <c r="J667">
        <v>50</v>
      </c>
      <c r="K667">
        <v>50</v>
      </c>
      <c r="L667">
        <v>1</v>
      </c>
    </row>
    <row r="668">
      <c r="A668" t="str">
        <v>肥</v>
      </c>
      <c r="B668">
        <v>8</v>
      </c>
      <c r="C668" t="b">
        <v>1</v>
      </c>
      <c r="D668" t="str">
        <v>ヒ</v>
      </c>
      <c r="E668" t="str">
        <v>こえ こ（える） こ（やし） こ（やす） ふと（る）</v>
      </c>
      <c r="F668" t="str">
        <v>うま くま とし とみ とも ふとる みつ ゆたか</v>
      </c>
      <c r="G668" t="str">
        <v>こえる。こやす。ふとる。ふとらせる。土地をこやす。土地を豊かにする。 こえ。こやし。例：肥料 こえた馬。また、こえているもの。</v>
      </c>
      <c r="H668" t="str">
        <v>#健康 #繁栄</v>
      </c>
      <c r="I668">
        <v>25</v>
      </c>
      <c r="J668">
        <v>50</v>
      </c>
      <c r="K668">
        <v>55</v>
      </c>
      <c r="L668">
        <v>1</v>
      </c>
    </row>
    <row r="669">
      <c r="A669" t="str">
        <v>褐</v>
      </c>
      <c r="B669">
        <v>13</v>
      </c>
      <c r="C669" t="b">
        <v>1</v>
      </c>
      <c r="D669" t="str">
        <v>カツ</v>
      </c>
      <c r="E669" t="str">
        <v>ぬのこ</v>
      </c>
      <c r="F669">
        <v>0</v>
      </c>
      <c r="G669" t="str">
        <v>ぬのこ。あらく粗末な布でつくった衣服。身分の低く貧しい人が着る衣服。 身分の低く貧しい人。 かちいろ。こげ茶色。黒ずんだ茶色。黒ずんだ黄色。</v>
      </c>
      <c r="I669">
        <v>10</v>
      </c>
      <c r="J669">
        <v>50</v>
      </c>
      <c r="K669">
        <v>50</v>
      </c>
      <c r="L669">
        <v>1</v>
      </c>
    </row>
    <row r="670">
      <c r="A670" t="str">
        <v>武</v>
      </c>
      <c r="B670">
        <v>8</v>
      </c>
      <c r="C670" t="b">
        <v>1</v>
      </c>
      <c r="D670" t="str">
        <v>ブ ム</v>
      </c>
      <c r="E670" t="str">
        <v>たけ（し） もののふ</v>
      </c>
      <c r="F670" t="str">
        <v>いさ いさむ たけ たけし たける たつ ふか</v>
      </c>
      <c r="G670" t="str">
        <v>たけし。たけだけしい。つよい。 いくさ。戦い。戦争。 もののふ。つわもの。軍人。 あと。足あと。また、先人が行った事業のあと。 つぐ。あとをつぐ。 長さの単位。一歩の半分。</v>
      </c>
      <c r="H670" t="str">
        <v>#勇気 #品格 #繁栄</v>
      </c>
      <c r="I670">
        <v>98</v>
      </c>
      <c r="J670">
        <v>100</v>
      </c>
      <c r="K670">
        <v>30</v>
      </c>
      <c r="L670">
        <v>0</v>
      </c>
      <c r="M670">
        <f>VLOOKUP(A670,[1]kanji_data!$A:$N,14,FALSE)</f>
        <v>0</v>
      </c>
    </row>
    <row r="671">
      <c r="A671" t="str">
        <v>睡</v>
      </c>
      <c r="B671">
        <v>13</v>
      </c>
      <c r="C671" t="b">
        <v>1</v>
      </c>
      <c r="D671" t="str">
        <v>スイ</v>
      </c>
      <c r="E671" t="str">
        <v>ねむ（る）</v>
      </c>
      <c r="F671">
        <v>0</v>
      </c>
      <c r="G671" t="str">
        <v>ねむる。ねむり。いねむりする。</v>
      </c>
      <c r="I671">
        <v>10</v>
      </c>
      <c r="J671">
        <v>50</v>
      </c>
      <c r="K671">
        <v>50</v>
      </c>
      <c r="L671">
        <v>1</v>
      </c>
    </row>
    <row r="672">
      <c r="A672" t="str">
        <v>延</v>
      </c>
      <c r="B672">
        <v>8</v>
      </c>
      <c r="C672" t="b">
        <v>1</v>
      </c>
      <c r="D672" t="str">
        <v>エン</v>
      </c>
      <c r="E672" t="str">
        <v>の（ばす） の（びる） の（べる） は（え） ひ（く）</v>
      </c>
      <c r="F672" t="str">
        <v>すすむ なが のぶ のぶる</v>
      </c>
      <c r="G672" t="str">
        <v>のびる。のばす。のべる。長くのびる。長くのばす。 のびる。のばす。のべる。くりのべる。長びかせる。 ひく。ひきいれる。案内する。 のべ。重複しているものもしていないものも、それぞれを一つと数えて合計したもの。</v>
      </c>
      <c r="H672" t="str">
        <v>#健康</v>
      </c>
      <c r="I672">
        <v>60</v>
      </c>
      <c r="J672">
        <v>90</v>
      </c>
      <c r="K672">
        <v>35</v>
      </c>
      <c r="L672">
        <v>0</v>
      </c>
      <c r="M672">
        <f>VLOOKUP(A672,[1]kanji_data!$A:$N,14,FALSE)</f>
        <v>0</v>
      </c>
    </row>
    <row r="673">
      <c r="A673" t="str">
        <v>頓</v>
      </c>
      <c r="B673">
        <v>13</v>
      </c>
      <c r="C673" t="b">
        <v>1</v>
      </c>
      <c r="D673" t="str">
        <v>トン トツ</v>
      </c>
      <c r="E673" t="str">
        <v>くる（しむ） つか（れる） つまず（く） とど（まる） とみ（に） ぬか（ずく） ひたぶる</v>
      </c>
      <c r="F673">
        <v>0</v>
      </c>
      <c r="G673" t="str">
        <v>ぬかずく。頭を地につけておじぎする。 とどまる。とまる。うごかない。 つまずく。ころぶ。また、とどこおる。 とみに。にわかに。すぐに。急に。 つかれる。くるしむ。 やぶれる。くじける。 「冒頓」は、匈奴の単于の名。 ひたぶる。ひたすら。いちずに。</v>
      </c>
      <c r="I673">
        <v>10</v>
      </c>
      <c r="J673">
        <v>50</v>
      </c>
      <c r="K673">
        <v>50</v>
      </c>
      <c r="L673">
        <v>1</v>
      </c>
    </row>
    <row r="674">
      <c r="A674" t="str">
        <v>供</v>
      </c>
      <c r="B674">
        <v>8</v>
      </c>
      <c r="C674" t="b">
        <v>1</v>
      </c>
      <c r="D674" t="str">
        <v>キョウ ク</v>
      </c>
      <c r="E674" t="str">
        <v>そな（える） とも</v>
      </c>
      <c r="F674">
        <v>0</v>
      </c>
      <c r="G674" t="str">
        <v>そなえる。そなえ。神仏などにものをささげる。 そなえる。そなえ。そなえすすめる。 自ら申し述べる。例：自供 差し出す。支給する。 とも。従者。 ども。言葉の後ろにつけて複数を表す。</v>
      </c>
      <c r="H674" t="str">
        <v>#自然</v>
      </c>
      <c r="I674">
        <v>10</v>
      </c>
      <c r="J674">
        <v>45</v>
      </c>
      <c r="K674">
        <v>70</v>
      </c>
      <c r="L674">
        <v>1</v>
      </c>
    </row>
    <row r="675">
      <c r="A675" t="str">
        <v>算</v>
      </c>
      <c r="B675">
        <v>14</v>
      </c>
      <c r="C675" t="b">
        <v>1</v>
      </c>
      <c r="D675" t="str">
        <v>サン</v>
      </c>
      <c r="E675" t="str">
        <v>かず かぞ（える）</v>
      </c>
      <c r="F675" t="str">
        <v>とも はかる</v>
      </c>
      <c r="G675" t="str">
        <v>かず。もののかず。 かぞえる。ものの数をかぞえる。 さんぎ。かずとり。そろばん。 はかる。はかりごと。計略。計画。もくろみ。 年齢。寿命。</v>
      </c>
      <c r="H675" t="str">
        <v>#知性</v>
      </c>
      <c r="I675">
        <v>30</v>
      </c>
      <c r="J675">
        <v>50</v>
      </c>
      <c r="K675">
        <v>50</v>
      </c>
      <c r="L675">
        <v>0</v>
      </c>
    </row>
    <row r="676">
      <c r="A676" t="str">
        <v>読</v>
      </c>
      <c r="B676">
        <v>14</v>
      </c>
      <c r="C676" t="b">
        <v>1</v>
      </c>
      <c r="D676" t="str">
        <v>トウ トク ドク</v>
      </c>
      <c r="E676" t="str">
        <v>よ（む）</v>
      </c>
      <c r="F676">
        <v>0</v>
      </c>
      <c r="G676" t="str">
        <v>よむ。文字をよむ。意味をよみとる。 説く。語る。 文体のひとつ。読後の感想をかいたもの。 文中の区切り。 よむ。数える。 見ぬく。推理する。 よみ。漢字のよみかた。</v>
      </c>
      <c r="H676" t="str">
        <v>#知性</v>
      </c>
      <c r="I676">
        <v>10</v>
      </c>
      <c r="J676">
        <v>50</v>
      </c>
      <c r="K676">
        <v>50</v>
      </c>
      <c r="L676">
        <v>0</v>
      </c>
    </row>
    <row r="677">
      <c r="A677" t="str">
        <v>若</v>
      </c>
      <c r="B677">
        <v>8</v>
      </c>
      <c r="C677" t="b">
        <v>1</v>
      </c>
      <c r="D677" t="str">
        <v>ジャク ニャク ジャ ニャ</v>
      </c>
      <c r="E677" t="str">
        <v>わか（い） も（しくは） ごと（し） し（く） なんじ も（し）</v>
      </c>
      <c r="F677" t="str">
        <v>なお まさ よし より</v>
      </c>
      <c r="G677" t="str">
        <v>なんじ。おまえ。二人称の代名詞。 したがう。 このような。かくのごとき。かくのごとし。 えらぶ。 いくらか。いくつか。いくばく。すこし。例：若干 「もし」と読み、「もし～ならば」の意。 「もしくは」と読み、「あるいは」「または」の意。 「ごとし」と読み、「～のようである」の意。 「かくのごとし」と読み、「このようである」「このように」の意。 「～のごときは」と読み、「たとえば～は」「～などは」の意。 「しく」と読み、「同等である」の意。また、「不若」は「しかず」と読み、比較して優劣を判断する意。 「何若」「若何」は「いかん」「いかんせん」と読み、疑問の意を表す。 ほしくさ。 梵語の音訳に用いる字。 わかい。おさない。</v>
      </c>
      <c r="H677" t="str">
        <v>#知性</v>
      </c>
      <c r="I677">
        <v>90</v>
      </c>
      <c r="J677">
        <v>45</v>
      </c>
      <c r="K677">
        <v>75</v>
      </c>
      <c r="L677">
        <v>0</v>
      </c>
      <c r="M677">
        <f>VLOOKUP(A677,[1]kanji_data!$A:$N,14,FALSE)</f>
        <v>0</v>
      </c>
    </row>
    <row r="678">
      <c r="A678" t="str">
        <v>宗</v>
      </c>
      <c r="B678">
        <v>8</v>
      </c>
      <c r="C678" t="b">
        <v>1</v>
      </c>
      <c r="D678" t="str">
        <v>シュウ ソウ</v>
      </c>
      <c r="E678" t="str">
        <v>むね</v>
      </c>
      <c r="F678" t="str">
        <v>かず たかし とき とし のり ひろ もと</v>
      </c>
      <c r="G678" t="str">
        <v>みたまや。祖先をまつるところ。 祖先。同じ祖先をもつ一族。 むね。おおもと。根本。中心となるもの。 とうとぶ。たっとぶ。敬い重んじる。 神仏の教え。開祖の思想。また、それを信仰する団体。</v>
      </c>
      <c r="H678" t="str">
        <v>#自然</v>
      </c>
      <c r="I678">
        <v>95</v>
      </c>
      <c r="J678">
        <v>75</v>
      </c>
      <c r="K678">
        <v>40</v>
      </c>
      <c r="L678">
        <v>0</v>
      </c>
      <c r="M678">
        <f>VLOOKUP(A678,[1]kanji_data!$A:$N,14,FALSE)</f>
        <v>0</v>
      </c>
    </row>
    <row r="679">
      <c r="A679" t="str">
        <v>垂</v>
      </c>
      <c r="B679">
        <v>8</v>
      </c>
      <c r="C679" t="b">
        <v>1</v>
      </c>
      <c r="D679" t="str">
        <v>スイ</v>
      </c>
      <c r="E679" t="str">
        <v>た（らす） た（れる） しだ（れる） しで なんなん（とする）</v>
      </c>
      <c r="F679">
        <v>0</v>
      </c>
      <c r="G679" t="str">
        <v>たらす。たれる。下にたれ下がる。 しだれる。枝などが長くたれ下がる。 与える。ほどこす。 なんなんとする。今にも～になろうとする。ほとんど～しかかっている。 しで。しめなわや玉串などつけてたれ下げる細長く切った紙。</v>
      </c>
      <c r="H679" t="str">
        <v>#健康</v>
      </c>
      <c r="I679">
        <v>10</v>
      </c>
      <c r="J679">
        <v>55</v>
      </c>
      <c r="K679">
        <v>55</v>
      </c>
      <c r="L679">
        <v>1</v>
      </c>
    </row>
    <row r="680">
      <c r="A680" t="str">
        <v>駅</v>
      </c>
      <c r="B680">
        <v>14</v>
      </c>
      <c r="C680" t="b">
        <v>1</v>
      </c>
      <c r="D680" t="str">
        <v>エキ</v>
      </c>
      <c r="E680" t="str">
        <v>うまや</v>
      </c>
      <c r="F680">
        <v>0</v>
      </c>
      <c r="G680" t="str">
        <v>うまや。馬継ぎ場。馬を交換したり休んだりする場所。 はやうま。つぎうま。乗り継ぐために用意された馬。 えき。電車が発着する場所。</v>
      </c>
      <c r="I680">
        <v>10</v>
      </c>
      <c r="J680">
        <v>50</v>
      </c>
      <c r="K680">
        <v>50</v>
      </c>
      <c r="L680">
        <v>1</v>
      </c>
    </row>
    <row r="681">
      <c r="A681" t="str">
        <v>宙</v>
      </c>
      <c r="B681">
        <v>8</v>
      </c>
      <c r="C681" t="b">
        <v>1</v>
      </c>
      <c r="D681" t="str">
        <v>チュウ</v>
      </c>
      <c r="E681" t="str">
        <v>そら</v>
      </c>
      <c r="F681" t="str">
        <v>おき ひろ ひろし みち</v>
      </c>
      <c r="G681" t="str">
        <v>そら。大空。限りなく広がる空間。 時間。過去から現在、未来にいたるまでの無限の時間。 そら。暗記。暗記している。</v>
      </c>
      <c r="H681" t="str">
        <v>#天空 #繁栄</v>
      </c>
      <c r="I681">
        <v>90</v>
      </c>
      <c r="J681">
        <v>75</v>
      </c>
      <c r="K681">
        <v>45</v>
      </c>
      <c r="L681">
        <v>0</v>
      </c>
      <c r="M681">
        <f>VLOOKUP(A681,[1]kanji_data!$A:$N,14,FALSE)</f>
        <v>0</v>
      </c>
    </row>
    <row r="682">
      <c r="A682" t="str">
        <v>忠</v>
      </c>
      <c r="B682">
        <v>8</v>
      </c>
      <c r="C682" t="b">
        <v>1</v>
      </c>
      <c r="D682" t="str">
        <v>チュウ</v>
      </c>
      <c r="E682" t="str">
        <v>まごころ</v>
      </c>
      <c r="F682" t="str">
        <v>あつ あつし きよし すなお ただ ただし なり のり</v>
      </c>
      <c r="G682" t="str">
        <v>まごころ。まこと。偽りのない真心。 誠実である。まじめである。また、誠意をもって事にあたる。 君主に誠意をもって仕える。 じょう。四等官で、弾正台の第三位。</v>
      </c>
      <c r="H682" t="str">
        <v>#品格 #心・志</v>
      </c>
      <c r="I682">
        <v>95</v>
      </c>
      <c r="J682">
        <v>60</v>
      </c>
      <c r="K682">
        <v>50</v>
      </c>
      <c r="L682">
        <v>0</v>
      </c>
      <c r="M682">
        <f>VLOOKUP(A682,[1]kanji_data!$A:$N,14,FALSE)</f>
        <v>0</v>
      </c>
    </row>
    <row r="683">
      <c r="A683" t="str">
        <v>届</v>
      </c>
      <c r="B683">
        <v>8</v>
      </c>
      <c r="C683" t="b">
        <v>1</v>
      </c>
      <c r="D683" t="str">
        <v>カイ</v>
      </c>
      <c r="E683" t="str">
        <v>とど（く） とど（ける）</v>
      </c>
      <c r="F683">
        <v>0</v>
      </c>
      <c r="G683" t="str">
        <v>いたる。とどく。ある決められた時刻や時期、場所にいたる。 とどく。送ったものが到着する。 とどける。申し出る。 とどけ。申し出の文書。</v>
      </c>
      <c r="H683" t="str">
        <v>#繁栄</v>
      </c>
      <c r="I683">
        <v>10</v>
      </c>
      <c r="J683">
        <v>50</v>
      </c>
      <c r="K683">
        <v>50</v>
      </c>
      <c r="L683">
        <v>1</v>
      </c>
    </row>
    <row r="684">
      <c r="A684" t="str">
        <v>乳</v>
      </c>
      <c r="B684">
        <v>8</v>
      </c>
      <c r="C684" t="b">
        <v>1</v>
      </c>
      <c r="D684" t="str">
        <v>ニュウ ジュ ニュ</v>
      </c>
      <c r="E684" t="str">
        <v>ちち ち</v>
      </c>
      <c r="F684">
        <v>0</v>
      </c>
      <c r="G684" t="str">
        <v>ち。ちち。 ちちを飲まれることから、育てる・子育て・やしなうなどの意。 うまれたばかり。うまれてまもない。幼い。</v>
      </c>
      <c r="I684">
        <v>0</v>
      </c>
      <c r="J684">
        <v>70</v>
      </c>
      <c r="K684">
        <v>50</v>
      </c>
      <c r="L684">
        <v>1</v>
      </c>
    </row>
    <row r="685">
      <c r="A685" t="str">
        <v>鼻</v>
      </c>
      <c r="B685">
        <v>14</v>
      </c>
      <c r="C685" t="b">
        <v>1</v>
      </c>
      <c r="D685" t="str">
        <v>ビ</v>
      </c>
      <c r="E685" t="str">
        <v>はな はじ（め）</v>
      </c>
      <c r="F685">
        <v>0</v>
      </c>
      <c r="G685" t="str">
        <v>はな。息をしたり、においを嗅いだりする器官。 はじめ。はじまり。はじめて。</v>
      </c>
      <c r="I685">
        <v>10</v>
      </c>
      <c r="J685">
        <v>50</v>
      </c>
      <c r="K685">
        <v>50</v>
      </c>
      <c r="L685">
        <v>1</v>
      </c>
    </row>
    <row r="686">
      <c r="A686" t="str">
        <v>並</v>
      </c>
      <c r="B686">
        <v>8</v>
      </c>
      <c r="C686" t="b">
        <v>1</v>
      </c>
      <c r="D686" t="str">
        <v>ヘイ</v>
      </c>
      <c r="E686" t="str">
        <v>なみ なら（びに） なら（ぶ） なら（べる）</v>
      </c>
      <c r="F686" t="str">
        <v>み みつ</v>
      </c>
      <c r="G686" t="str">
        <v>ならぶ。ならべる。立ちならぶ。 ならびに。ともに。一様に。 なみ。普通。平凡。程度が一般的。</v>
      </c>
      <c r="H686" t="str">
        <v>#調和</v>
      </c>
      <c r="I686">
        <v>5</v>
      </c>
      <c r="J686">
        <v>55</v>
      </c>
      <c r="K686">
        <v>55</v>
      </c>
      <c r="L686">
        <v>0</v>
      </c>
      <c r="M686">
        <f>VLOOKUP(A686,[1]kanji_data!$A:$N,14,FALSE)</f>
        <v>0</v>
      </c>
    </row>
    <row r="687">
      <c r="A687" t="str">
        <v>宝</v>
      </c>
      <c r="B687">
        <v>8</v>
      </c>
      <c r="C687" t="b">
        <v>1</v>
      </c>
      <c r="D687" t="str">
        <v>ホウ</v>
      </c>
      <c r="E687" t="str">
        <v>たから</v>
      </c>
      <c r="F687" t="str">
        <v>かね たか たけ とみ とも ほ みち よし</v>
      </c>
      <c r="G687" t="str">
        <v>たから。貴重で価値のあるもの。大切なもの。 たからとする。大切にする。 天子や神仏、または他人に関することを敬っていうことば。</v>
      </c>
      <c r="H687" t="str">
        <v>#慈愛</v>
      </c>
      <c r="I687">
        <v>100</v>
      </c>
      <c r="J687">
        <v>20</v>
      </c>
      <c r="K687">
        <v>100</v>
      </c>
      <c r="L687">
        <v>0</v>
      </c>
      <c r="M687">
        <f>VLOOKUP(A687,[1]kanji_data!$A:$N,14,FALSE)</f>
        <v>0</v>
      </c>
    </row>
    <row r="688">
      <c r="A688" t="str">
        <v>漁</v>
      </c>
      <c r="B688">
        <v>14</v>
      </c>
      <c r="C688" t="b">
        <v>1</v>
      </c>
      <c r="D688" t="str">
        <v>ギョ リョウ</v>
      </c>
      <c r="E688" t="str">
        <v>あさ（る） いさ（り） すなど（る）</v>
      </c>
      <c r="F688">
        <v>0</v>
      </c>
      <c r="G688" t="str">
        <v>あさる。むさぼる。むさぼり求める。 いさり。すなどる。魚や貝などを捕る。</v>
      </c>
      <c r="I688">
        <v>10</v>
      </c>
      <c r="J688">
        <v>50</v>
      </c>
      <c r="K688">
        <v>50</v>
      </c>
      <c r="L688">
        <v>1</v>
      </c>
    </row>
    <row r="689">
      <c r="A689" t="str">
        <v>慣</v>
      </c>
      <c r="B689">
        <v>14</v>
      </c>
      <c r="C689" t="b">
        <v>1</v>
      </c>
      <c r="D689" t="str">
        <v>カン</v>
      </c>
      <c r="E689" t="str">
        <v>な（らす） な（れる） ならわし</v>
      </c>
      <c r="F689">
        <v>0</v>
      </c>
      <c r="G689" t="str">
        <v>なれる。何度も同じことを繰り返して身につける。 ならわし。しきたり。習慣。</v>
      </c>
      <c r="I689">
        <v>10</v>
      </c>
      <c r="J689">
        <v>50</v>
      </c>
      <c r="K689">
        <v>50</v>
      </c>
      <c r="L689">
        <v>1</v>
      </c>
    </row>
    <row r="690">
      <c r="A690" t="str">
        <v>酸</v>
      </c>
      <c r="B690">
        <v>14</v>
      </c>
      <c r="C690" t="b">
        <v>1</v>
      </c>
      <c r="D690" t="str">
        <v>サン</v>
      </c>
      <c r="E690" t="str">
        <v>す（い） す つら（い）</v>
      </c>
      <c r="F690">
        <v>0</v>
      </c>
      <c r="G690" t="str">
        <v>すい。す。すっぱい。また、そのような味の液体。五味の一つ。 つらい。苦しい。いたましい。みすぼらしい。 いたむ。悲しむ。 化学元素の一つ。酸素。</v>
      </c>
      <c r="I690">
        <v>10</v>
      </c>
      <c r="J690">
        <v>50</v>
      </c>
      <c r="K690">
        <v>50</v>
      </c>
      <c r="L690">
        <v>1</v>
      </c>
    </row>
    <row r="691">
      <c r="A691" t="str">
        <v>奇</v>
      </c>
      <c r="B691">
        <v>8</v>
      </c>
      <c r="C691" t="b">
        <v>1</v>
      </c>
      <c r="D691" t="str">
        <v>キ</v>
      </c>
      <c r="E691" t="str">
        <v>あや（しい） く（し） めずら（しい）</v>
      </c>
      <c r="F691">
        <v>0</v>
      </c>
      <c r="G691" t="str">
        <v>めずらしい。くし。普通の様子ではない。変わっている。 すぐれている。非凡。 あやしい。不思議。 くしくも。不思議にも。 思いがけない。予想外。 二で割り切れない。奇数。 不運。運に恵まれない。</v>
      </c>
      <c r="H691" t="str">
        <v>#心・志 #慈愛</v>
      </c>
      <c r="I691">
        <v>10</v>
      </c>
      <c r="J691">
        <v>55</v>
      </c>
      <c r="K691">
        <v>60</v>
      </c>
      <c r="L691">
        <v>0</v>
      </c>
      <c r="M691">
        <f>VLOOKUP(A691,[1]kanji_data!$A:$N,14,FALSE)</f>
        <v>0</v>
      </c>
    </row>
    <row r="692">
      <c r="A692" t="str">
        <v>祈</v>
      </c>
      <c r="B692">
        <v>8</v>
      </c>
      <c r="C692" t="b">
        <v>1</v>
      </c>
      <c r="D692" t="str">
        <v>キ</v>
      </c>
      <c r="E692" t="str">
        <v>いの（る）</v>
      </c>
      <c r="F692" t="str">
        <v>いのり</v>
      </c>
      <c r="G692" t="str">
        <v>いのる。いのり。神仏に願い求める。</v>
      </c>
      <c r="H692" t="str">
        <v>#幸福 #心・志</v>
      </c>
      <c r="I692">
        <v>85</v>
      </c>
      <c r="J692">
        <v>50</v>
      </c>
      <c r="K692">
        <v>60</v>
      </c>
      <c r="L692">
        <v>0</v>
      </c>
      <c r="M692">
        <f>VLOOKUP(A692,[1]kanji_data!$A:$N,14,FALSE)</f>
        <v>0</v>
      </c>
    </row>
    <row r="693">
      <c r="A693" t="str">
        <v>態</v>
      </c>
      <c r="B693">
        <v>14</v>
      </c>
      <c r="C693" t="b">
        <v>1</v>
      </c>
      <c r="D693" t="str">
        <v>タイ テイ</v>
      </c>
      <c r="E693" t="str">
        <v>さま わざ（と）</v>
      </c>
      <c r="F693">
        <v>0</v>
      </c>
      <c r="G693" t="str">
        <v>さま。ありさま。姿。形。様子。 わざと。わざわざ。ことさらに。故意に。</v>
      </c>
      <c r="I693">
        <v>10</v>
      </c>
      <c r="J693">
        <v>50</v>
      </c>
      <c r="K693">
        <v>50</v>
      </c>
      <c r="L693">
        <v>1</v>
      </c>
    </row>
    <row r="694">
      <c r="A694" t="str">
        <v>銅</v>
      </c>
      <c r="B694">
        <v>14</v>
      </c>
      <c r="C694" t="b">
        <v>1</v>
      </c>
      <c r="D694" t="str">
        <v>ドウ</v>
      </c>
      <c r="E694" t="str">
        <v>あかがね</v>
      </c>
      <c r="F694" t="str">
        <v>かね</v>
      </c>
      <c r="G694" t="str">
        <v>あかがね。どう。金属の名。 銅の貨幣。銅貨。 あかがね色。銅のような赤黒い色。</v>
      </c>
      <c r="I694">
        <v>30</v>
      </c>
      <c r="J694">
        <v>50</v>
      </c>
      <c r="K694">
        <v>50</v>
      </c>
      <c r="L694">
        <v>1</v>
      </c>
    </row>
    <row r="695">
      <c r="A695" t="str">
        <v>屈</v>
      </c>
      <c r="B695">
        <v>8</v>
      </c>
      <c r="C695" t="b">
        <v>1</v>
      </c>
      <c r="D695" t="str">
        <v>クツ</v>
      </c>
      <c r="E695" t="str">
        <v>かが（む） くぐ（まる） こご（まる）</v>
      </c>
      <c r="F695">
        <v>0</v>
      </c>
      <c r="G695" t="str">
        <v>かがむ。かがめる。まげる。おりまげる。 まげる。主張をまげる。くじける。服従する。 つよい。丈夫。 くぐまる。こごまる。体を曲げ低める。</v>
      </c>
      <c r="H695" t="str">
        <v>#健康</v>
      </c>
      <c r="I695">
        <v>10</v>
      </c>
      <c r="J695">
        <v>85</v>
      </c>
      <c r="K695">
        <v>35</v>
      </c>
      <c r="L695">
        <v>1</v>
      </c>
    </row>
    <row r="696">
      <c r="A696" t="str">
        <v>肩</v>
      </c>
      <c r="B696">
        <v>8</v>
      </c>
      <c r="C696" t="b">
        <v>1</v>
      </c>
      <c r="D696" t="str">
        <v>ケン</v>
      </c>
      <c r="E696" t="str">
        <v>かた</v>
      </c>
      <c r="F696">
        <v>0</v>
      </c>
      <c r="G696" t="str">
        <v>かた。腕と胴体のつながる部分。また、その関節の上部。 になう。かつぐ。もちこたえる。たえる。 三歳のけもの。</v>
      </c>
      <c r="H696" t="str">
        <v>#勇気</v>
      </c>
      <c r="I696">
        <v>10</v>
      </c>
      <c r="J696">
        <v>50</v>
      </c>
      <c r="K696">
        <v>50</v>
      </c>
      <c r="L696">
        <v>1</v>
      </c>
    </row>
    <row r="697">
      <c r="A697" t="str">
        <v>疑</v>
      </c>
      <c r="B697">
        <v>14</v>
      </c>
      <c r="C697" t="b">
        <v>1</v>
      </c>
      <c r="D697" t="str">
        <v>ギ</v>
      </c>
      <c r="E697" t="str">
        <v>うたが（う） うたぐ（る）</v>
      </c>
      <c r="F697">
        <v>0</v>
      </c>
      <c r="G697" t="str">
        <v>うたがう。あやしむ。うたがい。あやしい。うたがわしい。 ためらう。しりごみする。迷う。とまどう。</v>
      </c>
      <c r="I697">
        <v>10</v>
      </c>
      <c r="J697">
        <v>50</v>
      </c>
      <c r="K697">
        <v>50</v>
      </c>
      <c r="L697">
        <v>1</v>
      </c>
    </row>
    <row r="698">
      <c r="A698" t="str">
        <v>沼</v>
      </c>
      <c r="B698">
        <v>8</v>
      </c>
      <c r="C698" t="b">
        <v>1</v>
      </c>
      <c r="D698" t="str">
        <v>ショウ</v>
      </c>
      <c r="E698" t="str">
        <v>ぬま</v>
      </c>
      <c r="F698">
        <v>0</v>
      </c>
      <c r="G698" t="str">
        <v>ぬま。泥が深い池。</v>
      </c>
      <c r="H698" t="str">
        <v>#海・水</v>
      </c>
      <c r="I698">
        <v>10</v>
      </c>
      <c r="J698">
        <v>50</v>
      </c>
      <c r="K698">
        <v>50</v>
      </c>
      <c r="L698">
        <v>1</v>
      </c>
    </row>
    <row r="699">
      <c r="A699" t="str">
        <v>征</v>
      </c>
      <c r="B699">
        <v>8</v>
      </c>
      <c r="C699" t="b">
        <v>1</v>
      </c>
      <c r="D699" t="str">
        <v>セイ</v>
      </c>
      <c r="E699" t="str">
        <v>う（つ） と（る） ゆ（く）</v>
      </c>
      <c r="F699" t="str">
        <v>さち そ ただし ただす まさ もと ゆき</v>
      </c>
      <c r="G699" t="str">
        <v>ゆく。遠い所に行く。旅に行く。 うつ。敵や悪人を討つ。 とる。奪い取る。取り立てる。</v>
      </c>
      <c r="H699" t="str">
        <v>#天空</v>
      </c>
      <c r="I699">
        <v>75</v>
      </c>
      <c r="J699">
        <v>100</v>
      </c>
      <c r="K699">
        <v>25</v>
      </c>
      <c r="L699">
        <v>0</v>
      </c>
      <c r="M699">
        <f>VLOOKUP(A699,[1]kanji_data!$A:$N,14,FALSE)</f>
        <v>0</v>
      </c>
    </row>
    <row r="700">
      <c r="A700" t="str">
        <v>姓</v>
      </c>
      <c r="B700">
        <v>8</v>
      </c>
      <c r="C700" t="b">
        <v>1</v>
      </c>
      <c r="D700" t="str">
        <v>ショウ セイ</v>
      </c>
      <c r="E700" t="str">
        <v>かばね</v>
      </c>
      <c r="F700">
        <v>0</v>
      </c>
      <c r="G700" t="str">
        <v>かばね。血筋や家系を示すもの。 氏（うじ）。職業や家柄を示すもの。「氏」と「姓」は区別されたが、漢代以後は混同され用いられるようになった。 かばね。家柄や世襲の官職を表した呼び方。</v>
      </c>
      <c r="H700" t="str">
        <v>#品格</v>
      </c>
      <c r="I700">
        <v>10</v>
      </c>
      <c r="J700">
        <v>50</v>
      </c>
      <c r="K700">
        <v>50</v>
      </c>
      <c r="L700">
        <v>1</v>
      </c>
    </row>
    <row r="701">
      <c r="A701" t="str">
        <v>拓</v>
      </c>
      <c r="B701">
        <v>8</v>
      </c>
      <c r="C701" t="b">
        <v>1</v>
      </c>
      <c r="D701" t="str">
        <v>タク セキ</v>
      </c>
      <c r="E701" t="str">
        <v>ひら（く）</v>
      </c>
      <c r="F701" t="str">
        <v>ひろ ひろし</v>
      </c>
      <c r="G701" t="str">
        <v>ひらく。きりひらく。ひろげる。 手で押す。また、持ち上げる。 石ずり。石碑などに刻まれた文字に紙などをあてて写しとったもの。 ひろう。手でひろう。</v>
      </c>
      <c r="H701" t="str">
        <v>#繁栄</v>
      </c>
      <c r="I701">
        <v>95</v>
      </c>
      <c r="J701">
        <v>100</v>
      </c>
      <c r="K701">
        <v>30</v>
      </c>
      <c r="L701">
        <v>0</v>
      </c>
      <c r="M701">
        <f>VLOOKUP(A701,[1]kanji_data!$A:$N,14,FALSE)</f>
        <v>0</v>
      </c>
    </row>
    <row r="702">
      <c r="A702" t="str">
        <v>誤</v>
      </c>
      <c r="B702">
        <v>14</v>
      </c>
      <c r="C702" t="b">
        <v>1</v>
      </c>
      <c r="D702" t="str">
        <v>ゴ</v>
      </c>
      <c r="E702" t="str">
        <v>あやま（る） まど（わす）</v>
      </c>
      <c r="F702">
        <v>0</v>
      </c>
      <c r="G702" t="str">
        <v>あやまる。まちがう。そこなう。まどわす。 あやまり。まちがい。</v>
      </c>
      <c r="I702">
        <v>10</v>
      </c>
      <c r="J702">
        <v>50</v>
      </c>
      <c r="K702">
        <v>50</v>
      </c>
      <c r="L702">
        <v>1</v>
      </c>
    </row>
    <row r="703">
      <c r="A703" t="str">
        <v>模</v>
      </c>
      <c r="B703">
        <v>14</v>
      </c>
      <c r="C703" t="b">
        <v>1</v>
      </c>
      <c r="D703" t="str">
        <v>ボ モ</v>
      </c>
      <c r="E703" t="str">
        <v>かた のっと（る）</v>
      </c>
      <c r="F703">
        <v>0</v>
      </c>
      <c r="G703" t="str">
        <v>かた。同形の物をつくるための型。 かた。のり。手本。 のっとる。真似る。似せる。</v>
      </c>
      <c r="I703">
        <v>10</v>
      </c>
      <c r="J703">
        <v>50</v>
      </c>
      <c r="K703">
        <v>50</v>
      </c>
      <c r="L703">
        <v>1</v>
      </c>
    </row>
    <row r="704">
      <c r="A704" t="str">
        <v>突</v>
      </c>
      <c r="B704">
        <v>8</v>
      </c>
      <c r="C704" t="b">
        <v>1</v>
      </c>
      <c r="D704" t="str">
        <v>トツ</v>
      </c>
      <c r="E704" t="str">
        <v>つ（く）</v>
      </c>
      <c r="F704">
        <v>0</v>
      </c>
      <c r="G704" t="str">
        <v>つく。つきあたる。ぶつかる。つき出る。 にわかに。だしぬけに。思いがけず急に。例：突然 つき。剣術や相撲で相手をつく技。</v>
      </c>
      <c r="H704" t="str">
        <v>#心・志</v>
      </c>
      <c r="I704">
        <v>10</v>
      </c>
      <c r="J704">
        <v>85</v>
      </c>
      <c r="K704">
        <v>30</v>
      </c>
      <c r="L704">
        <v>1</v>
      </c>
    </row>
    <row r="705">
      <c r="A705" t="str">
        <v>漫</v>
      </c>
      <c r="B705">
        <v>14</v>
      </c>
      <c r="C705" t="b">
        <v>1</v>
      </c>
      <c r="D705" t="str">
        <v>マン バン</v>
      </c>
      <c r="E705" t="str">
        <v>そぞ（ろに） みだ（りに）</v>
      </c>
      <c r="F705">
        <v>0</v>
      </c>
      <c r="G705" t="str">
        <v>満ちる。はびこる。充満する。みなぎる。一面に広くゆきわたる。 みだりに。むやみに。そぞろに。とりとめがないさま。 そぞろ。そぞろに。なんとなく。なんとなしに。とりとめなく。</v>
      </c>
      <c r="I705">
        <v>10</v>
      </c>
      <c r="J705">
        <v>50</v>
      </c>
      <c r="K705">
        <v>50</v>
      </c>
      <c r="L705">
        <v>1</v>
      </c>
    </row>
    <row r="706">
      <c r="A706" t="str">
        <v>泊</v>
      </c>
      <c r="B706">
        <v>8</v>
      </c>
      <c r="C706" t="b">
        <v>1</v>
      </c>
      <c r="D706" t="str">
        <v>ハク</v>
      </c>
      <c r="E706" t="str">
        <v>と（まる） と（める）</v>
      </c>
      <c r="F706">
        <v>0</v>
      </c>
      <c r="G706" t="str">
        <v>とまる。宿などにとまる。また、その回数。 とまる。とめる。船がとまる。船をとめる。船を岸につける。 あっさりしているさま。さっぱりしているさま。欲のないさま。例：淡泊 浅い沼や沢、または湖。</v>
      </c>
      <c r="H706" t="str">
        <v>#海・水</v>
      </c>
      <c r="I706">
        <v>10</v>
      </c>
      <c r="J706">
        <v>55</v>
      </c>
      <c r="K706">
        <v>60</v>
      </c>
      <c r="L706">
        <v>1</v>
      </c>
    </row>
    <row r="707">
      <c r="A707" t="str">
        <v>概</v>
      </c>
      <c r="B707">
        <v>14</v>
      </c>
      <c r="C707" t="b">
        <v>1</v>
      </c>
      <c r="D707" t="str">
        <v>ガイ カイ</v>
      </c>
      <c r="E707" t="str">
        <v>おおむ（ね）</v>
      </c>
      <c r="F707">
        <v>0</v>
      </c>
      <c r="G707" t="str">
        <v>おおむね。おおよそ。あらまし。 とかき。ますに入れた穀物を平らにならす棒。 おもむき。様子。</v>
      </c>
      <c r="I707">
        <v>10</v>
      </c>
      <c r="J707">
        <v>50</v>
      </c>
      <c r="K707">
        <v>50</v>
      </c>
      <c r="L707">
        <v>1</v>
      </c>
    </row>
    <row r="708">
      <c r="A708" t="str">
        <v>偽</v>
      </c>
      <c r="B708">
        <v>14</v>
      </c>
      <c r="C708" t="b">
        <v>1</v>
      </c>
      <c r="D708" t="str">
        <v>ギ</v>
      </c>
      <c r="E708" t="str">
        <v>いつわ（る） にせ</v>
      </c>
      <c r="F708">
        <v>0</v>
      </c>
      <c r="G708" t="str">
        <v>いつわる。あざむく。だます。ふりをする。 にせ。にせもの。いつわり。 人が手を加えたもの。人為。</v>
      </c>
      <c r="I708">
        <v>10</v>
      </c>
      <c r="J708">
        <v>50</v>
      </c>
      <c r="K708">
        <v>50</v>
      </c>
      <c r="L708">
        <v>1</v>
      </c>
    </row>
    <row r="709">
      <c r="A709" t="str">
        <v>劇</v>
      </c>
      <c r="B709">
        <v>15</v>
      </c>
      <c r="C709" t="b">
        <v>1</v>
      </c>
      <c r="D709" t="str">
        <v>ゲキ</v>
      </c>
      <c r="E709" t="str">
        <v>はげ（しい）</v>
      </c>
      <c r="F709">
        <v>0</v>
      </c>
      <c r="G709" t="str">
        <v>はげしい。きびしい。程度がはなはだしい。 はやい。めまぐるしい。迅速。 げき。芝居。</v>
      </c>
      <c r="I709">
        <v>10</v>
      </c>
      <c r="J709">
        <v>50</v>
      </c>
      <c r="K709">
        <v>50</v>
      </c>
      <c r="L709">
        <v>1</v>
      </c>
    </row>
    <row r="710">
      <c r="A710" t="str">
        <v>監</v>
      </c>
      <c r="B710">
        <v>15</v>
      </c>
      <c r="C710" t="b">
        <v>1</v>
      </c>
      <c r="D710" t="str">
        <v>カン ケン</v>
      </c>
      <c r="E710" t="str">
        <v>かんがみ（る） しら（べる） み（る）</v>
      </c>
      <c r="F710">
        <v>0</v>
      </c>
      <c r="G710" t="str">
        <v>みる。見張る。見下ろす。 管理する。取り締まる。 牢屋。牢獄。また、牢屋に閉じ込める。 かんがみる。手本とする。手本とする。 宦官。 げん。大宰府の第三等官。</v>
      </c>
      <c r="I710">
        <v>10</v>
      </c>
      <c r="J710">
        <v>50</v>
      </c>
      <c r="K710">
        <v>50</v>
      </c>
      <c r="L710">
        <v>1</v>
      </c>
    </row>
    <row r="711">
      <c r="A711" t="str">
        <v>抱</v>
      </c>
      <c r="B711">
        <v>8</v>
      </c>
      <c r="C711" t="b">
        <v>1</v>
      </c>
      <c r="D711" t="str">
        <v>ホウ</v>
      </c>
      <c r="E711" t="str">
        <v>いだ（く） かか（える） だ（く）</v>
      </c>
      <c r="F711">
        <v>0</v>
      </c>
      <c r="G711" t="str">
        <v>だく。いだく。かかえる。両手でだきかかえる。 いだく。心にいだく。思いや考えをもつ。 かかえる。人を雇う。</v>
      </c>
      <c r="H711" t="str">
        <v>#心・志</v>
      </c>
      <c r="I711">
        <v>10</v>
      </c>
      <c r="J711">
        <v>60</v>
      </c>
      <c r="K711">
        <v>55</v>
      </c>
      <c r="L711">
        <v>0</v>
      </c>
      <c r="M711">
        <f>VLOOKUP(A711,[1]kanji_data!$A:$N,14,FALSE)</f>
        <v>0</v>
      </c>
    </row>
    <row r="712">
      <c r="A712" t="str">
        <v>戯</v>
      </c>
      <c r="B712">
        <v>15</v>
      </c>
      <c r="C712" t="b">
        <v>1</v>
      </c>
      <c r="D712" t="str">
        <v>ギ ゲ</v>
      </c>
      <c r="E712" t="str">
        <v>たわむ（れる） ざ（れる） たわ（ける）</v>
      </c>
      <c r="F712">
        <v>0</v>
      </c>
      <c r="G712" t="str">
        <v>たわむれる。ふざける。おどける。 たわむれ。冗談。遊び。 芝居。演技。演劇。 ざれる。ふざける。 たわける。ふざけたことをする。ばかげたことをする。</v>
      </c>
      <c r="I712">
        <v>10</v>
      </c>
      <c r="J712">
        <v>50</v>
      </c>
      <c r="K712">
        <v>50</v>
      </c>
      <c r="L712">
        <v>1</v>
      </c>
    </row>
    <row r="713">
      <c r="A713" t="str">
        <v>茂</v>
      </c>
      <c r="B713">
        <v>8</v>
      </c>
      <c r="C713" t="b">
        <v>1</v>
      </c>
      <c r="D713" t="str">
        <v>モ ボウ</v>
      </c>
      <c r="E713" t="str">
        <v>しげ（る） すぐ（れる）</v>
      </c>
      <c r="F713" t="str">
        <v>あり いかし しく しげ しげみ しげる たか とお とも とよ もち もと ゆた</v>
      </c>
      <c r="G713" t="str">
        <v>しげる。草木がさかんに生い育つ。 さかん。豊か。多い。 すぐれる。立派である。美しい。 つとめる。はげむ。努力する。</v>
      </c>
      <c r="H713" t="str">
        <v>#品格 #繁栄 #自然 #花・彩</v>
      </c>
      <c r="I713">
        <v>95</v>
      </c>
      <c r="J713">
        <v>50</v>
      </c>
      <c r="K713">
        <v>55</v>
      </c>
      <c r="L713">
        <v>0</v>
      </c>
      <c r="M713">
        <f>VLOOKUP(A713,[1]kanji_data!$A:$N,14,FALSE)</f>
        <v>0</v>
      </c>
    </row>
    <row r="714">
      <c r="A714" t="str">
        <v>炎</v>
      </c>
      <c r="B714">
        <v>8</v>
      </c>
      <c r="C714" t="b">
        <v>1</v>
      </c>
      <c r="D714" t="str">
        <v>エン</v>
      </c>
      <c r="E714" t="str">
        <v>ほのお ほむら も（える）</v>
      </c>
      <c r="F714">
        <v>0</v>
      </c>
      <c r="G714" t="str">
        <v>ほのお。ほむら。 燃える。燃え上がる。 燃えるように熱い。焼けるように熱い。 熱や痛み・はれを引き起こす病気。</v>
      </c>
      <c r="H714" t="str">
        <v>#繁栄</v>
      </c>
      <c r="I714">
        <v>10</v>
      </c>
      <c r="J714">
        <v>50</v>
      </c>
      <c r="K714">
        <v>50</v>
      </c>
      <c r="L714">
        <v>1</v>
      </c>
    </row>
    <row r="715">
      <c r="A715" t="str">
        <v>餓</v>
      </c>
      <c r="B715">
        <v>15</v>
      </c>
      <c r="C715" t="b">
        <v>1</v>
      </c>
      <c r="D715" t="str">
        <v>ガ</v>
      </c>
      <c r="E715" t="str">
        <v>う（え） う（える）</v>
      </c>
      <c r="F715">
        <v>0</v>
      </c>
      <c r="G715" t="str">
        <v>うえる。うえ。食物が不足して死にそうになる。からだがやせ細る。</v>
      </c>
      <c r="I715">
        <v>10</v>
      </c>
      <c r="J715">
        <v>50</v>
      </c>
      <c r="K715">
        <v>50</v>
      </c>
      <c r="L715">
        <v>1</v>
      </c>
    </row>
    <row r="716">
      <c r="A716" t="str">
        <v>緩</v>
      </c>
      <c r="B716">
        <v>15</v>
      </c>
      <c r="C716" t="b">
        <v>1</v>
      </c>
      <c r="D716" t="str">
        <v>カン</v>
      </c>
      <c r="E716" t="str">
        <v>ゆる（い） ゆる（む） ゆる（める） ゆる（やか） ぬる（い）</v>
      </c>
      <c r="F716">
        <v>0</v>
      </c>
      <c r="G716" t="str">
        <v>ゆるい。ゆるやか。 ゆるめる。ゆるくする。 きびしくない。きつくない。</v>
      </c>
      <c r="I716">
        <v>10</v>
      </c>
      <c r="J716">
        <v>50</v>
      </c>
      <c r="K716">
        <v>50</v>
      </c>
      <c r="L716">
        <v>1</v>
      </c>
    </row>
    <row r="717">
      <c r="A717" t="str">
        <v>佳</v>
      </c>
      <c r="B717">
        <v>8</v>
      </c>
      <c r="C717" t="b">
        <v>1</v>
      </c>
      <c r="D717" t="str">
        <v>カ</v>
      </c>
      <c r="E717" t="str">
        <v>よ（い）</v>
      </c>
      <c r="F717" t="str">
        <v>よし</v>
      </c>
      <c r="G717" t="str">
        <v>よい。美しい。立派。すぐれている。すばらしい。</v>
      </c>
      <c r="H717" t="str">
        <v>#品格 #花・彩</v>
      </c>
      <c r="I717">
        <v>98</v>
      </c>
      <c r="J717">
        <v>45</v>
      </c>
      <c r="K717">
        <v>85</v>
      </c>
      <c r="L717">
        <v>0</v>
      </c>
      <c r="M717">
        <f>VLOOKUP(A717,[1]kanji_data!$A:$N,14,FALSE)</f>
        <v>0</v>
      </c>
    </row>
    <row r="718">
      <c r="A718" t="str">
        <v>緊</v>
      </c>
      <c r="B718">
        <v>15</v>
      </c>
      <c r="C718" t="b">
        <v>1</v>
      </c>
      <c r="D718" t="str">
        <v>キン</v>
      </c>
      <c r="E718" t="str">
        <v>かた（い） きび（しい） し（める） ちぢ（む）</v>
      </c>
      <c r="F718">
        <v>0</v>
      </c>
      <c r="G718" t="str">
        <v>かたい。しめる。かたくしめる。ひきしめる。 きびしい。さしせまる。急ぐ。 縮む。縮める。</v>
      </c>
      <c r="I718">
        <v>10</v>
      </c>
      <c r="J718">
        <v>50</v>
      </c>
      <c r="K718">
        <v>50</v>
      </c>
      <c r="L718">
        <v>1</v>
      </c>
    </row>
    <row r="719">
      <c r="A719" t="str">
        <v>岳</v>
      </c>
      <c r="B719">
        <v>8</v>
      </c>
      <c r="C719" t="b">
        <v>1</v>
      </c>
      <c r="D719" t="str">
        <v>ガク</v>
      </c>
      <c r="E719" t="str">
        <v>たけ</v>
      </c>
      <c r="F719" t="str">
        <v>おか たか たかし たけし</v>
      </c>
      <c r="G719" t="str">
        <v>たけ。大きな山。高い山。 妻の父母を敬っていうときに用いる語。</v>
      </c>
      <c r="H719" t="str">
        <v>#自然</v>
      </c>
      <c r="I719">
        <v>85</v>
      </c>
      <c r="J719">
        <v>75</v>
      </c>
      <c r="K719">
        <v>40</v>
      </c>
      <c r="L719">
        <v>0</v>
      </c>
      <c r="M719">
        <f>VLOOKUP(A719,[1]kanji_data!$A:$N,14,FALSE)</f>
        <v>0</v>
      </c>
    </row>
    <row r="720">
      <c r="A720" t="str">
        <v>拘</v>
      </c>
      <c r="B720">
        <v>8</v>
      </c>
      <c r="C720" t="b">
        <v>1</v>
      </c>
      <c r="D720" t="str">
        <v>コウ</v>
      </c>
      <c r="E720" t="str">
        <v>かか（わる） こだわ（る） とど（める） とら（える）</v>
      </c>
      <c r="F720">
        <v>0</v>
      </c>
      <c r="G720" t="str">
        <v>とらえる。とどめる。つかまえてとどめておく。 かかわる。こだわる。関係する。また、気持ちがとらわれる。</v>
      </c>
      <c r="H720" t="str">
        <v>#心・志</v>
      </c>
      <c r="I720">
        <v>10</v>
      </c>
      <c r="J720">
        <v>50</v>
      </c>
      <c r="K720">
        <v>50</v>
      </c>
      <c r="L720">
        <v>1</v>
      </c>
    </row>
    <row r="721">
      <c r="A721" t="str">
        <v>祉</v>
      </c>
      <c r="B721">
        <v>8</v>
      </c>
      <c r="C721" t="b">
        <v>1</v>
      </c>
      <c r="D721" t="str">
        <v>シ</v>
      </c>
      <c r="E721" t="str">
        <v>さいわ（い）</v>
      </c>
      <c r="F721">
        <v>0</v>
      </c>
      <c r="G721" t="str">
        <v>さいわい。めぐみ。しあわせ。神から与えられた幸福。</v>
      </c>
      <c r="H721" t="str">
        <v>#幸福</v>
      </c>
      <c r="I721">
        <v>70</v>
      </c>
      <c r="J721">
        <v>35</v>
      </c>
      <c r="K721">
        <v>75</v>
      </c>
      <c r="L721">
        <v>0</v>
      </c>
      <c r="M721">
        <f>VLOOKUP(A721,[1]kanji_data!$A:$N,14,FALSE)</f>
        <v>0</v>
      </c>
    </row>
    <row r="722">
      <c r="A722" t="str">
        <v>侍</v>
      </c>
      <c r="B722">
        <v>8</v>
      </c>
      <c r="C722" t="b">
        <v>1</v>
      </c>
      <c r="D722" t="str">
        <v>ジ シ</v>
      </c>
      <c r="E722" t="str">
        <v>さむらい さぶら（う） はべ（る）</v>
      </c>
      <c r="F722" t="str">
        <v>ひと</v>
      </c>
      <c r="G722" t="str">
        <v>はべる。さぶらう。身分が高い人に仕える。また、そのような人。 さむらい。武士。 はべり。はべる。「あり・ある」「居り・居る」の丁寧語。</v>
      </c>
      <c r="H722" t="str">
        <v>#勇気</v>
      </c>
      <c r="I722">
        <v>50</v>
      </c>
      <c r="J722">
        <v>60</v>
      </c>
      <c r="K722">
        <v>50</v>
      </c>
      <c r="L722">
        <v>0</v>
      </c>
      <c r="M722">
        <f>VLOOKUP(A722,[1]kanji_data!$A:$N,14,FALSE)</f>
        <v>0</v>
      </c>
    </row>
    <row r="723">
      <c r="A723" t="str">
        <v>撮</v>
      </c>
      <c r="B723">
        <v>15</v>
      </c>
      <c r="C723" t="b">
        <v>1</v>
      </c>
      <c r="D723" t="str">
        <v>サツ</v>
      </c>
      <c r="E723" t="str">
        <v>と（る） つま（む）</v>
      </c>
      <c r="F723">
        <v>0</v>
      </c>
      <c r="G723" t="str">
        <v>つまむ。指の先でつまむ。また、指先でつまめるほどのわずかな量。 とる。つまみとる。抜きとる。 容量の単位。一升の千分の一。 とる。写真をとる。映画をとる。</v>
      </c>
      <c r="I723">
        <v>10</v>
      </c>
      <c r="J723">
        <v>50</v>
      </c>
      <c r="K723">
        <v>50</v>
      </c>
      <c r="L723">
        <v>1</v>
      </c>
    </row>
    <row r="724">
      <c r="A724" t="str">
        <v>昇</v>
      </c>
      <c r="B724">
        <v>8</v>
      </c>
      <c r="C724" t="b">
        <v>1</v>
      </c>
      <c r="D724" t="str">
        <v>ショウ</v>
      </c>
      <c r="E724" t="str">
        <v>のぼ（る）</v>
      </c>
      <c r="F724" t="str">
        <v>かみ すすむ のぼる のり まさ</v>
      </c>
      <c r="G724" t="str">
        <v>のぼる。上にあがる。高い所にのぼる。</v>
      </c>
      <c r="H724" t="str">
        <v>#繁栄</v>
      </c>
      <c r="I724">
        <v>100</v>
      </c>
      <c r="J724">
        <v>60</v>
      </c>
      <c r="K724">
        <v>55</v>
      </c>
      <c r="L724">
        <v>0</v>
      </c>
      <c r="M724">
        <f>VLOOKUP(A724,[1]kanji_data!$A:$N,14,FALSE)</f>
        <v>0</v>
      </c>
    </row>
    <row r="725">
      <c r="A725" t="str">
        <v>暫</v>
      </c>
      <c r="B725">
        <v>15</v>
      </c>
      <c r="C725" t="b">
        <v>1</v>
      </c>
      <c r="D725" t="str">
        <v>ザン</v>
      </c>
      <c r="E725" t="str">
        <v>しば（し） しばら（く）</v>
      </c>
      <c r="F725">
        <v>0</v>
      </c>
      <c r="G725" t="str">
        <v>しばらく。少しの間。わずかの間。 しばらく。一時的に。仮に。 しばらく。久しぶり。ある程度長い間。</v>
      </c>
      <c r="I725">
        <v>10</v>
      </c>
      <c r="J725">
        <v>50</v>
      </c>
      <c r="K725">
        <v>50</v>
      </c>
      <c r="L725">
        <v>1</v>
      </c>
    </row>
    <row r="726">
      <c r="A726" t="str">
        <v>阻</v>
      </c>
      <c r="B726">
        <v>8</v>
      </c>
      <c r="C726" t="b">
        <v>1</v>
      </c>
      <c r="D726" t="str">
        <v>ソ</v>
      </c>
      <c r="E726" t="str">
        <v>はば（む） けわ（しい） へだ（たる）</v>
      </c>
      <c r="F726">
        <v>0</v>
      </c>
      <c r="G726" t="str">
        <v>けわしい。山や道などが険しい。 はばむ。さまたげる。邪魔をする。 へだたる。へだてる。さえぎる。 なやむ。なやみ苦しむ。 よる。たよる。たのみにする。</v>
      </c>
      <c r="H726" t="str">
        <v>#天空</v>
      </c>
      <c r="I726">
        <v>10</v>
      </c>
      <c r="J726">
        <v>50</v>
      </c>
      <c r="K726">
        <v>50</v>
      </c>
      <c r="L726">
        <v>1</v>
      </c>
    </row>
    <row r="727">
      <c r="A727" t="str">
        <v>卓</v>
      </c>
      <c r="B727">
        <v>8</v>
      </c>
      <c r="C727" t="b">
        <v>1</v>
      </c>
      <c r="D727" t="str">
        <v>タク シツ</v>
      </c>
      <c r="E727" t="str">
        <v>すぐ（れる） つくえ</v>
      </c>
      <c r="F727" t="str">
        <v>すぐる たか たかし つな とお まこと まさる もち</v>
      </c>
      <c r="G727" t="str">
        <v>すぐれる。抜きんでる。 たかい。ひときわ高く抜きんでる。 つくえ。台。</v>
      </c>
      <c r="H727" t="str">
        <v>#繁栄</v>
      </c>
      <c r="I727">
        <v>98</v>
      </c>
      <c r="J727">
        <v>95</v>
      </c>
      <c r="K727">
        <v>40</v>
      </c>
      <c r="L727">
        <v>0</v>
      </c>
      <c r="M727">
        <f>VLOOKUP(A727,[1]kanji_data!$A:$N,14,FALSE)</f>
        <v>0</v>
      </c>
    </row>
    <row r="728">
      <c r="A728" t="str">
        <v>謁</v>
      </c>
      <c r="B728">
        <v>15</v>
      </c>
      <c r="C728" t="b">
        <v>1</v>
      </c>
      <c r="D728" t="str">
        <v>エツ</v>
      </c>
      <c r="E728" t="str">
        <v>まみ（える）</v>
      </c>
      <c r="F728" t="str">
        <v>つく ゆく</v>
      </c>
      <c r="G728" t="str">
        <v>まみえる。身分の高い人に会う。 申す。申し上げる。告げる。 こう。たのむ。求める。 とりつぎ。 なふだ。名刺。</v>
      </c>
      <c r="I728">
        <v>30</v>
      </c>
      <c r="J728">
        <v>50</v>
      </c>
      <c r="K728">
        <v>50</v>
      </c>
      <c r="L728">
        <v>1</v>
      </c>
    </row>
    <row r="729">
      <c r="A729" t="str">
        <v>泌</v>
      </c>
      <c r="B729">
        <v>8</v>
      </c>
      <c r="C729" t="b">
        <v>1</v>
      </c>
      <c r="D729" t="str">
        <v>ヒツ ヒ</v>
      </c>
      <c r="E729" t="str">
        <v>にじ（む）</v>
      </c>
      <c r="F729">
        <v>0</v>
      </c>
      <c r="G729" t="str">
        <v>にじむ。にじみでる。絞り出る。狭い隙間からわいて出る。 川の流れ。細くはやい流れ。</v>
      </c>
      <c r="H729" t="str">
        <v>#海・水</v>
      </c>
      <c r="I729">
        <v>10</v>
      </c>
      <c r="J729">
        <v>50</v>
      </c>
      <c r="K729">
        <v>50</v>
      </c>
      <c r="L729">
        <v>1</v>
      </c>
    </row>
    <row r="730">
      <c r="A730" t="str">
        <v>苗</v>
      </c>
      <c r="B730">
        <v>8</v>
      </c>
      <c r="C730" t="b">
        <v>1</v>
      </c>
      <c r="D730" t="str">
        <v>ビョウ ミョウ</v>
      </c>
      <c r="E730" t="str">
        <v>なえ なわ か（り）</v>
      </c>
      <c r="F730" t="str">
        <v>え たね なり みつ</v>
      </c>
      <c r="G730" t="str">
        <v>なえ。なわ。芽がでたばかりの植物。 狩り。農作物の被害を防ぐために行う狩り。 すえ。血筋。遠い子孫。 人民。民衆。たみ。</v>
      </c>
      <c r="H730" t="str">
        <v>#自然</v>
      </c>
      <c r="I730">
        <v>60</v>
      </c>
      <c r="J730">
        <v>50</v>
      </c>
      <c r="K730">
        <v>55</v>
      </c>
      <c r="L730">
        <v>0</v>
      </c>
      <c r="M730">
        <f>VLOOKUP(A730,[1]kanji_data!$A:$N,14,FALSE)</f>
        <v>0</v>
      </c>
    </row>
    <row r="731">
      <c r="A731" t="str">
        <v>奉</v>
      </c>
      <c r="B731">
        <v>8</v>
      </c>
      <c r="C731" t="b">
        <v>1</v>
      </c>
      <c r="D731" t="str">
        <v>ブ ホウ</v>
      </c>
      <c r="E731" t="str">
        <v>たてまつ（る） うけたまわ（る） まつ（る）</v>
      </c>
      <c r="F731">
        <v>0</v>
      </c>
      <c r="G731" t="str">
        <v>たてまつる。まつる。捧げる。献上する。 うけたまわる。たまわる。目上の人から物や命令などを受ける。 仕える。尽くす。 たてまつる。自分の動作を受ける相手に対して敬意を表す言い方。</v>
      </c>
      <c r="H731" t="str">
        <v>#品格 #慈愛</v>
      </c>
      <c r="I731">
        <v>10</v>
      </c>
      <c r="J731">
        <v>60</v>
      </c>
      <c r="K731">
        <v>50</v>
      </c>
      <c r="L731">
        <v>0</v>
      </c>
      <c r="M731">
        <f>VLOOKUP(A731,[1]kanji_data!$A:$N,14,FALSE)</f>
        <v>0</v>
      </c>
    </row>
    <row r="732">
      <c r="A732" t="str">
        <v>房</v>
      </c>
      <c r="B732">
        <v>8</v>
      </c>
      <c r="C732" t="b">
        <v>1</v>
      </c>
      <c r="D732" t="str">
        <v>ボウ ホウ</v>
      </c>
      <c r="E732" t="str">
        <v>ふさ いえ へや</v>
      </c>
      <c r="F732" t="str">
        <v>お のぶ</v>
      </c>
      <c r="G732" t="str">
        <v>へや。母屋の両わきにある小さな部屋。 いえ。住まい。住居。 内側が小部屋状にくぎられた形をしたもの。 二十八宿の一つ。そいぼし。 ふさ。糸を束ねて、その先をばらばらに散らしたもの。 ふさ。花や実などがたくさん群がってついたもの。</v>
      </c>
      <c r="H732" t="str">
        <v>#花・彩</v>
      </c>
      <c r="I732">
        <v>20</v>
      </c>
      <c r="J732">
        <v>55</v>
      </c>
      <c r="K732">
        <v>55</v>
      </c>
      <c r="L732">
        <v>0</v>
      </c>
      <c r="M732">
        <f>VLOOKUP(A732,[1]kanji_data!$A:$N,14,FALSE)</f>
        <v>0</v>
      </c>
    </row>
    <row r="733">
      <c r="A733" t="str">
        <v>縄</v>
      </c>
      <c r="B733">
        <v>15</v>
      </c>
      <c r="C733" t="b">
        <v>1</v>
      </c>
      <c r="D733" t="str">
        <v>ジョウ</v>
      </c>
      <c r="E733" t="str">
        <v>なわ ただ（す）</v>
      </c>
      <c r="F733">
        <v>0</v>
      </c>
      <c r="G733" t="str">
        <v>なわ。わらなどをより合わせ作った太いひも状のもの。 すみなわ。直線を引くための道具。 のり。規則。規準。法則。 正す。改め正す。いましめる。 継ぐ。受け継ぐ。</v>
      </c>
      <c r="I733">
        <v>10</v>
      </c>
      <c r="J733">
        <v>50</v>
      </c>
      <c r="K733">
        <v>50</v>
      </c>
      <c r="L733">
        <v>1</v>
      </c>
    </row>
    <row r="734">
      <c r="A734" t="str">
        <v>賠</v>
      </c>
      <c r="B734">
        <v>15</v>
      </c>
      <c r="C734" t="b">
        <v>1</v>
      </c>
      <c r="D734" t="str">
        <v>バイ</v>
      </c>
      <c r="E734" t="str">
        <v>つぐな（う）</v>
      </c>
      <c r="F734">
        <v>0</v>
      </c>
      <c r="G734" t="str">
        <v>つぐなう。弁償する。例：賠償</v>
      </c>
      <c r="I734">
        <v>10</v>
      </c>
      <c r="J734">
        <v>50</v>
      </c>
      <c r="K734">
        <v>50</v>
      </c>
      <c r="L734">
        <v>1</v>
      </c>
    </row>
    <row r="735">
      <c r="A735" t="str">
        <v>幣</v>
      </c>
      <c r="B735">
        <v>15</v>
      </c>
      <c r="C735" t="b">
        <v>1</v>
      </c>
      <c r="D735" t="str">
        <v>ヘイ</v>
      </c>
      <c r="E735" t="str">
        <v>ぜに ぬさ みてぐら</v>
      </c>
      <c r="F735">
        <v>0</v>
      </c>
      <c r="G735" t="str">
        <v>ぬさ。みてぐら。神前に供える絹。 贈り物。貢ぎ物。 宝物。価値の高い物品。 ぜに。お金。通貨。</v>
      </c>
      <c r="I735">
        <v>10</v>
      </c>
      <c r="J735">
        <v>50</v>
      </c>
      <c r="K735">
        <v>50</v>
      </c>
      <c r="L735">
        <v>1</v>
      </c>
    </row>
    <row r="736">
      <c r="A736" t="str">
        <v>弊</v>
      </c>
      <c r="B736">
        <v>15</v>
      </c>
      <c r="C736" t="b">
        <v>1</v>
      </c>
      <c r="D736" t="str">
        <v>ヘイ</v>
      </c>
      <c r="E736" t="str">
        <v>つい（える） つか（れる） やぶ（れる）</v>
      </c>
      <c r="F736">
        <v>0</v>
      </c>
      <c r="G736" t="str">
        <v>やぶれる。ついえる。こわれる。だめになる。 わるい。よくない。害になる。 つかれる。たるむ。くたびれる。 自分に関すること、自分側のことを謙遜していうことば。</v>
      </c>
      <c r="I736">
        <v>10</v>
      </c>
      <c r="J736">
        <v>50</v>
      </c>
      <c r="K736">
        <v>50</v>
      </c>
      <c r="L736">
        <v>1</v>
      </c>
    </row>
    <row r="737">
      <c r="A737" t="str">
        <v>薬</v>
      </c>
      <c r="B737">
        <v>16</v>
      </c>
      <c r="C737" t="b">
        <v>1</v>
      </c>
      <c r="D737" t="str">
        <v>ヤク</v>
      </c>
      <c r="E737" t="str">
        <v>くすり</v>
      </c>
      <c r="F737">
        <v>0</v>
      </c>
      <c r="G737" t="str">
        <v>くすり。病気や怪我を治す効き目のあるものの総称。 いやす。くすりを用いて病気や怪我を治す。 化学作用を起こさせる物質。</v>
      </c>
      <c r="I737">
        <v>10</v>
      </c>
      <c r="J737">
        <v>50</v>
      </c>
      <c r="K737">
        <v>50</v>
      </c>
      <c r="L737">
        <v>0</v>
      </c>
      <c r="M737">
        <f>VLOOKUP(A737,[1]kanji_data!$A:$N,14,FALSE)</f>
        <v>0</v>
      </c>
    </row>
    <row r="738">
      <c r="A738" t="str">
        <v>輸</v>
      </c>
      <c r="B738">
        <v>16</v>
      </c>
      <c r="C738" t="b">
        <v>1</v>
      </c>
      <c r="D738" t="str">
        <v>ユ シュ</v>
      </c>
      <c r="E738" t="str">
        <v>いた（す） うつ（す） おく（る） ま（ける）</v>
      </c>
      <c r="F738">
        <v>0</v>
      </c>
      <c r="G738" t="str">
        <v>いたす。おくる。移す。 ささげる。尽くす。 負ける。負け。 やぶれる。こわれる。破損する。 荷。貨物。贈り物。 灸をすえるつぼ。</v>
      </c>
      <c r="I738">
        <v>10</v>
      </c>
      <c r="J738">
        <v>50</v>
      </c>
      <c r="K738">
        <v>50</v>
      </c>
      <c r="L738">
        <v>1</v>
      </c>
    </row>
    <row r="739">
      <c r="A739" t="str">
        <v>緯</v>
      </c>
      <c r="B739">
        <v>16</v>
      </c>
      <c r="C739" t="b">
        <v>1</v>
      </c>
      <c r="D739" t="str">
        <v>イ</v>
      </c>
      <c r="E739" t="str">
        <v>ぬき よこいと</v>
      </c>
      <c r="F739" t="str">
        <v>つかね</v>
      </c>
      <c r="G739" t="str">
        <v>よこいと。織物の横糸。ぬきいと。 よこ。東西の方向。左右の方向。 すじ。みち。すじみち。道理。 未来記。預言書。</v>
      </c>
      <c r="I739">
        <v>30</v>
      </c>
      <c r="J739">
        <v>50</v>
      </c>
      <c r="K739">
        <v>50</v>
      </c>
      <c r="L739">
        <v>1</v>
      </c>
    </row>
    <row r="740">
      <c r="A740" t="str">
        <v>茎</v>
      </c>
      <c r="B740">
        <v>8</v>
      </c>
      <c r="C740" t="b">
        <v>1</v>
      </c>
      <c r="D740" t="str">
        <v>ケイ</v>
      </c>
      <c r="E740" t="str">
        <v>くき なかご</v>
      </c>
      <c r="F740">
        <v>0</v>
      </c>
      <c r="G740" t="str">
        <v>くき。植物のくき。 はしら。さお。みき。もと。 なかご。刀の柄（つか）の内部にある刀身が差し込まれる部分。 細いものを数えるための助数詞。</v>
      </c>
      <c r="H740" t="str">
        <v>#自然</v>
      </c>
      <c r="I740">
        <v>10</v>
      </c>
      <c r="J740">
        <v>50</v>
      </c>
      <c r="K740">
        <v>55</v>
      </c>
      <c r="L740">
        <v>0</v>
      </c>
      <c r="M740">
        <f>VLOOKUP(A740,[1]kanji_data!$A:$N,14,FALSE)</f>
        <v>0</v>
      </c>
    </row>
    <row r="741">
      <c r="A741" t="str">
        <v>弦</v>
      </c>
      <c r="B741">
        <v>8</v>
      </c>
      <c r="C741" t="b">
        <v>1</v>
      </c>
      <c r="D741" t="str">
        <v>ゲン</v>
      </c>
      <c r="E741" t="str">
        <v>つる</v>
      </c>
      <c r="F741" t="str">
        <v>いと お ふさ ゆづる</v>
      </c>
      <c r="G741" t="str">
        <v>つる。弓のつる。弓に張る糸。 楽器に張る糸。また、糸を張った楽器。 糸を張った弓のような半円形の月。 直角三角形の斜辺。</v>
      </c>
      <c r="H741" t="str">
        <v>#天空</v>
      </c>
      <c r="I741">
        <v>85</v>
      </c>
      <c r="J741">
        <v>60</v>
      </c>
      <c r="K741">
        <v>60</v>
      </c>
      <c r="L741">
        <v>0</v>
      </c>
      <c r="M741">
        <f>VLOOKUP(A741,[1]kanji_data!$A:$N,14,FALSE)</f>
        <v>0</v>
      </c>
    </row>
    <row r="742">
      <c r="A742" t="str">
        <v>壊</v>
      </c>
      <c r="B742">
        <v>16</v>
      </c>
      <c r="C742" t="b">
        <v>1</v>
      </c>
      <c r="D742" t="str">
        <v>カイ エ</v>
      </c>
      <c r="E742" t="str">
        <v>こわ（す） こわ（れる） やぶ（る） やぶ（れる）</v>
      </c>
      <c r="F742">
        <v>0</v>
      </c>
      <c r="G742" t="str">
        <v>やぶる。こわす。 やぶれる。こわれる。こわれくずれる。</v>
      </c>
      <c r="I742">
        <v>10</v>
      </c>
      <c r="J742">
        <v>50</v>
      </c>
      <c r="K742">
        <v>50</v>
      </c>
      <c r="L742">
        <v>1</v>
      </c>
    </row>
    <row r="743">
      <c r="A743" t="str">
        <v>薄</v>
      </c>
      <c r="B743">
        <v>16</v>
      </c>
      <c r="C743" t="b">
        <v>1</v>
      </c>
      <c r="D743" t="str">
        <v>ハク</v>
      </c>
      <c r="E743" t="str">
        <v>うす（い） うす（まる） うす（める） うす（らぐ） うす（れる） すすき せま（る）</v>
      </c>
      <c r="F743">
        <v>0</v>
      </c>
      <c r="G743" t="str">
        <v>うすい。厚みがない。軽い。あわい。うすい。 内容が少ない。濃度が低い。とぼしい。わずか。 うすくする。軽んじる。軽視する。いやしむ。 うすまる。うすれる。うすらぐ。少なくなる。 迫る。近づく。至る。 すすき。イネ科の多年草。秋の七草の一つ。</v>
      </c>
      <c r="I743">
        <v>10</v>
      </c>
      <c r="J743">
        <v>50</v>
      </c>
      <c r="K743">
        <v>50</v>
      </c>
      <c r="L743">
        <v>1</v>
      </c>
    </row>
    <row r="744">
      <c r="A744" t="str">
        <v>避</v>
      </c>
      <c r="B744">
        <v>16</v>
      </c>
      <c r="C744" t="b">
        <v>1</v>
      </c>
      <c r="D744" t="str">
        <v>ヒ</v>
      </c>
      <c r="E744" t="str">
        <v>さ（ける） よ（ける）</v>
      </c>
      <c r="F744">
        <v>0</v>
      </c>
      <c r="G744" t="str">
        <v>さける。よける。のがれる。</v>
      </c>
      <c r="I744">
        <v>10</v>
      </c>
      <c r="J744">
        <v>50</v>
      </c>
      <c r="K744">
        <v>50</v>
      </c>
      <c r="L744">
        <v>1</v>
      </c>
    </row>
    <row r="745">
      <c r="A745" t="str">
        <v>縫</v>
      </c>
      <c r="B745">
        <v>16</v>
      </c>
      <c r="C745" t="b">
        <v>1</v>
      </c>
      <c r="D745" t="str">
        <v>ホウ</v>
      </c>
      <c r="E745" t="str">
        <v>ぬ（う）</v>
      </c>
      <c r="F745" t="str">
        <v>ぬい ほ</v>
      </c>
      <c r="G745" t="str">
        <v>ぬう。ぬい合わせる。 つくろう。とりつくろう。 ぬいめ。合わせめ。ぬい合わせた跡。</v>
      </c>
      <c r="I745">
        <v>30</v>
      </c>
      <c r="J745">
        <v>50</v>
      </c>
      <c r="K745">
        <v>50</v>
      </c>
      <c r="L745">
        <v>1</v>
      </c>
    </row>
    <row r="746">
      <c r="A746" t="str">
        <v>尚</v>
      </c>
      <c r="B746">
        <v>8</v>
      </c>
      <c r="C746" t="b">
        <v>1</v>
      </c>
      <c r="D746" t="str">
        <v>ショウ</v>
      </c>
      <c r="E746" t="str">
        <v>くわ（える） たっと（ぶ） とうと（ぶ） なお</v>
      </c>
      <c r="F746" t="str">
        <v>たか たかし ひさ ひさし まさ よし より</v>
      </c>
      <c r="G746" t="str">
        <v>たっとぶ。とうとぶ。敬い重んじる。 くわえる。付け加える。 たかい。たかくする。 こいねがう。希望する。 「なお」と読み、「その上」「さらにその上」の意を表す。 「なお」と読み、「やはり」「依然として」の意を表す。 「こいねがわくは」と読み、「～を願う」「どうか～であってほしい」の意を表す。</v>
      </c>
      <c r="H746" t="str">
        <v>#繁栄</v>
      </c>
      <c r="I746">
        <v>98</v>
      </c>
      <c r="J746">
        <v>75</v>
      </c>
      <c r="K746">
        <v>45</v>
      </c>
      <c r="L746">
        <v>0</v>
      </c>
      <c r="M746">
        <f>VLOOKUP(A746,[1]kanji_data!$A:$N,14,FALSE)</f>
        <v>0</v>
      </c>
    </row>
    <row r="747">
      <c r="A747" t="str">
        <v>枢</v>
      </c>
      <c r="B747">
        <v>8</v>
      </c>
      <c r="C747" t="b">
        <v>1</v>
      </c>
      <c r="D747" t="str">
        <v>スウ</v>
      </c>
      <c r="E747" t="str">
        <v>かなめ とぼそ</v>
      </c>
      <c r="F747">
        <v>0</v>
      </c>
      <c r="G747" t="str">
        <v>とぼそ。くるる。開き戸を開閉するための回転軸。 かなめ。中心。重要な部分。 北斗七星の第一星。</v>
      </c>
      <c r="H747" t="str">
        <v>#天空</v>
      </c>
      <c r="I747">
        <v>10</v>
      </c>
      <c r="J747">
        <v>80</v>
      </c>
      <c r="K747">
        <v>45</v>
      </c>
      <c r="L747">
        <v>0</v>
      </c>
      <c r="M747">
        <f>VLOOKUP(A747,[1]kanji_data!$A:$N,14,FALSE)</f>
        <v>0</v>
      </c>
    </row>
    <row r="748">
      <c r="A748" t="str">
        <v>斉</v>
      </c>
      <c r="B748">
        <v>8</v>
      </c>
      <c r="C748" t="b">
        <v>1</v>
      </c>
      <c r="D748" t="str">
        <v>セイ サイ シ</v>
      </c>
      <c r="E748" t="str">
        <v>ととの（える） ひと（しい） ものいみ</v>
      </c>
      <c r="F748" t="str">
        <v>あき あきら きよ きよし ただ ただし とき とし なお なり のぼる ひとし ひろ ひろし まさ むね よし</v>
      </c>
      <c r="G748" t="str">
        <v>ととのえる。ひとしくする。 ととのう。ひとしい。きちんとそろう。 ひとしい。みな。 中国の国名。王朝名。 まぜあわせる。調合する。整える。 ものいみ。神仏を祭るとき、飲食や行動を慎んで、心身を清める。＝斎 もすそ。裳のすそ。衣服のすそ。</v>
      </c>
      <c r="H748" t="str">
        <v>#品格 #調和</v>
      </c>
      <c r="I748">
        <v>90</v>
      </c>
      <c r="J748">
        <v>90</v>
      </c>
      <c r="K748">
        <v>45</v>
      </c>
      <c r="L748">
        <v>0</v>
      </c>
      <c r="M748">
        <f>VLOOKUP(A748,[1]kanji_data!$A:$N,14,FALSE)</f>
        <v>0</v>
      </c>
    </row>
    <row r="749">
      <c r="A749" t="str">
        <v>析</v>
      </c>
      <c r="B749">
        <v>8</v>
      </c>
      <c r="C749" t="b">
        <v>1</v>
      </c>
      <c r="D749" t="str">
        <v>セキ</v>
      </c>
      <c r="E749" t="str">
        <v>さ（く） わ（かれる） わ（ける）</v>
      </c>
      <c r="F749">
        <v>0</v>
      </c>
      <c r="G749" t="str">
        <v>さく。木を割る。 わける。分解する。複雑に入り組んだ事柄を整理して明らかにする。 わかれる。はなれる。別々になる。</v>
      </c>
      <c r="H749" t="str">
        <v>#知性</v>
      </c>
      <c r="I749">
        <v>10</v>
      </c>
      <c r="J749">
        <v>55</v>
      </c>
      <c r="K749">
        <v>55</v>
      </c>
      <c r="L749">
        <v>0</v>
      </c>
      <c r="M749">
        <f>VLOOKUP(A749,[1]kanji_data!$A:$N,14,FALSE)</f>
        <v>0</v>
      </c>
    </row>
    <row r="750">
      <c r="A750" t="str">
        <v>犠</v>
      </c>
      <c r="B750">
        <v>17</v>
      </c>
      <c r="C750" t="b">
        <v>1</v>
      </c>
      <c r="D750" t="str">
        <v>ギ キ</v>
      </c>
      <c r="E750" t="str">
        <v>いけにえ</v>
      </c>
      <c r="F750">
        <v>0</v>
      </c>
      <c r="G750" t="str">
        <v>いけにえ。神を祭るときにそなえる家畜。 酒だる。</v>
      </c>
      <c r="I750">
        <v>10</v>
      </c>
      <c r="J750">
        <v>50</v>
      </c>
      <c r="K750">
        <v>50</v>
      </c>
      <c r="L750">
        <v>1</v>
      </c>
    </row>
    <row r="751">
      <c r="A751" t="str">
        <v>擬</v>
      </c>
      <c r="B751">
        <v>17</v>
      </c>
      <c r="C751" t="b">
        <v>1</v>
      </c>
      <c r="D751" t="str">
        <v>ギ</v>
      </c>
      <c r="E751" t="str">
        <v>なぞら（える） はか（る） まがい もどき</v>
      </c>
      <c r="F751">
        <v>0</v>
      </c>
      <c r="G751" t="str">
        <v>なぞらえる。にせる。まねる。 はかる。おしはかる。考えをめぐらす。 まがい。もどき。本物に似せて作ること。また、似せて作ったもの。</v>
      </c>
      <c r="I751">
        <v>10</v>
      </c>
      <c r="J751">
        <v>50</v>
      </c>
      <c r="K751">
        <v>50</v>
      </c>
      <c r="L751">
        <v>1</v>
      </c>
    </row>
    <row r="752">
      <c r="A752" t="str">
        <v>邸</v>
      </c>
      <c r="B752">
        <v>8</v>
      </c>
      <c r="C752" t="b">
        <v>1</v>
      </c>
      <c r="D752" t="str">
        <v>テイ</v>
      </c>
      <c r="E752" t="str">
        <v>やしき</v>
      </c>
      <c r="F752">
        <v>0</v>
      </c>
      <c r="G752" t="str">
        <v>やしき。大きくて立派な家。 都に上ったときの諸侯の宿舎。 やどや。宿。 いたる。 ふれる。</v>
      </c>
      <c r="H752" t="str">
        <v>#品格</v>
      </c>
      <c r="I752">
        <v>10</v>
      </c>
      <c r="J752">
        <v>55</v>
      </c>
      <c r="K752">
        <v>55</v>
      </c>
      <c r="L752">
        <v>1</v>
      </c>
    </row>
    <row r="753">
      <c r="A753" t="str">
        <v>曖</v>
      </c>
      <c r="B753">
        <v>17</v>
      </c>
      <c r="C753" t="b">
        <v>1</v>
      </c>
      <c r="D753" t="str">
        <v>アイ</v>
      </c>
      <c r="E753" t="str">
        <v>おお（う） かげ（る） くら（い）</v>
      </c>
      <c r="F753" t="str">
        <v>あ</v>
      </c>
      <c r="G753" t="str">
        <v>くらい。ぼんやりくらい。はっきりしない。 おおう。かくす。さえぎる。</v>
      </c>
      <c r="I753">
        <v>30</v>
      </c>
      <c r="J753">
        <v>50</v>
      </c>
      <c r="K753">
        <v>50</v>
      </c>
      <c r="L753">
        <v>1</v>
      </c>
    </row>
    <row r="754">
      <c r="A754" t="str">
        <v>類</v>
      </c>
      <c r="B754">
        <v>18</v>
      </c>
      <c r="C754" t="b">
        <v>1</v>
      </c>
      <c r="D754" t="str">
        <v>ルイ</v>
      </c>
      <c r="E754" t="str">
        <v>たぐ（い） たぐい たぐ（える） に（る）</v>
      </c>
      <c r="F754" t="str">
        <v>とも なお なし より</v>
      </c>
      <c r="G754" t="str">
        <v>たぐい。なかま。似ているもの。同じ性質をもつもの。また、それを区別する。 たぐえる。くらべる。並べて比較する。 にる。よくにている。同じように見える。 おおむね。おおよそ。だいたい。</v>
      </c>
      <c r="H754" t="str">
        <v>#調和</v>
      </c>
      <c r="I754">
        <v>30</v>
      </c>
      <c r="J754">
        <v>50</v>
      </c>
      <c r="K754">
        <v>50</v>
      </c>
      <c r="L754">
        <v>0</v>
      </c>
    </row>
    <row r="755">
      <c r="A755" t="str">
        <v>離</v>
      </c>
      <c r="B755">
        <v>19</v>
      </c>
      <c r="C755" t="b">
        <v>1</v>
      </c>
      <c r="D755" t="str">
        <v>リ レイ</v>
      </c>
      <c r="E755" t="str">
        <v>はな（す） はな（れる） かか（る） か（る） つ（く） なら（ぶ）</v>
      </c>
      <c r="F755" t="str">
        <v>あき あきら つら</v>
      </c>
      <c r="G755" t="str">
        <v>はなす。はなれる。わかれる。 かかる。ひっかかる。 ならぶ。ならびつらなる。 易（エキ）の八卦の一つ。方位では南。 易（エキ）の六十四卦の一つ。 つく。くっつく。＝麗</v>
      </c>
      <c r="I755">
        <v>30</v>
      </c>
      <c r="J755">
        <v>50</v>
      </c>
      <c r="K755">
        <v>50</v>
      </c>
      <c r="L755">
        <v>1</v>
      </c>
    </row>
    <row r="756">
      <c r="A756" t="str">
        <v>願</v>
      </c>
      <c r="B756">
        <v>19</v>
      </c>
      <c r="C756" t="b">
        <v>1</v>
      </c>
      <c r="D756" t="str">
        <v>ガン</v>
      </c>
      <c r="E756" t="str">
        <v>ねが（う） ねが（わくは）</v>
      </c>
      <c r="F756">
        <v>0</v>
      </c>
      <c r="G756" t="str">
        <v>ねがう。のぞむ。求める。 ねがわくは。どうか。なにとぞ。 がん。神仏にねがい祈る。</v>
      </c>
      <c r="H756" t="str">
        <v>#心・志</v>
      </c>
      <c r="I756">
        <v>10</v>
      </c>
      <c r="J756">
        <v>50</v>
      </c>
      <c r="K756">
        <v>50</v>
      </c>
      <c r="L756">
        <v>1</v>
      </c>
    </row>
    <row r="757">
      <c r="A757" t="str">
        <v>髄</v>
      </c>
      <c r="B757">
        <v>19</v>
      </c>
      <c r="C757" t="b">
        <v>1</v>
      </c>
      <c r="D757" t="str">
        <v>ズイ</v>
      </c>
      <c r="E757">
        <v>0</v>
      </c>
      <c r="F757">
        <v>0</v>
      </c>
      <c r="G757" t="str">
        <v>骨の中心にある柔らかい組織。 物事の中心。本質。要点。</v>
      </c>
      <c r="I757">
        <v>10</v>
      </c>
      <c r="J757">
        <v>50</v>
      </c>
      <c r="K757">
        <v>50</v>
      </c>
      <c r="L757">
        <v>1</v>
      </c>
    </row>
    <row r="758">
      <c r="A758" t="str">
        <v>驚</v>
      </c>
      <c r="B758">
        <v>22</v>
      </c>
      <c r="C758" t="b">
        <v>1</v>
      </c>
      <c r="D758" t="str">
        <v>キョウ</v>
      </c>
      <c r="E758" t="str">
        <v>おどろ（かす） おどろ（く）</v>
      </c>
      <c r="F758">
        <v>0</v>
      </c>
      <c r="G758" t="str">
        <v>おどろく。びっくりする。おびえる。 おどろかす。びっくりさせる。 はやい。激しくはやい。</v>
      </c>
      <c r="I758">
        <v>10</v>
      </c>
      <c r="J758">
        <v>50</v>
      </c>
      <c r="K758">
        <v>50</v>
      </c>
      <c r="L758">
        <v>1</v>
      </c>
    </row>
    <row r="759">
      <c r="A759" t="str">
        <v>戒</v>
      </c>
      <c r="B759">
        <v>7</v>
      </c>
      <c r="C759" t="b">
        <v>1</v>
      </c>
      <c r="D759" t="str">
        <v>カイ</v>
      </c>
      <c r="E759" t="str">
        <v>いまし（める）</v>
      </c>
      <c r="F759">
        <v>0</v>
      </c>
      <c r="G759" t="str">
        <v>いましめる。備える。用心する。 いましめる。さとす。注意を与える。 いましめる。禁ずる。禁止する。 いましめ。注意すべき事柄。避けるべき事柄。</v>
      </c>
      <c r="I759">
        <v>10</v>
      </c>
      <c r="J759">
        <v>60</v>
      </c>
      <c r="K759">
        <v>55</v>
      </c>
      <c r="L759">
        <v>0</v>
      </c>
      <c r="M759">
        <f>VLOOKUP(A759,[1]kanji_data!$A:$N,14,FALSE)</f>
        <v>0</v>
      </c>
    </row>
    <row r="760">
      <c r="A760" t="str">
        <v>免</v>
      </c>
      <c r="B760">
        <v>8</v>
      </c>
      <c r="C760" t="b">
        <v>1</v>
      </c>
      <c r="D760" t="str">
        <v>メン ブン ベン</v>
      </c>
      <c r="E760" t="str">
        <v>まぬか（れる） う（む） や（める） ゆる（す）</v>
      </c>
      <c r="F760">
        <v>0</v>
      </c>
      <c r="G760" t="str">
        <v>まぬかれる。まぬがれる。のがれる。 うむ。子どもを産む。＝娩 やめる。辞めさせる。職をとく。例：免職 ゆるす。自由にさせる。罪を許す。例：免除</v>
      </c>
      <c r="I760">
        <v>10</v>
      </c>
      <c r="J760">
        <v>65</v>
      </c>
      <c r="K760">
        <v>55</v>
      </c>
      <c r="L760">
        <v>1</v>
      </c>
    </row>
    <row r="761">
      <c r="A761" t="str">
        <v>娠</v>
      </c>
      <c r="B761">
        <v>10</v>
      </c>
      <c r="C761" t="b">
        <v>1</v>
      </c>
      <c r="D761" t="str">
        <v>シン</v>
      </c>
      <c r="E761" t="str">
        <v>はら（む） みごも（る）</v>
      </c>
      <c r="F761">
        <v>0</v>
      </c>
      <c r="G761" t="str">
        <v>はらむ。みごもる。子をやどす。</v>
      </c>
      <c r="I761">
        <v>10</v>
      </c>
      <c r="J761">
        <v>70</v>
      </c>
      <c r="K761">
        <v>50</v>
      </c>
      <c r="L761">
        <v>1</v>
      </c>
    </row>
    <row r="762">
      <c r="A762" t="str">
        <v>習</v>
      </c>
      <c r="B762">
        <v>11</v>
      </c>
      <c r="C762" t="b">
        <v>1</v>
      </c>
      <c r="D762" t="str">
        <v>シュウ ジュウ</v>
      </c>
      <c r="E762" t="str">
        <v>なら（う）</v>
      </c>
      <c r="F762" t="str">
        <v>しげ まなぶ</v>
      </c>
      <c r="G762" t="str">
        <v>ならう。まなぶ。身につける。 なれる。繰り返し練習する。慣れ親しむ。熟達する。 ならい。ならわし。例：習慣 重ねる。積み重ねる。</v>
      </c>
      <c r="I762">
        <v>25</v>
      </c>
      <c r="J762">
        <v>60</v>
      </c>
      <c r="K762">
        <v>60</v>
      </c>
      <c r="L762">
        <v>0</v>
      </c>
      <c r="M762">
        <f>VLOOKUP(A762,[1]kanji_data!$A:$N,14,FALSE)</f>
        <v>0</v>
      </c>
    </row>
    <row r="763">
      <c r="A763" t="str">
        <v>岬</v>
      </c>
      <c r="B763">
        <v>8</v>
      </c>
      <c r="C763" t="b">
        <v>1</v>
      </c>
      <c r="D763" t="str">
        <v>コウ</v>
      </c>
      <c r="E763" t="str">
        <v>みさき</v>
      </c>
      <c r="F763">
        <v>0</v>
      </c>
      <c r="G763" t="str">
        <v>はざま。山あい。山と山との間の低い所。 みさき。海や湖などへ突き出した陸地の先端。</v>
      </c>
      <c r="H763" t="str">
        <v>#海・水</v>
      </c>
      <c r="I763">
        <v>10</v>
      </c>
      <c r="J763">
        <v>55</v>
      </c>
      <c r="K763">
        <v>55</v>
      </c>
      <c r="L763">
        <v>0</v>
      </c>
      <c r="M763">
        <f>VLOOKUP(A763,[1]kanji_data!$A:$N,14,FALSE)</f>
        <v>0</v>
      </c>
    </row>
    <row r="764">
      <c r="A764" t="str">
        <v>窓</v>
      </c>
      <c r="B764">
        <v>11</v>
      </c>
      <c r="C764" t="b">
        <v>1</v>
      </c>
      <c r="D764" t="str">
        <v>ソウ</v>
      </c>
      <c r="E764" t="str">
        <v>まど</v>
      </c>
      <c r="F764">
        <v>0</v>
      </c>
      <c r="G764" t="str">
        <v>まど。あかりとり。風を通すための穴。 まどのある部屋。</v>
      </c>
      <c r="I764">
        <v>10</v>
      </c>
      <c r="J764">
        <v>55</v>
      </c>
      <c r="K764">
        <v>60</v>
      </c>
      <c r="L764">
        <v>1</v>
      </c>
    </row>
    <row r="765">
      <c r="A765" t="str">
        <v>翌</v>
      </c>
      <c r="B765">
        <v>11</v>
      </c>
      <c r="C765" t="b">
        <v>1</v>
      </c>
      <c r="D765" t="str">
        <v>ヨク</v>
      </c>
      <c r="E765">
        <v>0</v>
      </c>
      <c r="F765" t="str">
        <v>あきら</v>
      </c>
      <c r="G765" t="str">
        <v>あけ。あくる。あくるひ。明日。 よく。次の。</v>
      </c>
      <c r="H765" t="str">
        <v>#希望 #飛躍</v>
      </c>
      <c r="I765">
        <v>45</v>
      </c>
      <c r="J765">
        <v>45</v>
      </c>
      <c r="K765">
        <v>40</v>
      </c>
      <c r="L765">
        <v>0</v>
      </c>
      <c r="M765">
        <f>VLOOKUP(A765,[1]kanji_data!$A:$N,14,FALSE)</f>
        <v>0</v>
      </c>
    </row>
    <row r="766">
      <c r="A766" t="str">
        <v>宛</v>
      </c>
      <c r="B766">
        <v>8</v>
      </c>
      <c r="C766" t="b">
        <v>1</v>
      </c>
      <c r="D766" t="str">
        <v>エン</v>
      </c>
      <c r="E766" t="str">
        <v>あ（てる） あたか（も） あて さなが（ら） ずつ</v>
      </c>
      <c r="F766">
        <v>0</v>
      </c>
      <c r="G766" t="str">
        <v>まげる。かがむ。くねらせる。 あたかも。さながら。まるで。 あてる。あて。あてはめる。また、手紙などの送り先を示す。 ずつ。割り当てを示す。</v>
      </c>
      <c r="H766" t="str">
        <v>#天空</v>
      </c>
      <c r="I766">
        <v>10</v>
      </c>
      <c r="J766">
        <v>50</v>
      </c>
      <c r="K766">
        <v>50</v>
      </c>
      <c r="L766">
        <v>1</v>
      </c>
    </row>
    <row r="767">
      <c r="A767" t="str">
        <v>旺</v>
      </c>
      <c r="B767">
        <v>8</v>
      </c>
      <c r="C767" t="b">
        <v>1</v>
      </c>
      <c r="D767" t="str">
        <v>オウ</v>
      </c>
      <c r="E767" t="str">
        <v>さか（ん）</v>
      </c>
      <c r="F767" t="str">
        <v>あき あきら お</v>
      </c>
      <c r="G767" t="str">
        <v>さかん。光を放って輝くさま。勢いのあるさま。</v>
      </c>
      <c r="H767" t="str">
        <v>#天空 #繁栄</v>
      </c>
      <c r="I767">
        <v>90</v>
      </c>
      <c r="J767">
        <v>95</v>
      </c>
      <c r="K767">
        <v>35</v>
      </c>
      <c r="L767">
        <v>0</v>
      </c>
      <c r="M767">
        <f>VLOOKUP(A767,[1]kanji_data!$A:$N,14,FALSE)</f>
        <v>0</v>
      </c>
    </row>
    <row r="768">
      <c r="A768" t="str">
        <v>岡</v>
      </c>
      <c r="B768">
        <v>8</v>
      </c>
      <c r="C768" t="b">
        <v>1</v>
      </c>
      <c r="D768" t="str">
        <v>コウ</v>
      </c>
      <c r="E768" t="str">
        <v>おか</v>
      </c>
      <c r="F768">
        <v>0</v>
      </c>
      <c r="G768" t="str">
        <v>おか。小山。小高い土地。</v>
      </c>
      <c r="H768" t="str">
        <v>#自然</v>
      </c>
      <c r="I768">
        <v>10</v>
      </c>
      <c r="J768">
        <v>50</v>
      </c>
      <c r="K768">
        <v>50</v>
      </c>
      <c r="L768">
        <v>0</v>
      </c>
      <c r="M768">
        <f>VLOOKUP(A768,[1]kanji_data!$A:$N,14,FALSE)</f>
        <v>0</v>
      </c>
    </row>
    <row r="769">
      <c r="A769" t="str">
        <v>詞</v>
      </c>
      <c r="B769">
        <v>12</v>
      </c>
      <c r="C769" t="b">
        <v>1</v>
      </c>
      <c r="D769" t="str">
        <v>シ</v>
      </c>
      <c r="E769" t="str">
        <v>ことば</v>
      </c>
      <c r="F769" t="str">
        <v>こと つぐ なり のり ふみ</v>
      </c>
      <c r="G769" t="str">
        <v>ことば。単語。文章。 ことば。文章。単語をつなげたもの。 韻文のひとつ。宋代に栄えたもの。</v>
      </c>
      <c r="I769">
        <v>25</v>
      </c>
      <c r="J769">
        <v>55</v>
      </c>
      <c r="K769">
        <v>55</v>
      </c>
      <c r="L769">
        <v>0</v>
      </c>
      <c r="M769">
        <f>VLOOKUP(A769,[1]kanji_data!$A:$N,14,FALSE)</f>
        <v>0</v>
      </c>
    </row>
    <row r="770">
      <c r="A770" t="str">
        <v>旗</v>
      </c>
      <c r="B770">
        <v>14</v>
      </c>
      <c r="C770" t="b">
        <v>1</v>
      </c>
      <c r="D770" t="str">
        <v>キ</v>
      </c>
      <c r="E770" t="str">
        <v>はた</v>
      </c>
      <c r="F770" t="str">
        <v>たか</v>
      </c>
      <c r="G770" t="str">
        <v>はた。はたの総称。</v>
      </c>
      <c r="I770">
        <v>25</v>
      </c>
      <c r="J770">
        <v>100</v>
      </c>
      <c r="K770">
        <v>20</v>
      </c>
      <c r="L770">
        <v>0</v>
      </c>
      <c r="M770">
        <f>VLOOKUP(A770,[1]kanji_data!$A:$N,14,FALSE)</f>
        <v>0</v>
      </c>
    </row>
    <row r="771">
      <c r="A771" t="str">
        <v>巫</v>
      </c>
      <c r="B771">
        <v>7</v>
      </c>
      <c r="C771" t="b">
        <v>0</v>
      </c>
      <c r="D771" t="str">
        <v>フ ブ</v>
      </c>
      <c r="E771" t="str">
        <v>かんなぎ みこ</v>
      </c>
      <c r="F771">
        <v>0</v>
      </c>
      <c r="G771" t="str">
        <v>みこ。かんなぎ。神に仕える人。特に、女性を「巫（ふ）」、男性を「覡（げき）」という。</v>
      </c>
      <c r="I771">
        <v>10</v>
      </c>
      <c r="J771">
        <v>45</v>
      </c>
      <c r="K771">
        <v>70</v>
      </c>
      <c r="L771">
        <v>1</v>
      </c>
    </row>
    <row r="772">
      <c r="A772" t="str">
        <v>虎</v>
      </c>
      <c r="B772">
        <v>8</v>
      </c>
      <c r="C772" t="b">
        <v>1</v>
      </c>
      <c r="D772" t="str">
        <v>コ</v>
      </c>
      <c r="E772" t="str">
        <v>とら</v>
      </c>
      <c r="F772" t="str">
        <v>たけ</v>
      </c>
      <c r="G772" t="str">
        <v>とら。ネコ科の猛獣。 勇敢・勇猛なもののたとえ。たけだけしい。 とら。とらになる。よっぱらい。</v>
      </c>
      <c r="H772" t="str">
        <v>#勇気</v>
      </c>
      <c r="I772">
        <v>85</v>
      </c>
      <c r="J772">
        <v>100</v>
      </c>
      <c r="K772">
        <v>20</v>
      </c>
      <c r="L772">
        <v>0</v>
      </c>
      <c r="M772">
        <f>VLOOKUP(A772,[1]kanji_data!$A:$N,14,FALSE)</f>
        <v>0</v>
      </c>
    </row>
    <row r="773">
      <c r="A773" t="str">
        <v>采</v>
      </c>
      <c r="B773">
        <v>8</v>
      </c>
      <c r="C773" t="b">
        <v>1</v>
      </c>
      <c r="D773" t="str">
        <v>サイ</v>
      </c>
      <c r="E773" t="str">
        <v>いろどり うね すがた と（る）</v>
      </c>
      <c r="F773" t="str">
        <v>あや こと</v>
      </c>
      <c r="G773" t="str">
        <v>いろどり。美しいいろどり。 手でえらびつみとる。とる。 すがた。かたち。ようす。色合い。 えらびあたえた領地。知行所・知行地。 さいころ。さい。</v>
      </c>
      <c r="H773" t="str">
        <v>#花・彩</v>
      </c>
      <c r="I773">
        <v>95</v>
      </c>
      <c r="J773">
        <v>55</v>
      </c>
      <c r="K773">
        <v>80</v>
      </c>
      <c r="L773">
        <v>0</v>
      </c>
      <c r="M773">
        <f>VLOOKUP(A773,[1]kanji_data!$A:$N,14,FALSE)</f>
        <v>0</v>
      </c>
    </row>
    <row r="774">
      <c r="A774" t="str">
        <v>刹</v>
      </c>
      <c r="B774">
        <v>8</v>
      </c>
      <c r="C774" t="b">
        <v>1</v>
      </c>
      <c r="D774" t="str">
        <v>セツ サツ</v>
      </c>
      <c r="E774" t="str">
        <v>てら</v>
      </c>
      <c r="F774" t="str">
        <v>くに</v>
      </c>
      <c r="G774" t="str">
        <v>てら。寺院。僧が法を悟ったときに旗を建てる柱から転じたもの。 梵語の音訳に用いる字。</v>
      </c>
      <c r="H774" t="str">
        <v>#天空 #知性</v>
      </c>
      <c r="I774">
        <v>5</v>
      </c>
      <c r="J774">
        <v>50</v>
      </c>
      <c r="K774">
        <v>55</v>
      </c>
      <c r="L774">
        <v>1</v>
      </c>
    </row>
    <row r="775">
      <c r="A775" t="str">
        <v>呪</v>
      </c>
      <c r="B775">
        <v>8</v>
      </c>
      <c r="C775" t="b">
        <v>1</v>
      </c>
      <c r="D775" t="str">
        <v>ジュ シュ シュウ</v>
      </c>
      <c r="E775" t="str">
        <v>のろ（う） まじな（い） まじな（う）</v>
      </c>
      <c r="F775">
        <v>0</v>
      </c>
      <c r="G775" t="str">
        <v>のろう。のろい。人に災いが起こるように祈る。また、その言葉。 まじない。まじなう。病気や邪気を払うために祈る。また、その言葉。 いのる。神仏に祈る。</v>
      </c>
      <c r="H775" t="str">
        <v>#自然</v>
      </c>
      <c r="I775">
        <v>0</v>
      </c>
      <c r="J775">
        <v>50</v>
      </c>
      <c r="K775">
        <v>50</v>
      </c>
      <c r="L775">
        <v>1</v>
      </c>
    </row>
    <row r="776">
      <c r="A776" t="str">
        <v>拙</v>
      </c>
      <c r="B776">
        <v>8</v>
      </c>
      <c r="C776" t="b">
        <v>1</v>
      </c>
      <c r="D776" t="str">
        <v>セツ</v>
      </c>
      <c r="E776" t="str">
        <v>つたな（い） まず（い）</v>
      </c>
      <c r="F776">
        <v>0</v>
      </c>
      <c r="G776" t="str">
        <v>つたない。まずい。へた。おとる。 自分のことをへりくだっていうことば。</v>
      </c>
      <c r="I776">
        <v>10</v>
      </c>
      <c r="J776">
        <v>55</v>
      </c>
      <c r="K776">
        <v>60</v>
      </c>
      <c r="L776">
        <v>1</v>
      </c>
    </row>
    <row r="777">
      <c r="A777" t="str">
        <v>曾</v>
      </c>
      <c r="B777">
        <v>12</v>
      </c>
      <c r="C777" t="b">
        <v>0</v>
      </c>
      <c r="D777" t="str">
        <v>ゾ ソウ ソ ゾウ</v>
      </c>
      <c r="E777" t="str">
        <v>かさ（なる） かつ（て） すなわ（ち） ま（す）</v>
      </c>
      <c r="F777">
        <v>0</v>
      </c>
      <c r="G777" t="str">
        <v>かつて。これまで。以前に。 かさなる。幾重にもかさなる。 ます。ふえる。ふやす。＝増 「すなわち」と読み、「ところが」「なんと」「いったいぜんたい」などの意を表す。</v>
      </c>
      <c r="I777">
        <v>10</v>
      </c>
      <c r="J777">
        <v>35</v>
      </c>
      <c r="K777">
        <v>70</v>
      </c>
      <c r="L777">
        <v>1</v>
      </c>
    </row>
    <row r="778">
      <c r="A778" t="str">
        <v>奈</v>
      </c>
      <c r="B778">
        <v>8</v>
      </c>
      <c r="C778" t="b">
        <v>1</v>
      </c>
      <c r="D778" t="str">
        <v>ナ ダイ ナイ</v>
      </c>
      <c r="E778" t="str">
        <v>いかん いかん（ぞ） なん（ぞ）</v>
      </c>
      <c r="F778" t="str">
        <v>なに</v>
      </c>
      <c r="G778" t="str">
        <v>果樹の名。からなし。りんごの木、またはりんごに似た実のなる木。 いかん。いかんせん。いかんぞ。なんぞ。疑問・反語の意を表す。</v>
      </c>
      <c r="H778" t="str">
        <v>#自然 #花・彩</v>
      </c>
      <c r="I778">
        <v>100</v>
      </c>
      <c r="J778">
        <v>25</v>
      </c>
      <c r="K778">
        <v>85</v>
      </c>
      <c r="L778">
        <v>0</v>
      </c>
      <c r="M778">
        <f>VLOOKUP(A778,[1]kanji_data!$A:$N,14,FALSE)</f>
        <v>0</v>
      </c>
    </row>
    <row r="779">
      <c r="A779" t="str">
        <v>阜</v>
      </c>
      <c r="B779">
        <v>8</v>
      </c>
      <c r="C779" t="b">
        <v>1</v>
      </c>
      <c r="D779" t="str">
        <v>フ</v>
      </c>
      <c r="E779" t="str">
        <v>おか ゆた（か）</v>
      </c>
      <c r="F779" t="str">
        <v>あつ あつし たか たかし とおる ゆたか</v>
      </c>
      <c r="G779" t="str">
        <v>おか。小高い土地。 おおきい。ふっくらしている。 ゆたか。さかん。多い。</v>
      </c>
      <c r="H779" t="str">
        <v>#繁栄</v>
      </c>
      <c r="I779">
        <v>5</v>
      </c>
      <c r="J779">
        <v>75</v>
      </c>
      <c r="K779">
        <v>40</v>
      </c>
      <c r="L779">
        <v>1</v>
      </c>
    </row>
    <row r="780">
      <c r="A780" t="str">
        <v>殿</v>
      </c>
      <c r="B780">
        <v>13</v>
      </c>
      <c r="C780" t="b">
        <v>1</v>
      </c>
      <c r="D780" t="str">
        <v>テン デン</v>
      </c>
      <c r="E780" t="str">
        <v>との どの しんがり</v>
      </c>
      <c r="F780">
        <v>0</v>
      </c>
      <c r="G780" t="str">
        <v>との。大きな建物。また、天子や貴族などの住まい。 しんがり。軍隊の退却時、最後尾で敵の追撃を防ぐこと。また、その部隊。 との。主君や貴人の敬称。 どの。他人の姓名の下につけて敬意をあらわすことば。</v>
      </c>
      <c r="I780">
        <v>10</v>
      </c>
      <c r="J780">
        <v>45</v>
      </c>
      <c r="K780">
        <v>65</v>
      </c>
      <c r="L780">
        <v>1</v>
      </c>
    </row>
    <row r="781">
      <c r="A781" t="str">
        <v>弥</v>
      </c>
      <c r="B781">
        <v>8</v>
      </c>
      <c r="C781" t="b">
        <v>1</v>
      </c>
      <c r="D781" t="str">
        <v>ビ ミ</v>
      </c>
      <c r="E781" t="str">
        <v>や あまね（し） いや いよいよ つくろ（う） ひさ（しい） わた（る）</v>
      </c>
      <c r="F781" t="str">
        <v>ひさし ひろ みつ やす よし わたる</v>
      </c>
      <c r="G781" t="str">
        <v>ひさしい。とおい。 わたる。月日を経る。時間が経過する。 わたる。あまねし。広く行きわたる。 つくろう。おぎなう。ほころびを縫ってつくろう。 いよいよ。ますます。 ゆるめる。弓のつるを緩める。 いや。いよいよ。さらに。 や。「弥生」などの「や」を表す字。</v>
      </c>
      <c r="H781" t="str">
        <v>#健康 #天空</v>
      </c>
      <c r="I781">
        <v>100</v>
      </c>
      <c r="J781">
        <v>55</v>
      </c>
      <c r="K781">
        <v>55</v>
      </c>
      <c r="L781">
        <v>0</v>
      </c>
      <c r="M781">
        <f>VLOOKUP(A781,[1]kanji_data!$A:$N,14,FALSE)</f>
        <v>0</v>
      </c>
    </row>
    <row r="782">
      <c r="A782" t="str">
        <v>及</v>
      </c>
      <c r="B782">
        <v>3</v>
      </c>
      <c r="C782" t="b">
        <v>1</v>
      </c>
      <c r="D782" t="str">
        <v>キュウ</v>
      </c>
      <c r="E782" t="str">
        <v>およ（び） およ（ぶ） およ（ぼす）</v>
      </c>
      <c r="F782">
        <v>0</v>
      </c>
      <c r="G782" t="str">
        <v>および。ならびに。ふたつ以上のものを並列させる。 およぶ。いたる。追いつく。達する。 およぼす。行きわたる。行きわたらせる。</v>
      </c>
      <c r="I782">
        <v>10</v>
      </c>
      <c r="J782">
        <v>85</v>
      </c>
      <c r="K782">
        <v>35</v>
      </c>
      <c r="L782">
        <v>0</v>
      </c>
      <c r="M782">
        <f>VLOOKUP(A782,[1]kanji_data!$A:$N,14,FALSE)</f>
        <v>0</v>
      </c>
    </row>
    <row r="783">
      <c r="A783" t="str">
        <v>阿</v>
      </c>
      <c r="B783">
        <v>8</v>
      </c>
      <c r="C783" t="b">
        <v>0</v>
      </c>
      <c r="D783" t="str">
        <v>ア</v>
      </c>
      <c r="E783" t="str">
        <v>お おもね（る） くま ひさし よ（る）</v>
      </c>
      <c r="F783" t="str">
        <v>ひさ</v>
      </c>
      <c r="G783" t="str">
        <v>おか。大きい丘。 くま。曲がって入りくんだところ。 おもねる。こびる。へつらう。 ひさし。のき。 よる。よりかかる。もたれる。 姓名や呼び名の上につけて親しみを表すことば。 お。女性の名の上につける愛称。</v>
      </c>
      <c r="H783" t="str">
        <v>#健康 #慈愛 #自然</v>
      </c>
      <c r="I783">
        <v>10</v>
      </c>
      <c r="J783">
        <v>35</v>
      </c>
      <c r="K783">
        <v>70</v>
      </c>
      <c r="L783">
        <v>0</v>
      </c>
    </row>
    <row r="784">
      <c r="A784" t="str">
        <v>苑</v>
      </c>
      <c r="B784">
        <v>8</v>
      </c>
      <c r="C784" t="b">
        <v>0</v>
      </c>
      <c r="D784" t="str">
        <v>エン オン ウツ</v>
      </c>
      <c r="E784" t="str">
        <v>その ふさ（がる）</v>
      </c>
      <c r="F784" t="str">
        <v>あや しげる</v>
      </c>
      <c r="G784" t="str">
        <v>まきば。囲いを設けて家畜を飼うところ。 その。にわ。草木を植える庭園。 物事の集まるところ。特に、学者や芸術家の集まるところ。 つもる。こもる。気がふさがる。</v>
      </c>
      <c r="H784" t="str">
        <v>#自然</v>
      </c>
      <c r="I784">
        <v>65</v>
      </c>
      <c r="J784">
        <v>55</v>
      </c>
      <c r="K784">
        <v>55</v>
      </c>
      <c r="L784">
        <v>0</v>
      </c>
      <c r="M784">
        <f>VLOOKUP(A784,[1]kanji_data!$A:$N,14,FALSE)</f>
        <v>0</v>
      </c>
    </row>
    <row r="785">
      <c r="A785" t="str">
        <v>火</v>
      </c>
      <c r="B785">
        <v>4</v>
      </c>
      <c r="C785" t="b">
        <v>1</v>
      </c>
      <c r="D785" t="str">
        <v>カ コ</v>
      </c>
      <c r="E785" t="str">
        <v>ひ ほ</v>
      </c>
      <c r="F785">
        <v>0</v>
      </c>
      <c r="G785" t="str">
        <v>ひ。ほ。ほのお。物が燃えるときに生じる光や熱。 あかり。ともしび。 焼く。焼ける。燃やす。燃える。たく。 いそぐ。せく。さしせまる。 五行の一つ。方位では南。色では赤。 か。火曜日。七曜のひとつ。</v>
      </c>
      <c r="I785">
        <v>10</v>
      </c>
      <c r="J785">
        <v>85</v>
      </c>
      <c r="K785">
        <v>30</v>
      </c>
      <c r="L785">
        <v>0</v>
      </c>
      <c r="M785">
        <f>VLOOKUP(A785,[1]kanji_data!$A:$N,14,FALSE)</f>
        <v>0</v>
      </c>
    </row>
    <row r="786">
      <c r="A786" t="str">
        <v>引</v>
      </c>
      <c r="B786">
        <v>4</v>
      </c>
      <c r="C786" t="b">
        <v>1</v>
      </c>
      <c r="D786" t="str">
        <v>イン</v>
      </c>
      <c r="E786" t="str">
        <v>ひ（く） ひ（ける）</v>
      </c>
      <c r="F786">
        <v>0</v>
      </c>
      <c r="G786" t="str">
        <v>ひく。ひっぱる。ひきよせる。ひきのばす。 ひく。弓をひく。 ひきつれる。先に立ってみちびく。 ひきだす。とりだす。 ひきうける。責任を負う。 しりぞく。さがる。ひっこむ。 ひける。心がひるむ。消極的になる。</v>
      </c>
      <c r="I786">
        <v>10</v>
      </c>
      <c r="J786">
        <v>100</v>
      </c>
      <c r="K786">
        <v>25</v>
      </c>
      <c r="L786">
        <v>0</v>
      </c>
      <c r="M786">
        <f>VLOOKUP(A786,[1]kanji_data!$A:$N,14,FALSE)</f>
        <v>0</v>
      </c>
    </row>
    <row r="787">
      <c r="A787" t="str">
        <v>茄</v>
      </c>
      <c r="B787">
        <v>8</v>
      </c>
      <c r="C787" t="b">
        <v>0</v>
      </c>
      <c r="D787" t="str">
        <v>カ</v>
      </c>
      <c r="E787" t="str">
        <v>なす なすび はす</v>
      </c>
      <c r="F787">
        <v>0</v>
      </c>
      <c r="G787" t="str">
        <v>はす。はちす。はすのくき。 なす。なすび。野菜の名。</v>
      </c>
      <c r="H787" t="str">
        <v>#自然</v>
      </c>
      <c r="I787">
        <v>10</v>
      </c>
      <c r="J787">
        <v>50</v>
      </c>
      <c r="K787">
        <v>50</v>
      </c>
      <c r="L787">
        <v>0</v>
      </c>
      <c r="M787">
        <f>VLOOKUP(A787,[1]kanji_data!$A:$N,14,FALSE)</f>
        <v>0</v>
      </c>
    </row>
    <row r="788">
      <c r="A788" t="str">
        <v>侃</v>
      </c>
      <c r="B788">
        <v>8</v>
      </c>
      <c r="C788" t="b">
        <v>0</v>
      </c>
      <c r="D788" t="str">
        <v>カン</v>
      </c>
      <c r="E788" t="str">
        <v>つよ（い）</v>
      </c>
      <c r="F788" t="str">
        <v>あきら すなお ただ ただし つよし なお やす</v>
      </c>
      <c r="G788" t="str">
        <v>つよい。正しくひたむきでひるまないさま。 のびのびとやわらぎ楽しむさま。</v>
      </c>
      <c r="H788" t="str">
        <v>#健康 #勇気 #幸福 #心・志</v>
      </c>
      <c r="I788">
        <v>40</v>
      </c>
      <c r="J788">
        <v>95</v>
      </c>
      <c r="K788">
        <v>35</v>
      </c>
      <c r="L788">
        <v>0</v>
      </c>
      <c r="M788">
        <f>VLOOKUP(A788,[1]kanji_data!$A:$N,14,FALSE)</f>
        <v>0</v>
      </c>
    </row>
    <row r="789">
      <c r="A789" t="str">
        <v>牛</v>
      </c>
      <c r="B789">
        <v>4</v>
      </c>
      <c r="C789" t="b">
        <v>1</v>
      </c>
      <c r="D789" t="str">
        <v>ギュウ ゴ</v>
      </c>
      <c r="E789" t="str">
        <v>うし</v>
      </c>
      <c r="F789" t="str">
        <v>とし</v>
      </c>
      <c r="G789" t="str">
        <v>うし。動物・家畜の名。 二十八宿の一つ。ひこぼし。</v>
      </c>
      <c r="I789">
        <v>20</v>
      </c>
      <c r="J789">
        <v>35</v>
      </c>
      <c r="K789">
        <v>70</v>
      </c>
      <c r="L789">
        <v>0</v>
      </c>
      <c r="M789">
        <f>VLOOKUP(A789,[1]kanji_data!$A:$N,14,FALSE)</f>
        <v>0</v>
      </c>
    </row>
    <row r="790">
      <c r="A790" t="str">
        <v>牙</v>
      </c>
      <c r="B790">
        <v>4</v>
      </c>
      <c r="C790" t="b">
        <v>1</v>
      </c>
      <c r="D790" t="str">
        <v>ゲ ガ</v>
      </c>
      <c r="E790" t="str">
        <v>きば さいとり は</v>
      </c>
      <c r="F790">
        <v>0</v>
      </c>
      <c r="G790" t="str">
        <v>は。きば。動物のもつとがった歯。いときり歯。犬歯。 かむ。 天子や将軍の旗じるし。 さいとり。仲買人。</v>
      </c>
      <c r="I790">
        <v>10</v>
      </c>
      <c r="J790">
        <v>85</v>
      </c>
      <c r="K790">
        <v>30</v>
      </c>
      <c r="L790">
        <v>0</v>
      </c>
      <c r="M790">
        <f>VLOOKUP(A790,[1]kanji_data!$A:$N,14,FALSE)</f>
        <v>0</v>
      </c>
    </row>
    <row r="791">
      <c r="A791" t="str">
        <v>祁</v>
      </c>
      <c r="B791">
        <v>8</v>
      </c>
      <c r="C791" t="b">
        <v>0</v>
      </c>
      <c r="D791" t="str">
        <v>キ</v>
      </c>
      <c r="E791" t="str">
        <v>おお（いに） おお（きい） さか（んに）</v>
      </c>
      <c r="F791">
        <v>0</v>
      </c>
      <c r="G791" t="str">
        <v>おおいに。おおきい。さかんに。はなはだ。</v>
      </c>
      <c r="H791" t="str">
        <v>#繁栄</v>
      </c>
      <c r="I791">
        <v>10</v>
      </c>
      <c r="J791">
        <v>75</v>
      </c>
      <c r="K791">
        <v>45</v>
      </c>
      <c r="L791">
        <v>0</v>
      </c>
      <c r="M791">
        <f>VLOOKUP(A791,[1]kanji_data!$A:$N,14,FALSE)</f>
        <v>0</v>
      </c>
    </row>
    <row r="792">
      <c r="A792" t="str">
        <v>尭</v>
      </c>
      <c r="B792">
        <v>8</v>
      </c>
      <c r="C792" t="b">
        <v>0</v>
      </c>
      <c r="D792" t="str">
        <v>ギョウ</v>
      </c>
      <c r="E792" t="str">
        <v>たか（い）</v>
      </c>
      <c r="F792" t="str">
        <v>あき たか たかし のり</v>
      </c>
      <c r="G792" t="str">
        <v>たかい。けだかい。この上なく高い。 中国の伝説上の帝王の名前。</v>
      </c>
      <c r="H792" t="str">
        <v>#品格 #繁栄</v>
      </c>
      <c r="I792">
        <v>90</v>
      </c>
      <c r="J792">
        <v>70</v>
      </c>
      <c r="K792">
        <v>55</v>
      </c>
      <c r="L792">
        <v>0</v>
      </c>
      <c r="M792">
        <f>VLOOKUP(A792,[1]kanji_data!$A:$N,14,FALSE)</f>
        <v>0</v>
      </c>
    </row>
    <row r="793">
      <c r="A793" t="str">
        <v>欣</v>
      </c>
      <c r="B793">
        <v>8</v>
      </c>
      <c r="C793" t="b">
        <v>0</v>
      </c>
      <c r="D793" t="str">
        <v>キン コン ゴン</v>
      </c>
      <c r="E793" t="str">
        <v>よろこ（ぶ）</v>
      </c>
      <c r="F793" t="str">
        <v>やすし よし</v>
      </c>
      <c r="G793" t="str">
        <v>よろこぶ。喜ばしく思う。＝忻</v>
      </c>
      <c r="H793" t="str">
        <v>#幸福</v>
      </c>
      <c r="I793">
        <v>85</v>
      </c>
      <c r="J793">
        <v>85</v>
      </c>
      <c r="K793">
        <v>35</v>
      </c>
      <c r="L793">
        <v>0</v>
      </c>
      <c r="M793">
        <f>VLOOKUP(A793,[1]kanji_data!$A:$N,14,FALSE)</f>
        <v>0</v>
      </c>
    </row>
    <row r="794">
      <c r="A794" t="str">
        <v>爪</v>
      </c>
      <c r="B794">
        <v>4</v>
      </c>
      <c r="C794" t="b">
        <v>1</v>
      </c>
      <c r="D794" t="str">
        <v>ソウ</v>
      </c>
      <c r="E794" t="str">
        <v>つま つめ</v>
      </c>
      <c r="F794">
        <v>0</v>
      </c>
      <c r="G794" t="str">
        <v>つめ。手足のつめ。また、つめのような形をしたもの。 かく。つめでひっかく。 琴をひくときに指先にはめるつめ。琴爪。 助け守るもの、護衛するもののたとえ。 つめを切る。</v>
      </c>
      <c r="I794">
        <v>10</v>
      </c>
      <c r="J794">
        <v>50</v>
      </c>
      <c r="K794">
        <v>50</v>
      </c>
      <c r="L794">
        <v>1</v>
      </c>
    </row>
    <row r="795">
      <c r="A795" t="str">
        <v>昂</v>
      </c>
      <c r="B795">
        <v>8</v>
      </c>
      <c r="C795" t="b">
        <v>0</v>
      </c>
      <c r="D795" t="str">
        <v>コウ ゴウ</v>
      </c>
      <c r="E795" t="str">
        <v>あ（がる） たか（い） たかぶ（る）</v>
      </c>
      <c r="F795" t="str">
        <v>あき あきら たか たかし のぼる</v>
      </c>
      <c r="G795" t="str">
        <v>あがる。高く上がる。 あがる。たかぶる。感情がたかぶる。 たかい。高さがある。</v>
      </c>
      <c r="H795" t="str">
        <v>#天空 #繁栄</v>
      </c>
      <c r="I795">
        <v>95</v>
      </c>
      <c r="J795">
        <v>100</v>
      </c>
      <c r="K795">
        <v>25</v>
      </c>
      <c r="L795">
        <v>0</v>
      </c>
      <c r="M795">
        <f>VLOOKUP(A795,[1]kanji_data!$A:$N,14,FALSE)</f>
        <v>0</v>
      </c>
    </row>
    <row r="796">
      <c r="A796" t="str">
        <v>古</v>
      </c>
      <c r="B796">
        <v>5</v>
      </c>
      <c r="C796" t="b">
        <v>1</v>
      </c>
      <c r="D796" t="str">
        <v>コ</v>
      </c>
      <c r="E796" t="str">
        <v>ふる（い） ふる（す） いにしえ</v>
      </c>
      <c r="F796" t="str">
        <v>たか ひさ</v>
      </c>
      <c r="G796" t="str">
        <v>ふるい。昔の。ふるめかしい。 いにしえ。昔。過去。 ふるす。ふるくする。ふるくさせる。例：使い古す（つかいふるす）</v>
      </c>
      <c r="I796">
        <v>20</v>
      </c>
      <c r="J796">
        <v>55</v>
      </c>
      <c r="K796">
        <v>55</v>
      </c>
      <c r="L796">
        <v>0</v>
      </c>
      <c r="M796">
        <f>VLOOKUP(A796,[1]kanji_data!$A:$N,14,FALSE)</f>
        <v>0</v>
      </c>
    </row>
    <row r="797">
      <c r="A797" t="str">
        <v>市</v>
      </c>
      <c r="B797">
        <v>5</v>
      </c>
      <c r="C797" t="b">
        <v>1</v>
      </c>
      <c r="D797" t="str">
        <v>シ</v>
      </c>
      <c r="E797" t="str">
        <v>いち</v>
      </c>
      <c r="F797" t="str">
        <v>ち なが まち</v>
      </c>
      <c r="G797" t="str">
        <v>いち。多くの人が集まって物を売り買いする所。 売る。買う。売買をする。 まち。人が多く集まるにぎやかな場所。 し。行政区分のひとつ。</v>
      </c>
      <c r="I797">
        <v>20</v>
      </c>
      <c r="J797">
        <v>35</v>
      </c>
      <c r="K797">
        <v>70</v>
      </c>
      <c r="L797">
        <v>0</v>
      </c>
      <c r="M797">
        <f>VLOOKUP(A797,[1]kanji_data!$A:$N,14,FALSE)</f>
        <v>0</v>
      </c>
    </row>
    <row r="798">
      <c r="A798" t="str">
        <v>付</v>
      </c>
      <c r="B798">
        <v>5</v>
      </c>
      <c r="C798" t="b">
        <v>1</v>
      </c>
      <c r="D798" t="str">
        <v>フ</v>
      </c>
      <c r="E798" t="str">
        <v>つ（く） つ（ける） あた（える）</v>
      </c>
      <c r="F798" t="str">
        <v>とも</v>
      </c>
      <c r="G798" t="str">
        <v>つく。つける。つけ加える。 与える。わたす。</v>
      </c>
      <c r="I798">
        <v>20</v>
      </c>
      <c r="J798">
        <v>65</v>
      </c>
      <c r="K798">
        <v>55</v>
      </c>
      <c r="L798">
        <v>0</v>
      </c>
      <c r="M798">
        <f>VLOOKUP(A798,[1]kanji_data!$A:$N,14,FALSE)</f>
        <v>0</v>
      </c>
    </row>
    <row r="799">
      <c r="A799" t="str">
        <v>昏</v>
      </c>
      <c r="B799">
        <v>8</v>
      </c>
      <c r="C799" t="b">
        <v>0</v>
      </c>
      <c r="D799" t="str">
        <v>コン</v>
      </c>
      <c r="E799" t="str">
        <v>くら（い） くら（む） く（れ）</v>
      </c>
      <c r="F799">
        <v>0</v>
      </c>
      <c r="G799" t="str">
        <v>くれ。日暮れ。 くらい。日が沈んでくらい。 くらい。道理にくらい。おろか。 くらむ。目がくらむ。目まいがする。 結婚する。＝婚</v>
      </c>
      <c r="H799" t="str">
        <v>#天空</v>
      </c>
      <c r="I799">
        <v>10</v>
      </c>
      <c r="J799">
        <v>50</v>
      </c>
      <c r="K799">
        <v>50</v>
      </c>
      <c r="L799">
        <v>1</v>
      </c>
    </row>
    <row r="800">
      <c r="A800" t="str">
        <v>末</v>
      </c>
      <c r="B800">
        <v>5</v>
      </c>
      <c r="C800" t="b">
        <v>1</v>
      </c>
      <c r="D800" t="str">
        <v>マツ バツ</v>
      </c>
      <c r="E800" t="str">
        <v>すえ うら</v>
      </c>
      <c r="F800">
        <v>0</v>
      </c>
      <c r="G800" t="str">
        <v>すえ。さき。はしの部分。 すえ。主要でない部分。 すえ。おわり。最後の部分。 （農業に対しての）商・工業。 こな。くず。こまかいもの。 ない。＝無</v>
      </c>
      <c r="I800">
        <v>10</v>
      </c>
      <c r="J800">
        <v>65</v>
      </c>
      <c r="K800">
        <v>50</v>
      </c>
      <c r="L800">
        <v>0</v>
      </c>
      <c r="M800">
        <f>VLOOKUP(A800,[1]kanji_data!$A:$N,14,FALSE)</f>
        <v>0</v>
      </c>
    </row>
    <row r="801">
      <c r="A801" t="str">
        <v>竺</v>
      </c>
      <c r="B801">
        <v>8</v>
      </c>
      <c r="C801" t="b">
        <v>0</v>
      </c>
      <c r="D801" t="str">
        <v>ジク トク</v>
      </c>
      <c r="E801" t="str">
        <v>あつ（い）</v>
      </c>
      <c r="F801">
        <v>0</v>
      </c>
      <c r="G801" t="str">
        <v>たけ。＝竹 「天竺（てんじく）」はインドの古名。 あつい。手厚い。人情が厚い。＝篤</v>
      </c>
      <c r="H801" t="str">
        <v>#自然</v>
      </c>
      <c r="I801">
        <v>10</v>
      </c>
      <c r="J801">
        <v>50</v>
      </c>
      <c r="K801">
        <v>50</v>
      </c>
      <c r="L801">
        <v>1</v>
      </c>
    </row>
    <row r="802">
      <c r="A802" t="str">
        <v>示</v>
      </c>
      <c r="B802">
        <v>5</v>
      </c>
      <c r="C802" t="b">
        <v>1</v>
      </c>
      <c r="D802" t="str">
        <v>ジ シ キ ギ</v>
      </c>
      <c r="E802" t="str">
        <v>しめ（す）</v>
      </c>
      <c r="F802" t="str">
        <v>しめ とき み</v>
      </c>
      <c r="G802" t="str">
        <v>しめす。さししめす。教える。指図する。 地の神。くにつかみ。</v>
      </c>
      <c r="H802" t="str">
        <v>#知性 #伝統</v>
      </c>
      <c r="I802">
        <v>45</v>
      </c>
      <c r="J802">
        <v>45</v>
      </c>
      <c r="K802">
        <v>45</v>
      </c>
      <c r="L802">
        <v>0</v>
      </c>
      <c r="M802">
        <f>VLOOKUP(A802,[1]kanji_data!$A:$N,14,FALSE)</f>
        <v>0</v>
      </c>
    </row>
    <row r="803">
      <c r="A803" t="str">
        <v>昌</v>
      </c>
      <c r="B803">
        <v>8</v>
      </c>
      <c r="C803" t="b">
        <v>0</v>
      </c>
      <c r="D803" t="str">
        <v>ショウ</v>
      </c>
      <c r="E803" t="str">
        <v>さか（ん）</v>
      </c>
      <c r="F803" t="str">
        <v>あき あきら あや まさ まさる よ よし</v>
      </c>
      <c r="G803" t="str">
        <v>さかん。栄える。勢いがある。 あきらか。明るい。はっきりしている。 よい。立派。美しい。</v>
      </c>
      <c r="H803" t="str">
        <v>#品格 #天空 #繁栄 #花・彩</v>
      </c>
      <c r="I803">
        <v>100</v>
      </c>
      <c r="J803">
        <v>60</v>
      </c>
      <c r="K803">
        <v>55</v>
      </c>
      <c r="L803">
        <v>0</v>
      </c>
      <c r="M803">
        <f>VLOOKUP(A803,[1]kanji_data!$A:$N,14,FALSE)</f>
        <v>0</v>
      </c>
    </row>
    <row r="804">
      <c r="A804" t="str">
        <v>帖</v>
      </c>
      <c r="B804">
        <v>8</v>
      </c>
      <c r="C804" t="b">
        <v>0</v>
      </c>
      <c r="D804" t="str">
        <v>ジョウ チョウ</v>
      </c>
      <c r="E804" t="str">
        <v>かきもの た（れる）</v>
      </c>
      <c r="F804">
        <v>0</v>
      </c>
      <c r="G804" t="str">
        <v>かきもの。紙や絹布などに文字を書き記したもの。 かきつけ。短い文章を書いたもの。 石ずり。石碑などに刻まれた文字に紙などをあてて写しとったもの。 たれる。下にたれ下がる。 じょう。半紙や海苔（のり）などを数えることば。一帖は、半紙では二十枚、海苔では十枚。</v>
      </c>
      <c r="H804" t="str">
        <v>#海・水 #自然</v>
      </c>
      <c r="I804">
        <v>10</v>
      </c>
      <c r="J804">
        <v>55</v>
      </c>
      <c r="K804">
        <v>55</v>
      </c>
      <c r="L804">
        <v>1</v>
      </c>
    </row>
    <row r="805">
      <c r="A805" t="str">
        <v>処</v>
      </c>
      <c r="B805">
        <v>5</v>
      </c>
      <c r="C805" t="b">
        <v>1</v>
      </c>
      <c r="D805" t="str">
        <v>ショ ソ</v>
      </c>
      <c r="E805" t="str">
        <v>お（く） お（る） ところ</v>
      </c>
      <c r="F805">
        <v>0</v>
      </c>
      <c r="G805" t="str">
        <v>おく。ふさわしい場所におく。すえる。 おる。一定の場所にとどまる。一定の場所におちつく。 おる。仕えることなく家にいる、また結婚せずに家にいる。 仕えていない男性、また嫁いでいない女性。 とりさばく。しかるべく決める。 ところ。場所。しかるべき場所。 ところ。「～したところ」「～した結果」などの意をあらわす接続のことば。</v>
      </c>
      <c r="I805">
        <v>10</v>
      </c>
      <c r="J805">
        <v>55</v>
      </c>
      <c r="K805">
        <v>55</v>
      </c>
      <c r="L805">
        <v>0</v>
      </c>
      <c r="M805">
        <f>VLOOKUP(A805,[1]kanji_data!$A:$N,14,FALSE)</f>
        <v>0</v>
      </c>
    </row>
    <row r="806">
      <c r="A806" t="str">
        <v>苔</v>
      </c>
      <c r="B806">
        <v>8</v>
      </c>
      <c r="C806" t="b">
        <v>0</v>
      </c>
      <c r="D806" t="str">
        <v>タイ</v>
      </c>
      <c r="E806" t="str">
        <v>こけ</v>
      </c>
      <c r="F806">
        <v>0</v>
      </c>
      <c r="G806" t="str">
        <v>こけ。湿地や岩の表面に生える植物。</v>
      </c>
      <c r="H806" t="str">
        <v>#自然</v>
      </c>
      <c r="I806">
        <v>10</v>
      </c>
      <c r="J806">
        <v>55</v>
      </c>
      <c r="K806">
        <v>55</v>
      </c>
      <c r="L806">
        <v>1</v>
      </c>
    </row>
    <row r="807">
      <c r="A807" t="str">
        <v>坦</v>
      </c>
      <c r="B807">
        <v>8</v>
      </c>
      <c r="C807" t="b">
        <v>0</v>
      </c>
      <c r="D807" t="str">
        <v>タン</v>
      </c>
      <c r="E807" t="str">
        <v>たい（ら）</v>
      </c>
      <c r="F807" t="str">
        <v>たいら ひと ひろ</v>
      </c>
      <c r="G807" t="str">
        <v>たいら。たいらか。ひらたい。 おだやか。やすらか。 明らか。はっきりしている。</v>
      </c>
      <c r="H807" t="str">
        <v>#慈愛</v>
      </c>
      <c r="I807">
        <v>60</v>
      </c>
      <c r="J807">
        <v>55</v>
      </c>
      <c r="K807">
        <v>60</v>
      </c>
      <c r="L807">
        <v>0</v>
      </c>
      <c r="M807">
        <f>VLOOKUP(A807,[1]kanji_data!$A:$N,14,FALSE)</f>
        <v>0</v>
      </c>
    </row>
    <row r="808">
      <c r="A808" t="str">
        <v>丙</v>
      </c>
      <c r="B808">
        <v>5</v>
      </c>
      <c r="C808" t="b">
        <v>1</v>
      </c>
      <c r="D808" t="str">
        <v>ヘイ</v>
      </c>
      <c r="E808" t="str">
        <v>ひのえ</v>
      </c>
      <c r="F808" t="str">
        <v>あき あきら え</v>
      </c>
      <c r="G808" t="str">
        <v>十干の三番目。ひのえ。五行では火。方位では南。 順位・順序の三番目。 あきらか。</v>
      </c>
      <c r="I808">
        <v>20</v>
      </c>
      <c r="J808">
        <v>50</v>
      </c>
      <c r="K808">
        <v>50</v>
      </c>
      <c r="L808">
        <v>0</v>
      </c>
      <c r="M808">
        <f>VLOOKUP(A808,[1]kanji_data!$A:$N,14,FALSE)</f>
        <v>0</v>
      </c>
    </row>
    <row r="809">
      <c r="A809" t="str">
        <v>仔</v>
      </c>
      <c r="B809">
        <v>5</v>
      </c>
      <c r="C809" t="b">
        <v>0</v>
      </c>
      <c r="D809" t="str">
        <v>シ</v>
      </c>
      <c r="E809" t="str">
        <v>こ こま（か） た（える）</v>
      </c>
      <c r="F809">
        <v>0</v>
      </c>
      <c r="G809" t="str">
        <v>たえる。任にたえる。任務をやりとおす。例：仔肩 こ。こども。家畜のこども。 こまか。こまかい。くわしい。</v>
      </c>
      <c r="I809">
        <v>10</v>
      </c>
      <c r="J809">
        <v>50</v>
      </c>
      <c r="K809">
        <v>50</v>
      </c>
      <c r="L809">
        <v>1</v>
      </c>
    </row>
    <row r="810">
      <c r="A810" t="str">
        <v>杷</v>
      </c>
      <c r="B810">
        <v>8</v>
      </c>
      <c r="C810" t="b">
        <v>0</v>
      </c>
      <c r="D810" t="str">
        <v>ハ</v>
      </c>
      <c r="E810" t="str">
        <v>さらい</v>
      </c>
      <c r="F810">
        <v>0</v>
      </c>
      <c r="G810" t="str">
        <v>さらい。穀物をかき集めたり、土をならしたりするための農具。 「枇杷（びわ）」は、果樹の名。バラ科の常緑高木。 つか。え。手でにぎり持つ部分。</v>
      </c>
      <c r="H810" t="str">
        <v>#自然</v>
      </c>
      <c r="I810">
        <v>10</v>
      </c>
      <c r="J810">
        <v>50</v>
      </c>
      <c r="K810">
        <v>55</v>
      </c>
      <c r="L810">
        <v>0</v>
      </c>
      <c r="M810">
        <f>VLOOKUP(A810,[1]kanji_data!$A:$N,14,FALSE)</f>
        <v>0</v>
      </c>
    </row>
    <row r="811">
      <c r="A811" t="str">
        <v>枇</v>
      </c>
      <c r="B811">
        <v>8</v>
      </c>
      <c r="C811" t="b">
        <v>0</v>
      </c>
      <c r="D811" t="str">
        <v>ヒ ビ</v>
      </c>
      <c r="E811" t="str">
        <v>くし さじ</v>
      </c>
      <c r="F811">
        <v>0</v>
      </c>
      <c r="G811" t="str">
        <v>「枇杷（びわ）」は、果樹の名。バラ科の常緑高木。 くし。細い歯の並んだくし。 さじ。木製のさじ。</v>
      </c>
      <c r="H811" t="str">
        <v>#自然</v>
      </c>
      <c r="I811">
        <v>10</v>
      </c>
      <c r="J811">
        <v>50</v>
      </c>
      <c r="K811">
        <v>50</v>
      </c>
      <c r="L811">
        <v>0</v>
      </c>
      <c r="M811">
        <f>VLOOKUP(A811,[1]kanji_data!$A:$N,14,FALSE)</f>
        <v>0</v>
      </c>
    </row>
    <row r="812">
      <c r="A812" t="str">
        <v>印</v>
      </c>
      <c r="B812">
        <v>6</v>
      </c>
      <c r="C812" t="b">
        <v>1</v>
      </c>
      <c r="D812" t="str">
        <v>イン</v>
      </c>
      <c r="E812" t="str">
        <v>しるし しる（す）</v>
      </c>
      <c r="F812">
        <v>0</v>
      </c>
      <c r="G812" t="str">
        <v>しるし。目じるし。記号。 しるす。しるしをつける。跡を残す。 はん。はんこ。 文字などを彫った版を刷る。 しるし。紋所。 国名「印度（インド）」の略。</v>
      </c>
      <c r="I812">
        <v>10</v>
      </c>
      <c r="J812">
        <v>60</v>
      </c>
      <c r="K812">
        <v>55</v>
      </c>
      <c r="L812">
        <v>0</v>
      </c>
      <c r="M812">
        <f>VLOOKUP(A812,[1]kanji_data!$A:$N,14,FALSE)</f>
        <v>0</v>
      </c>
    </row>
    <row r="813">
      <c r="A813" t="str">
        <v>朋</v>
      </c>
      <c r="B813">
        <v>8</v>
      </c>
      <c r="C813" t="b">
        <v>0</v>
      </c>
      <c r="D813" t="str">
        <v>ホウ</v>
      </c>
      <c r="E813" t="str">
        <v>とも なかま</v>
      </c>
      <c r="F813">
        <v>0</v>
      </c>
      <c r="G813" t="str">
        <v>とも。友人。 とも。同じ先生のもとで学ぶ人。 なかま。同じ目的を持つなかま。</v>
      </c>
      <c r="H813" t="str">
        <v>#知性 #調和</v>
      </c>
      <c r="I813">
        <v>90</v>
      </c>
      <c r="J813">
        <v>45</v>
      </c>
      <c r="K813">
        <v>70</v>
      </c>
      <c r="L813">
        <v>0</v>
      </c>
      <c r="M813">
        <f>VLOOKUP(A813,[1]kanji_data!$A:$N,14,FALSE)</f>
        <v>0</v>
      </c>
    </row>
    <row r="814">
      <c r="A814" t="str">
        <v>孟</v>
      </c>
      <c r="B814">
        <v>8</v>
      </c>
      <c r="C814" t="b">
        <v>0</v>
      </c>
      <c r="D814" t="str">
        <v>ボウ マン モウ</v>
      </c>
      <c r="E814" t="str">
        <v>はじ（め）</v>
      </c>
      <c r="F814" t="str">
        <v>たけ たけし つとむ はじめ はる もと</v>
      </c>
      <c r="G814" t="str">
        <v>かしら。兄弟の最年長者。年齢の順に上から「伯・仲・叔・季」または「孟・仲・季」という。 はじめ。季節のはじめ。時代のはじめ。 はじめ。一年を四季の分けた春夏秋冬それぞれの最初の月。 つとめる。努力する。 大きい。勇ましい。 「孟子（モウシ）」の略。</v>
      </c>
      <c r="H814" t="str">
        <v>#勇気 #品格 #天空</v>
      </c>
      <c r="I814">
        <v>85</v>
      </c>
      <c r="J814">
        <v>80</v>
      </c>
      <c r="K814">
        <v>45</v>
      </c>
      <c r="L814">
        <v>0</v>
      </c>
      <c r="M814">
        <f>VLOOKUP(A814,[1]kanji_data!$A:$N,14,FALSE)</f>
        <v>0</v>
      </c>
    </row>
    <row r="815">
      <c r="A815" t="str">
        <v>茅</v>
      </c>
      <c r="B815">
        <v>8</v>
      </c>
      <c r="C815" t="b">
        <v>0</v>
      </c>
      <c r="D815" t="str">
        <v>ボウ</v>
      </c>
      <c r="E815" t="str">
        <v>かや ち ちがや</v>
      </c>
      <c r="F815" t="str">
        <v>あき</v>
      </c>
      <c r="G815" t="str">
        <v>かや。ち。ちがや。すすき・すげなどの総称。 かやぶき。かやでふいた屋根。</v>
      </c>
      <c r="H815" t="str">
        <v>#自然</v>
      </c>
      <c r="I815">
        <v>30</v>
      </c>
      <c r="J815">
        <v>50</v>
      </c>
      <c r="K815">
        <v>50</v>
      </c>
      <c r="L815">
        <v>0</v>
      </c>
      <c r="M815">
        <f>VLOOKUP(A815,[1]kanji_data!$A:$N,14,FALSE)</f>
        <v>0</v>
      </c>
    </row>
    <row r="816">
      <c r="A816" t="str">
        <v>再</v>
      </c>
      <c r="B816">
        <v>6</v>
      </c>
      <c r="C816" t="b">
        <v>1</v>
      </c>
      <c r="D816" t="str">
        <v>サイ サ</v>
      </c>
      <c r="E816" t="str">
        <v>ふたた（び）</v>
      </c>
      <c r="F816">
        <v>0</v>
      </c>
      <c r="G816" t="str">
        <v>ふたたび。二度。もう一度。 ふたたびする。くり返す。もう一度する。</v>
      </c>
      <c r="I816">
        <v>10</v>
      </c>
      <c r="J816">
        <v>70</v>
      </c>
      <c r="K816">
        <v>50</v>
      </c>
      <c r="L816">
        <v>0</v>
      </c>
      <c r="M816">
        <f>VLOOKUP(A816,[1]kanji_data!$A:$N,14,FALSE)</f>
        <v>0</v>
      </c>
    </row>
    <row r="817">
      <c r="A817" t="str">
        <v>怜</v>
      </c>
      <c r="B817">
        <v>8</v>
      </c>
      <c r="C817" t="b">
        <v>0</v>
      </c>
      <c r="D817" t="str">
        <v>レイ レン</v>
      </c>
      <c r="E817" t="str">
        <v>あわ（れむ） さと（い）</v>
      </c>
      <c r="F817" t="str">
        <v>さとし とき れ</v>
      </c>
      <c r="G817" t="str">
        <v>さとい。かしこい。頭がよい。利口。 あわれむ。いとおしく思う。かわいがって大切にする。＝憐</v>
      </c>
      <c r="H817" t="str">
        <v>#慈愛 #知性</v>
      </c>
      <c r="I817">
        <v>95</v>
      </c>
      <c r="J817">
        <v>30</v>
      </c>
      <c r="K817">
        <v>90</v>
      </c>
      <c r="L817">
        <v>0</v>
      </c>
      <c r="M817">
        <f>VLOOKUP(A817,[1]kanji_data!$A:$N,14,FALSE)</f>
        <v>0</v>
      </c>
    </row>
    <row r="818">
      <c r="A818" t="str">
        <v>或</v>
      </c>
      <c r="B818">
        <v>8</v>
      </c>
      <c r="C818" t="b">
        <v>0</v>
      </c>
      <c r="D818" t="str">
        <v>ワク</v>
      </c>
      <c r="E818" t="str">
        <v>あ（る） ある（いは）</v>
      </c>
      <c r="F818">
        <v>0</v>
      </c>
      <c r="G818" t="str">
        <v>あるいは。または。ある時（場合）は。 あるいは。もしかすると。ひょっとしたら。 ある。ある～。とある。不特定の物事を指すことば。 あるひと。不特定の人を指すことば。 ある。あること。存在する。＝有 まどう。心が乱れて判断が難しくなる。＝惑</v>
      </c>
      <c r="H818" t="str">
        <v>#知性</v>
      </c>
      <c r="I818">
        <v>10</v>
      </c>
      <c r="J818">
        <v>55</v>
      </c>
      <c r="K818">
        <v>55</v>
      </c>
      <c r="L818">
        <v>1</v>
      </c>
    </row>
    <row r="819">
      <c r="A819" t="str">
        <v>侑</v>
      </c>
      <c r="B819">
        <v>8</v>
      </c>
      <c r="C819" t="b">
        <v>0</v>
      </c>
      <c r="D819" t="str">
        <v>ウ ユウ</v>
      </c>
      <c r="E819" t="str">
        <v>すす（める） たす（ける） むく（いる） ゆる（す）</v>
      </c>
      <c r="F819" t="str">
        <v>あつむ すけ すすむ ゆ ゆき</v>
      </c>
      <c r="G819" t="str">
        <v>すすめる。料理やお酒などをすすめる。 たすける。かばってたすける。＝佑 むくいる。お礼をする。 ゆるす。罪などをゆるす。</v>
      </c>
      <c r="H819" t="str">
        <v>#品格 #慈愛</v>
      </c>
      <c r="I819">
        <v>90</v>
      </c>
      <c r="J819">
        <v>45</v>
      </c>
      <c r="K819">
        <v>70</v>
      </c>
      <c r="L819">
        <v>0</v>
      </c>
      <c r="M819">
        <f>VLOOKUP(A819,[1]kanji_data!$A:$N,14,FALSE)</f>
        <v>0</v>
      </c>
    </row>
    <row r="820">
      <c r="A820" t="str">
        <v>昊</v>
      </c>
      <c r="B820">
        <v>8</v>
      </c>
      <c r="C820" t="b">
        <v>0</v>
      </c>
      <c r="D820" t="str">
        <v>コウ</v>
      </c>
      <c r="E820" t="str">
        <v>そら</v>
      </c>
      <c r="F820" t="str">
        <v>あき あきら ひろ ひろし</v>
      </c>
      <c r="G820" t="str">
        <v>そら。広々としたそら。おおぞら。</v>
      </c>
      <c r="H820" t="str">
        <v>#天空</v>
      </c>
      <c r="I820">
        <v>98</v>
      </c>
      <c r="J820">
        <v>75</v>
      </c>
      <c r="K820">
        <v>45</v>
      </c>
      <c r="L820">
        <v>0</v>
      </c>
      <c r="M820">
        <f>VLOOKUP(A820,[1]kanji_data!$A:$N,14,FALSE)</f>
        <v>0</v>
      </c>
    </row>
    <row r="821">
      <c r="A821" t="str">
        <v>茉</v>
      </c>
      <c r="B821">
        <v>8</v>
      </c>
      <c r="C821" t="b">
        <v>0</v>
      </c>
      <c r="D821" t="str">
        <v>バツ マツ</v>
      </c>
      <c r="E821">
        <v>0</v>
      </c>
      <c r="F821" t="str">
        <v>ま</v>
      </c>
      <c r="G821" t="str">
        <v>木の名前「茉莉（まつり）」に用いられる字。</v>
      </c>
      <c r="H821" t="str">
        <v>#自然 #花・彩</v>
      </c>
      <c r="I821">
        <v>100</v>
      </c>
      <c r="J821">
        <v>25</v>
      </c>
      <c r="K821">
        <v>85</v>
      </c>
      <c r="L821">
        <v>0</v>
      </c>
      <c r="M821">
        <f>VLOOKUP(A821,[1]kanji_data!$A:$N,14,FALSE)</f>
        <v>0</v>
      </c>
    </row>
    <row r="822">
      <c r="A822" t="str">
        <v>苺</v>
      </c>
      <c r="B822">
        <v>8</v>
      </c>
      <c r="C822" t="b">
        <v>0</v>
      </c>
      <c r="D822" t="str">
        <v>バイ マイ</v>
      </c>
      <c r="E822" t="str">
        <v>いちご こけ</v>
      </c>
      <c r="F822" t="str">
        <v>いち まい</v>
      </c>
      <c r="G822" t="str">
        <v>いちご。きいちご。くさいちご。バラ科の多年草で、赤く小さな実をつける。 こけ。</v>
      </c>
      <c r="H822" t="str">
        <v>#自然 #花・彩</v>
      </c>
      <c r="I822">
        <v>95</v>
      </c>
      <c r="J822">
        <v>25</v>
      </c>
      <c r="K822">
        <v>85</v>
      </c>
      <c r="L822">
        <v>0</v>
      </c>
      <c r="M822">
        <f>VLOOKUP(A822,[1]kanji_data!$A:$N,14,FALSE)</f>
        <v>0</v>
      </c>
    </row>
    <row r="823">
      <c r="A823" t="str">
        <v>迪</v>
      </c>
      <c r="B823">
        <v>8</v>
      </c>
      <c r="C823" t="b">
        <v>0</v>
      </c>
      <c r="D823" t="str">
        <v>テキ</v>
      </c>
      <c r="E823" t="str">
        <v>みち みちび（く） すす（む） ふ（む）</v>
      </c>
      <c r="F823" t="str">
        <v>いたる すすむ ただ ただし ただす とく ひら ふみ ゆう</v>
      </c>
      <c r="G823" t="str">
        <v>みち。道理。道徳。 みち。道路。 みちびく。教え導く。 ふむ。ふみおこなう。実行する。 すすむ。道を進む。官職につく。</v>
      </c>
      <c r="H823" t="str">
        <v>#心・志</v>
      </c>
      <c r="I823">
        <v>95</v>
      </c>
      <c r="J823">
        <v>80</v>
      </c>
      <c r="K823">
        <v>50</v>
      </c>
      <c r="L823">
        <v>0</v>
      </c>
      <c r="M823">
        <f>VLOOKUP(A823,[1]kanji_data!$A:$N,14,FALSE)</f>
        <v>0</v>
      </c>
    </row>
    <row r="824">
      <c r="A824" t="str">
        <v>穹</v>
      </c>
      <c r="B824">
        <v>8</v>
      </c>
      <c r="C824" t="b">
        <v>0</v>
      </c>
      <c r="D824" t="str">
        <v>キュウ</v>
      </c>
      <c r="E824" t="str">
        <v>あな おお（きい） おおぞら たか（い） ふか（い）</v>
      </c>
      <c r="F824" t="str">
        <v>く そら</v>
      </c>
      <c r="G824" t="str">
        <v>穴。 大きい。高い。 そら。大空。天。 深い。奥深い。きわまる。 弓形。ドーム形。アーチ形。</v>
      </c>
      <c r="H824" t="str">
        <v>#天空</v>
      </c>
      <c r="I824">
        <v>30</v>
      </c>
      <c r="J824">
        <v>75</v>
      </c>
      <c r="K824">
        <v>45</v>
      </c>
      <c r="L824">
        <v>0</v>
      </c>
      <c r="M824">
        <f>VLOOKUP(A824,[1]kanji_data!$A:$N,14,FALSE)</f>
        <v>0</v>
      </c>
    </row>
    <row r="825">
      <c r="A825" t="str">
        <v>來</v>
      </c>
      <c r="B825">
        <v>8</v>
      </c>
      <c r="C825" t="b">
        <v>0</v>
      </c>
      <c r="D825" t="str">
        <v>ライ</v>
      </c>
      <c r="E825" t="str">
        <v>く（る） きた（す） きた（る） き（し） こ（し）</v>
      </c>
      <c r="F825" t="str">
        <v>くる な ら</v>
      </c>
      <c r="G825" t="str">
        <v>くる。きたる。やってくる。 きたす。こさせる。 このかた。ある時点から現在まで。今まで。 これから先。まだきていない先のこと。 助字。句中や句末に置いて、語調を整える。普通は訓読しない。 ねぎらう。いたわる。はげます。</v>
      </c>
      <c r="H825" t="str">
        <v>#慈愛</v>
      </c>
      <c r="I825">
        <v>30</v>
      </c>
      <c r="J825">
        <v>50</v>
      </c>
      <c r="K825">
        <v>55</v>
      </c>
      <c r="L825">
        <v>0</v>
      </c>
      <c r="M825">
        <f>VLOOKUP(A825,[1]kanji_data!$A:$N,14,FALSE)</f>
        <v>0</v>
      </c>
    </row>
    <row r="826">
      <c r="A826" t="str">
        <v>亞</v>
      </c>
      <c r="B826">
        <v>8</v>
      </c>
      <c r="C826" t="b">
        <v>0</v>
      </c>
      <c r="D826" t="str">
        <v>ア</v>
      </c>
      <c r="E826" t="str">
        <v>つ（ぐ） はふり</v>
      </c>
      <c r="F826">
        <v>0</v>
      </c>
      <c r="G826" t="str">
        <v>つぐ。つぎ。次位。二番目。 あいむこ。姉妹のむこ同士を呼ぶときの呼称。 近い。仲間。同類。たぐい。 はふり。葬祭の儀礼を司る官職名。</v>
      </c>
      <c r="H826" t="str">
        <v>#品格 #調和</v>
      </c>
      <c r="I826">
        <v>10</v>
      </c>
      <c r="J826">
        <v>50</v>
      </c>
      <c r="K826">
        <v>50</v>
      </c>
      <c r="L826">
        <v>0</v>
      </c>
      <c r="M826">
        <f>VLOOKUP(A826,[1]kanji_data!$A:$N,14,FALSE)</f>
        <v>0</v>
      </c>
    </row>
    <row r="827">
      <c r="A827" t="str">
        <v>兒</v>
      </c>
      <c r="B827">
        <v>8</v>
      </c>
      <c r="C827" t="b">
        <v>0</v>
      </c>
      <c r="D827" t="str">
        <v>ジ ニ</v>
      </c>
      <c r="E827" t="str">
        <v>こ</v>
      </c>
      <c r="F827">
        <v>0</v>
      </c>
      <c r="G827" t="str">
        <v>こ。幼い子ども。 若い男性。青年。 子が親に対して自分のことをいうときの自称の言葉。</v>
      </c>
      <c r="H827" t="str">
        <v>#自然</v>
      </c>
      <c r="I827">
        <v>10</v>
      </c>
      <c r="J827">
        <v>55</v>
      </c>
      <c r="K827">
        <v>60</v>
      </c>
      <c r="L827">
        <v>0</v>
      </c>
      <c r="M827">
        <f>VLOOKUP(A827,[1]kanji_data!$A:$N,14,FALSE)</f>
        <v>0</v>
      </c>
    </row>
    <row r="828">
      <c r="A828" t="str">
        <v>拔</v>
      </c>
      <c r="B828">
        <v>8</v>
      </c>
      <c r="C828" t="b">
        <v>0</v>
      </c>
      <c r="D828" t="str">
        <v>バツ</v>
      </c>
      <c r="E828" t="str">
        <v>ぬ（かす） ぬ（かる） ぬ（く） ぬ（ける）</v>
      </c>
      <c r="F828">
        <v>0</v>
      </c>
      <c r="G828" t="str">
        <v>ぬく。ぬける。引きぬく。ぬき出す。 ぬく。攻め落とす。攻め取る。 ぬける。ぬきんでる。 ぬく。ぬかす。ぬける。間を飛ばす。省略する。漏らす。 ぬかる。大事なことに気づかずに失敗する。また、油断して失敗する。</v>
      </c>
      <c r="H828" t="str">
        <v>#品格 #繁栄</v>
      </c>
      <c r="I828">
        <v>10</v>
      </c>
      <c r="J828">
        <v>90</v>
      </c>
      <c r="K828">
        <v>35</v>
      </c>
      <c r="L828">
        <v>0</v>
      </c>
      <c r="M828">
        <f>VLOOKUP(A828,[1]kanji_data!$A:$N,14,FALSE)</f>
        <v>0</v>
      </c>
    </row>
    <row r="829">
      <c r="A829" t="str">
        <v>卷</v>
      </c>
      <c r="B829">
        <v>8</v>
      </c>
      <c r="C829" t="b">
        <v>0</v>
      </c>
      <c r="D829" t="str">
        <v>カン ケン</v>
      </c>
      <c r="E829" t="str">
        <v>まき ま（く）</v>
      </c>
      <c r="F829">
        <v>0</v>
      </c>
      <c r="G829" t="str">
        <v>まく。くるくるとまきあげる。 まき。巻き物。書物。また、それらを数えることば。 曲がる。曲がりくねる。 うつくしい。 にぎりこぶし。にぎりしめた手。</v>
      </c>
      <c r="H829" t="str">
        <v>#花・彩</v>
      </c>
      <c r="I829">
        <v>10</v>
      </c>
      <c r="J829">
        <v>55</v>
      </c>
      <c r="K829">
        <v>55</v>
      </c>
      <c r="L829">
        <v>1</v>
      </c>
    </row>
    <row r="830">
      <c r="A830" t="str">
        <v>拂</v>
      </c>
      <c r="B830">
        <v>8</v>
      </c>
      <c r="C830" t="b">
        <v>0</v>
      </c>
      <c r="D830" t="str">
        <v>フツ ヒツ</v>
      </c>
      <c r="E830" t="str">
        <v>はら（う）</v>
      </c>
      <c r="F830">
        <v>0</v>
      </c>
      <c r="G830" t="str">
        <v>はらう。はらいのける。 はらう。ふく。なでる。 さからう。もとる。そむく。 たすける。たすけ。補佐する。＝弼 はらう。はらい。代金を渡す。</v>
      </c>
      <c r="H830" t="str">
        <v>#慈愛</v>
      </c>
      <c r="I830">
        <v>10</v>
      </c>
      <c r="J830">
        <v>50</v>
      </c>
      <c r="K830">
        <v>50</v>
      </c>
      <c r="L830">
        <v>1</v>
      </c>
    </row>
    <row r="831">
      <c r="A831" t="str">
        <v>爭</v>
      </c>
      <c r="B831">
        <v>8</v>
      </c>
      <c r="C831" t="b">
        <v>0</v>
      </c>
      <c r="D831" t="str">
        <v>ソウ</v>
      </c>
      <c r="E831" t="str">
        <v>あらそ（う） いさ（める）</v>
      </c>
      <c r="F831">
        <v>0</v>
      </c>
      <c r="G831" t="str">
        <v>あらそう。きそう。奪い合う。取り合う。 いさめる。あやまちや誤りを指摘し改めるように忠告する。 いかで。どうして。反語の意をあらわす助字。</v>
      </c>
      <c r="H831" t="str">
        <v>#心・志</v>
      </c>
      <c r="I831">
        <v>10</v>
      </c>
      <c r="J831">
        <v>50</v>
      </c>
      <c r="K831">
        <v>55</v>
      </c>
      <c r="L831">
        <v>1</v>
      </c>
    </row>
    <row r="832">
      <c r="A832" t="str">
        <v>后</v>
      </c>
      <c r="B832">
        <v>6</v>
      </c>
      <c r="C832" t="b">
        <v>1</v>
      </c>
      <c r="D832" t="str">
        <v>コウ ゴ</v>
      </c>
      <c r="E832" t="str">
        <v>きさき きみ のち</v>
      </c>
      <c r="F832">
        <v>0</v>
      </c>
      <c r="G832" t="str">
        <v>きさき。天子の正妻。 きみ。天子。君主。諸侯。 のち。うしろ。＝後</v>
      </c>
      <c r="I832">
        <v>10</v>
      </c>
      <c r="J832">
        <v>45</v>
      </c>
      <c r="K832">
        <v>65</v>
      </c>
      <c r="L832">
        <v>0</v>
      </c>
      <c r="M832">
        <f>VLOOKUP(A832,[1]kanji_data!$A:$N,14,FALSE)</f>
        <v>0</v>
      </c>
    </row>
    <row r="833">
      <c r="A833" t="str">
        <v>尽</v>
      </c>
      <c r="B833">
        <v>6</v>
      </c>
      <c r="C833" t="b">
        <v>1</v>
      </c>
      <c r="D833" t="str">
        <v>ジン</v>
      </c>
      <c r="E833" t="str">
        <v>つ（かす） つ（きる） つ（くす） ことごと（く） すが（れる）</v>
      </c>
      <c r="F833">
        <v>0</v>
      </c>
      <c r="G833" t="str">
        <v>つきる。つくす。つかす。すべて出しきる。すべて費やす。すっかり無くなる。 つきる。つくす。おわる。 ことごとく。すべて。みな。全部。</v>
      </c>
      <c r="I833">
        <v>10</v>
      </c>
      <c r="J833">
        <v>75</v>
      </c>
      <c r="K833">
        <v>45</v>
      </c>
      <c r="L833">
        <v>0</v>
      </c>
      <c r="M833">
        <f>VLOOKUP(A833,[1]kanji_data!$A:$N,14,FALSE)</f>
        <v>0</v>
      </c>
    </row>
    <row r="834">
      <c r="A834" t="str">
        <v>曳</v>
      </c>
      <c r="B834">
        <v>6</v>
      </c>
      <c r="C834" t="b">
        <v>0</v>
      </c>
      <c r="D834" t="str">
        <v>エイ</v>
      </c>
      <c r="E834" t="str">
        <v>ひ（く）</v>
      </c>
      <c r="F834">
        <v>0</v>
      </c>
      <c r="G834" t="str">
        <v>ひく。引っぱる。また、引きずる。</v>
      </c>
      <c r="I834">
        <v>10</v>
      </c>
      <c r="J834">
        <v>50</v>
      </c>
      <c r="K834">
        <v>55</v>
      </c>
      <c r="L834">
        <v>1</v>
      </c>
    </row>
    <row r="835">
      <c r="A835" t="str">
        <v>音</v>
      </c>
      <c r="B835">
        <v>9</v>
      </c>
      <c r="C835" t="b">
        <v>1</v>
      </c>
      <c r="D835" t="str">
        <v>オン イン</v>
      </c>
      <c r="E835" t="str">
        <v>おと ね たよ（り）</v>
      </c>
      <c r="F835" t="str">
        <v>お と なり</v>
      </c>
      <c r="G835" t="str">
        <v>おと。ね。空気の震えなどが耳に伝わり聞こえるもの。 おと。ね。ふし。うた。音楽。 たより。おとずれ。知らせ。 おん。中国から伝来した漢字の発音。また、その読み方。</v>
      </c>
      <c r="H835" t="str">
        <v>#天空</v>
      </c>
      <c r="I835">
        <v>98</v>
      </c>
      <c r="J835">
        <v>60</v>
      </c>
      <c r="K835">
        <v>60</v>
      </c>
      <c r="L835">
        <v>0</v>
      </c>
      <c r="M835">
        <f>VLOOKUP(A835,[1]kanji_data!$A:$N,14,FALSE)</f>
        <v>0</v>
      </c>
    </row>
    <row r="836">
      <c r="A836" t="str">
        <v>草</v>
      </c>
      <c r="B836">
        <v>9</v>
      </c>
      <c r="C836" t="b">
        <v>1</v>
      </c>
      <c r="D836" t="str">
        <v>ソウ</v>
      </c>
      <c r="E836" t="str">
        <v>くさ</v>
      </c>
      <c r="F836" t="str">
        <v>かや さ しげ</v>
      </c>
      <c r="G836" t="str">
        <v>くさ。くさはら。のはら。 そまつな。いい加減な。いやしい。おおまかな。あらい。 はじめ。はじめる。はじまり。 詩や文章の下書き。おおまかな下書き。 書体の一つ。草書。</v>
      </c>
      <c r="H836" t="str">
        <v>#自然</v>
      </c>
      <c r="I836">
        <v>10</v>
      </c>
      <c r="J836">
        <v>85</v>
      </c>
      <c r="K836">
        <v>30</v>
      </c>
      <c r="L836">
        <v>0</v>
      </c>
      <c r="M836">
        <f>VLOOKUP(A836,[1]kanji_data!$A:$N,14,FALSE)</f>
        <v>0</v>
      </c>
    </row>
    <row r="837">
      <c r="A837" t="str">
        <v>科</v>
      </c>
      <c r="B837">
        <v>9</v>
      </c>
      <c r="C837" t="b">
        <v>1</v>
      </c>
      <c r="D837" t="str">
        <v>カ</v>
      </c>
      <c r="E837" t="str">
        <v>しぐさ しな とが</v>
      </c>
      <c r="F837">
        <v>0</v>
      </c>
      <c r="G837" t="str">
        <v>しな。区分。種類。程度。等級。 とが。罪。あやまち。 あてはめる。割り当てる。税や罪を割り当てる。 官吏登用試験。人材を選び取るための試験。また、その課目。 あな。くぼみ。まるいくぼみ。 しぐさ。役者や俳優の動作。 か。生物分類学上の単位。</v>
      </c>
      <c r="H837" t="str">
        <v>#天空</v>
      </c>
      <c r="I837">
        <v>10</v>
      </c>
      <c r="J837">
        <v>60</v>
      </c>
      <c r="K837">
        <v>60</v>
      </c>
      <c r="L837">
        <v>1</v>
      </c>
    </row>
    <row r="838">
      <c r="A838" t="str">
        <v>海</v>
      </c>
      <c r="B838">
        <v>9</v>
      </c>
      <c r="C838" t="b">
        <v>1</v>
      </c>
      <c r="D838" t="str">
        <v>カイ</v>
      </c>
      <c r="E838" t="str">
        <v>うみ</v>
      </c>
      <c r="F838" t="str">
        <v>あま うな み</v>
      </c>
      <c r="G838" t="str">
        <v>うみ。わた。わたつみ。 大きな湖や池。 広く大きい。また、多くの人や物が集まる所。</v>
      </c>
      <c r="H838" t="str">
        <v>#海・水</v>
      </c>
      <c r="I838">
        <v>100</v>
      </c>
      <c r="J838">
        <v>80</v>
      </c>
      <c r="K838">
        <v>50</v>
      </c>
      <c r="L838">
        <v>0</v>
      </c>
      <c r="M838">
        <f>VLOOKUP(A838,[1]kanji_data!$A:$N,14,FALSE)</f>
        <v>0</v>
      </c>
    </row>
    <row r="839">
      <c r="A839" t="str">
        <v>活</v>
      </c>
      <c r="B839">
        <v>9</v>
      </c>
      <c r="C839" t="b">
        <v>1</v>
      </c>
      <c r="D839" t="str">
        <v>カツ</v>
      </c>
      <c r="E839" t="str">
        <v>い（かす） い（きる） い（ける）</v>
      </c>
      <c r="F839" t="str">
        <v>いく</v>
      </c>
      <c r="G839" t="str">
        <v>いかす。命を助ける。生き返らせる。 いきる。いける。命がある。生存する。 いきいきしている。勢いがよいさま。 水が勢いよく流れるさま。 かつ。気絶した者の意識を戻す方法。元気づける方法。</v>
      </c>
      <c r="H839" t="str">
        <v>#健康 #繁栄</v>
      </c>
      <c r="I839">
        <v>60</v>
      </c>
      <c r="J839">
        <v>85</v>
      </c>
      <c r="K839">
        <v>30</v>
      </c>
      <c r="L839">
        <v>0</v>
      </c>
      <c r="M839">
        <f>VLOOKUP(A839,[1]kanji_data!$A:$N,14,FALSE)</f>
        <v>0</v>
      </c>
    </row>
    <row r="840">
      <c r="A840" t="str">
        <v>計</v>
      </c>
      <c r="B840">
        <v>9</v>
      </c>
      <c r="C840" t="b">
        <v>1</v>
      </c>
      <c r="D840" t="str">
        <v>ケイ</v>
      </c>
      <c r="E840" t="str">
        <v>はか（らう） はか（る） かぞ（える）</v>
      </c>
      <c r="F840" t="str">
        <v>かず かずい かずえ かずお かずし</v>
      </c>
      <c r="G840" t="str">
        <v>かぞえる。はかる。数をしらべる。 はかる。はからう。くわだてる。 はかりごと。計画。 はかり。数量をしらべるためのもの。 ばかり。ほど。程度や範囲を表す。 ばかり。～だけ。</v>
      </c>
      <c r="H840" t="str">
        <v>#天空</v>
      </c>
      <c r="I840">
        <v>5</v>
      </c>
      <c r="J840">
        <v>70</v>
      </c>
      <c r="K840">
        <v>50</v>
      </c>
      <c r="L840">
        <v>1</v>
      </c>
    </row>
    <row r="841">
      <c r="A841" t="str">
        <v>亦</v>
      </c>
      <c r="B841">
        <v>6</v>
      </c>
      <c r="C841" t="b">
        <v>0</v>
      </c>
      <c r="D841" t="str">
        <v>エキ ヤク</v>
      </c>
      <c r="E841" t="str">
        <v>また わき</v>
      </c>
      <c r="F841">
        <v>0</v>
      </c>
      <c r="G841" t="str">
        <v>「また～」と読み、「～もまた」「～も同様に」の意。 「また～ずや」「また～ならずや」と読み、反語の意を表す。 おおいに。＝奕 わき。わきのした。</v>
      </c>
      <c r="I841">
        <v>10</v>
      </c>
      <c r="J841">
        <v>55</v>
      </c>
      <c r="K841">
        <v>55</v>
      </c>
      <c r="L841">
        <v>1</v>
      </c>
    </row>
    <row r="842">
      <c r="A842" t="str">
        <v>牟</v>
      </c>
      <c r="B842">
        <v>6</v>
      </c>
      <c r="C842" t="b">
        <v>0</v>
      </c>
      <c r="D842" t="str">
        <v>ボウ ム</v>
      </c>
      <c r="E842" t="str">
        <v>な（く） むさぼ（る）</v>
      </c>
      <c r="F842">
        <v>0</v>
      </c>
      <c r="G842" t="str">
        <v>なく。牛の鳴き声。 むさぼる。むさぼり奪う。奪い取る。 大きい。多い。 きびやあわを盛りつけるうつわ。 かぶと。 ひとみ。例：牟子（ぼうし） 大麦（おおむぎ）。例：牟麦（ぼうばく）</v>
      </c>
      <c r="I842">
        <v>10</v>
      </c>
      <c r="J842">
        <v>50</v>
      </c>
      <c r="K842">
        <v>50</v>
      </c>
      <c r="L842">
        <v>1</v>
      </c>
    </row>
    <row r="843">
      <c r="A843" t="str">
        <v>首</v>
      </c>
      <c r="B843">
        <v>9</v>
      </c>
      <c r="C843" t="b">
        <v>1</v>
      </c>
      <c r="D843" t="str">
        <v>シュ</v>
      </c>
      <c r="E843" t="str">
        <v>くび かしら こうべ はじ（め） もう（す）</v>
      </c>
      <c r="F843" t="str">
        <v>おびと かみ さき はじめ</v>
      </c>
      <c r="G843" t="str">
        <v>くび。かしら。こうべ。あたま。 はじめ。はじまり。最初。先頭。 かしら。おさ。統率する人。 詩歌を数えることば。 もうす。罪を申し出る。自白する。 むかう。頭を向ける。 くび。首と胴の間の部分。 くび。職をやめさせる。免職。</v>
      </c>
      <c r="H843" t="str">
        <v>#品格</v>
      </c>
      <c r="I843">
        <v>5</v>
      </c>
      <c r="J843">
        <v>95</v>
      </c>
      <c r="K843">
        <v>40</v>
      </c>
      <c r="L843">
        <v>1</v>
      </c>
    </row>
    <row r="844">
      <c r="A844" t="str">
        <v>秋</v>
      </c>
      <c r="B844">
        <v>9</v>
      </c>
      <c r="C844" t="b">
        <v>1</v>
      </c>
      <c r="D844" t="str">
        <v>シュウ</v>
      </c>
      <c r="E844" t="str">
        <v>あき とき</v>
      </c>
      <c r="F844" t="str">
        <v>あきら とし みのる</v>
      </c>
      <c r="G844" t="str">
        <v>あき。四季の一つ。立秋から立冬までの期間。九月から十一月頃。陰暦では七月から九月。 とき。大切なとき。大事なとき。 みのり。作物が実ること。 とし。としつき。年月。歳月。</v>
      </c>
      <c r="H844" t="str">
        <v>#天空</v>
      </c>
      <c r="I844">
        <v>90</v>
      </c>
      <c r="J844">
        <v>20</v>
      </c>
      <c r="K844">
        <v>100</v>
      </c>
      <c r="L844">
        <v>0</v>
      </c>
      <c r="M844">
        <f>VLOOKUP(A844,[1]kanji_data!$A:$N,14,FALSE)</f>
        <v>0</v>
      </c>
    </row>
    <row r="845">
      <c r="A845" t="str">
        <v>春</v>
      </c>
      <c r="B845">
        <v>9</v>
      </c>
      <c r="C845" t="b">
        <v>1</v>
      </c>
      <c r="D845" t="str">
        <v>シュン</v>
      </c>
      <c r="E845" t="str">
        <v>はる</v>
      </c>
      <c r="F845" t="str">
        <v>あずま あつ かす かず す とき は はじめ</v>
      </c>
      <c r="G845" t="str">
        <v>はる。四季の一つ。立春から立夏までの期間。三月から五月頃。陰暦では一月から三月。 一年のはじめ。正月。 としごろ。青年期。 色情。男女間の情欲。</v>
      </c>
      <c r="H845" t="str">
        <v>#天空</v>
      </c>
      <c r="I845">
        <v>100</v>
      </c>
      <c r="J845">
        <v>50</v>
      </c>
      <c r="K845">
        <v>55</v>
      </c>
      <c r="L845">
        <v>0</v>
      </c>
      <c r="M845">
        <f>VLOOKUP(A845,[1]kanji_data!$A:$N,14,FALSE)</f>
        <v>0</v>
      </c>
    </row>
    <row r="846">
      <c r="A846" t="str">
        <v>食</v>
      </c>
      <c r="B846">
        <v>9</v>
      </c>
      <c r="C846" t="b">
        <v>1</v>
      </c>
      <c r="D846" t="str">
        <v>ショク ジキ イ シ</v>
      </c>
      <c r="E846" t="str">
        <v>く（う） た（べる） く（らう） は（む）</v>
      </c>
      <c r="F846" t="str">
        <v>あき あきら うけ くら け みけ</v>
      </c>
      <c r="G846" t="str">
        <v>くう。くらう。はむ。たべる。 たべもの。めし。食事。 ふち。くいぶち。俸禄。 かける。日や月が欠ける。 くらう。うける。こうむる。 くらわす。やしなう。たべさせる。食べ物を与える。 めし。たべもの。食糧。 「酈食其」は人名。人名に用いられる読み方。</v>
      </c>
      <c r="H846" t="str">
        <v>#天空</v>
      </c>
      <c r="I846">
        <v>30</v>
      </c>
      <c r="J846">
        <v>85</v>
      </c>
      <c r="K846">
        <v>30</v>
      </c>
      <c r="L846">
        <v>1</v>
      </c>
    </row>
    <row r="847">
      <c r="A847" t="str">
        <v>星</v>
      </c>
      <c r="B847">
        <v>9</v>
      </c>
      <c r="C847" t="b">
        <v>1</v>
      </c>
      <c r="D847" t="str">
        <v>セイ ショウ</v>
      </c>
      <c r="E847" t="str">
        <v>ほし</v>
      </c>
      <c r="F847" t="str">
        <v>あかり せ とし</v>
      </c>
      <c r="G847" t="str">
        <v>ほし。夜空に光って見えるほし。 遠くに見えるほしのように小さいもの。こまかいもの。 ほし。めぼし。ねらい。 ほし。犯人。容疑者。</v>
      </c>
      <c r="H847" t="str">
        <v>#天空</v>
      </c>
      <c r="I847">
        <v>100</v>
      </c>
      <c r="J847">
        <v>60</v>
      </c>
      <c r="K847">
        <v>55</v>
      </c>
      <c r="L847">
        <v>0</v>
      </c>
      <c r="M847">
        <f>VLOOKUP(A847,[1]kanji_data!$A:$N,14,FALSE)</f>
        <v>0</v>
      </c>
    </row>
    <row r="848">
      <c r="A848" t="str">
        <v>前</v>
      </c>
      <c r="B848">
        <v>9</v>
      </c>
      <c r="C848" t="b">
        <v>1</v>
      </c>
      <c r="D848" t="str">
        <v>ゼン セン</v>
      </c>
      <c r="E848" t="str">
        <v>まえ さき</v>
      </c>
      <c r="F848" t="str">
        <v>くま すすむ ちか</v>
      </c>
      <c r="G848" t="str">
        <v>まえ。さき。時間的、場所的に先のほう。 まえ。さき。あらかじめ。先だって。 まえ。さき。過去。昔。例：以前 みちびき。みちびく。 まえ。わりあて。分量。例：三人前の料理 高貴な人を指す敬称。</v>
      </c>
      <c r="H848" t="str">
        <v>#品格</v>
      </c>
      <c r="I848">
        <v>15</v>
      </c>
      <c r="J848">
        <v>65</v>
      </c>
      <c r="K848">
        <v>50</v>
      </c>
      <c r="L848">
        <v>0</v>
      </c>
      <c r="M848">
        <f>VLOOKUP(A848,[1]kanji_data!$A:$N,14,FALSE)</f>
        <v>0</v>
      </c>
    </row>
    <row r="849">
      <c r="A849" t="str">
        <v>茶</v>
      </c>
      <c r="B849">
        <v>9</v>
      </c>
      <c r="C849" t="b">
        <v>1</v>
      </c>
      <c r="D849" t="str">
        <v>チャ サ</v>
      </c>
      <c r="E849">
        <v>0</v>
      </c>
      <c r="F849">
        <v>0</v>
      </c>
      <c r="G849" t="str">
        <v>ちゃ。ちゃの木。ツバキ科の常緑低木。葉はせんじて飲料品に用いる。 ちゃ色のこと。 ちゃ。茶道の略。</v>
      </c>
      <c r="H849" t="str">
        <v>#自然</v>
      </c>
      <c r="I849">
        <v>10</v>
      </c>
      <c r="J849">
        <v>20</v>
      </c>
      <c r="K849">
        <v>100</v>
      </c>
      <c r="L849">
        <v>1</v>
      </c>
    </row>
    <row r="850">
      <c r="A850" t="str">
        <v>貝</v>
      </c>
      <c r="B850">
        <v>7</v>
      </c>
      <c r="C850" t="b">
        <v>1</v>
      </c>
      <c r="D850" t="str">
        <v>バイ</v>
      </c>
      <c r="E850" t="str">
        <v>かい</v>
      </c>
      <c r="F850">
        <v>0</v>
      </c>
      <c r="G850" t="str">
        <v>かい。かいがら。 たから。金。貨幣。 あや。貝に似た模様。 木の名。貝多羅（ばいたら）の略。</v>
      </c>
      <c r="I850">
        <v>10</v>
      </c>
      <c r="J850">
        <v>55</v>
      </c>
      <c r="K850">
        <v>60</v>
      </c>
      <c r="L850">
        <v>0</v>
      </c>
      <c r="M850">
        <f>VLOOKUP(A850,[1]kanji_data!$A:$N,14,FALSE)</f>
        <v>0</v>
      </c>
    </row>
    <row r="851">
      <c r="A851" t="str">
        <v>足</v>
      </c>
      <c r="B851">
        <v>7</v>
      </c>
      <c r="C851" t="b">
        <v>1</v>
      </c>
      <c r="D851" t="str">
        <v>ソク</v>
      </c>
      <c r="E851" t="str">
        <v>あし た（す） た（りる） た（る）</v>
      </c>
      <c r="F851" t="str">
        <v>たり なり みつ ゆき</v>
      </c>
      <c r="G851" t="str">
        <v>あし。人や動物のあし。特にあしくびから先の部分。 器具の下の部分で、あしの形をしたもの。 あゆみ。あゆむ。はしる。 たりる。たる。十分である。 たる。する価値がある。 たす。みたす。 たす。そえる。加える。増す。 すぎる。程度をこえる。度をこす。 おもねるさま。へつらうさま。 あし。金銭。 そく。はき物を数える助数詞。</v>
      </c>
      <c r="I851">
        <v>20</v>
      </c>
      <c r="J851">
        <v>100</v>
      </c>
      <c r="K851">
        <v>35</v>
      </c>
      <c r="L851">
        <v>0</v>
      </c>
      <c r="M851">
        <f>VLOOKUP(A851,[1]kanji_data!$A:$N,14,FALSE)</f>
        <v>0</v>
      </c>
    </row>
    <row r="852">
      <c r="A852" t="str">
        <v>南</v>
      </c>
      <c r="B852">
        <v>9</v>
      </c>
      <c r="C852" t="b">
        <v>1</v>
      </c>
      <c r="D852" t="str">
        <v>ナン ナ ダン</v>
      </c>
      <c r="E852" t="str">
        <v>みなみ</v>
      </c>
      <c r="F852" t="str">
        <v>あけ なみ みな よし</v>
      </c>
      <c r="G852" t="str">
        <v>みなみ。方位の名。 みなみする。みなみの方に行く。 梵語（ボンゴ）の音訳に用いる字。</v>
      </c>
      <c r="H852" t="str">
        <v>#天空 #繁栄</v>
      </c>
      <c r="I852">
        <v>85</v>
      </c>
      <c r="J852">
        <v>75</v>
      </c>
      <c r="K852">
        <v>40</v>
      </c>
      <c r="L852">
        <v>0</v>
      </c>
      <c r="M852">
        <f>VLOOKUP(A852,[1]kanji_data!$A:$N,14,FALSE)</f>
        <v>0</v>
      </c>
    </row>
    <row r="853">
      <c r="A853" t="str">
        <v>風</v>
      </c>
      <c r="B853">
        <v>9</v>
      </c>
      <c r="C853" t="b">
        <v>1</v>
      </c>
      <c r="D853" t="str">
        <v>フウ フ</v>
      </c>
      <c r="E853" t="str">
        <v>かざ かぜ すがた ならわし ふり</v>
      </c>
      <c r="F853" t="str">
        <v>か</v>
      </c>
      <c r="G853" t="str">
        <v>かぜ。空気の流れ。 ならわし。しきたり。習慣。 すがた。ふり。ようす。 世の中の動き。情勢。 おもむき。味わい。ありさま。 病気。病気の名。 かぜに吹かれる。かぜが吹く。 教えさとす。感化する。 ほのめかす。それとなく言葉や態度で示して影響を与える。</v>
      </c>
      <c r="H853" t="str">
        <v>#天空 #自然</v>
      </c>
      <c r="I853">
        <v>95</v>
      </c>
      <c r="J853">
        <v>50</v>
      </c>
      <c r="K853">
        <v>55</v>
      </c>
      <c r="L853">
        <v>0</v>
      </c>
      <c r="M853">
        <f>VLOOKUP(A853,[1]kanji_data!$A:$N,14,FALSE)</f>
        <v>0</v>
      </c>
    </row>
    <row r="854">
      <c r="A854" t="str">
        <v>角</v>
      </c>
      <c r="B854">
        <v>7</v>
      </c>
      <c r="C854" t="b">
        <v>1</v>
      </c>
      <c r="D854" t="str">
        <v>カク ロク</v>
      </c>
      <c r="E854" t="str">
        <v>かど つの くら（べる） すみ</v>
      </c>
      <c r="F854">
        <v>0</v>
      </c>
      <c r="G854" t="str">
        <v>つの。動物の頭部にあるつの。また、つののような形をしたもの。 かど。とがったところ。 すみ。すみっこ。ものの端の方。 あげまき。総角。髪の毛を左右でたばねて巻き上げた子どもの髪型。 五音「宮・商・角・徴・羽」のひとつ。 二十八宿の一つ。すぼし。 「角里先生」は、隠士。商山四皓の一人。「角里」は「甪里」とも書く。 将棋の駒のひとつ。角行。</v>
      </c>
      <c r="I854">
        <v>10</v>
      </c>
      <c r="J854">
        <v>55</v>
      </c>
      <c r="K854">
        <v>60</v>
      </c>
      <c r="L854">
        <v>0</v>
      </c>
      <c r="M854">
        <f>VLOOKUP(A854,[1]kanji_data!$A:$N,14,FALSE)</f>
        <v>0</v>
      </c>
    </row>
    <row r="855">
      <c r="A855" t="str">
        <v>汽</v>
      </c>
      <c r="B855">
        <v>7</v>
      </c>
      <c r="C855" t="b">
        <v>1</v>
      </c>
      <c r="D855" t="str">
        <v>キ</v>
      </c>
      <c r="E855" t="str">
        <v>ゆげ</v>
      </c>
      <c r="F855">
        <v>0</v>
      </c>
      <c r="G855" t="str">
        <v>ゆげ。水蒸気。 かれる。水が枯れる。</v>
      </c>
      <c r="I855">
        <v>10</v>
      </c>
      <c r="J855">
        <v>50</v>
      </c>
      <c r="K855">
        <v>50</v>
      </c>
      <c r="L855">
        <v>1</v>
      </c>
    </row>
    <row r="856">
      <c r="A856" t="str">
        <v>麦</v>
      </c>
      <c r="B856">
        <v>7</v>
      </c>
      <c r="C856" t="b">
        <v>1</v>
      </c>
      <c r="D856" t="str">
        <v>バク</v>
      </c>
      <c r="E856" t="str">
        <v>むぎ</v>
      </c>
      <c r="F856">
        <v>0</v>
      </c>
      <c r="G856" t="str">
        <v>むぎ。イネ科の穀物。五穀の一つ。</v>
      </c>
      <c r="I856">
        <v>10</v>
      </c>
      <c r="J856">
        <v>50</v>
      </c>
      <c r="K856">
        <v>55</v>
      </c>
      <c r="L856">
        <v>0</v>
      </c>
      <c r="M856">
        <f>VLOOKUP(A856,[1]kanji_data!$A:$N,14,FALSE)</f>
        <v>0</v>
      </c>
    </row>
    <row r="857">
      <c r="A857" t="str">
        <v>急</v>
      </c>
      <c r="B857">
        <v>9</v>
      </c>
      <c r="C857" t="b">
        <v>1</v>
      </c>
      <c r="D857" t="str">
        <v>キュウ</v>
      </c>
      <c r="E857" t="str">
        <v>いそ（ぐ） せ（く）</v>
      </c>
      <c r="F857">
        <v>0</v>
      </c>
      <c r="G857" t="str">
        <v>いそぐ。せく。進行がはやい。また、進行をはやめる。 せまる。さしせまる。余裕がない。 にわかに。たちまち。突然。 傾斜の程度がはなはだしい。 きゅう。雅楽の曲を構成する三つの部分のうちのひとつ。最後の速い部分。</v>
      </c>
      <c r="H857" t="str">
        <v>#品格</v>
      </c>
      <c r="I857">
        <v>10</v>
      </c>
      <c r="J857">
        <v>85</v>
      </c>
      <c r="K857">
        <v>30</v>
      </c>
      <c r="L857">
        <v>1</v>
      </c>
    </row>
    <row r="858">
      <c r="A858" t="str">
        <v>決</v>
      </c>
      <c r="B858">
        <v>7</v>
      </c>
      <c r="C858" t="b">
        <v>1</v>
      </c>
      <c r="D858" t="str">
        <v>ケツ</v>
      </c>
      <c r="E858" t="str">
        <v>き（まる） き（める）</v>
      </c>
      <c r="F858">
        <v>0</v>
      </c>
      <c r="G858" t="str">
        <v>きめる。きまる。きっぱり定める。断定する。 きる。きれる。さける。堤防がこわれる。 あふれる。あふれでる。 えぐる。抉り出す。傷つける。 わかれる。 必ず。きっと。確かに。ゆめゆめ。 ゆがけ。弓のつるを引くときの用具。</v>
      </c>
      <c r="I858">
        <v>10</v>
      </c>
      <c r="J858">
        <v>85</v>
      </c>
      <c r="K858">
        <v>30</v>
      </c>
      <c r="L858">
        <v>0</v>
      </c>
      <c r="M858">
        <f>VLOOKUP(A858,[1]kanji_data!$A:$N,14,FALSE)</f>
        <v>0</v>
      </c>
    </row>
    <row r="859">
      <c r="A859" t="str">
        <v>豆</v>
      </c>
      <c r="B859">
        <v>7</v>
      </c>
      <c r="C859" t="b">
        <v>1</v>
      </c>
      <c r="D859" t="str">
        <v>ズ トウ</v>
      </c>
      <c r="E859" t="str">
        <v>まめ たかつき</v>
      </c>
      <c r="F859">
        <v>0</v>
      </c>
      <c r="G859" t="str">
        <v>まめ。穀物の一種。 たかつき。供え物をのせる器。 春秋時代の量の単位。 皮膚にできる小さな水ぶくれ。 小さなもののたとえ。</v>
      </c>
      <c r="I859">
        <v>10</v>
      </c>
      <c r="J859">
        <v>60</v>
      </c>
      <c r="K859">
        <v>50</v>
      </c>
      <c r="L859">
        <v>0</v>
      </c>
      <c r="M859">
        <f>VLOOKUP(A859,[1]kanji_data!$A:$N,14,FALSE)</f>
        <v>0</v>
      </c>
    </row>
    <row r="860">
      <c r="A860" t="str">
        <v>囲</v>
      </c>
      <c r="B860">
        <v>7</v>
      </c>
      <c r="C860" t="b">
        <v>1</v>
      </c>
      <c r="D860" t="str">
        <v>イ</v>
      </c>
      <c r="E860" t="str">
        <v>かこ（う） かこ（む）</v>
      </c>
      <c r="F860">
        <v>0</v>
      </c>
      <c r="G860" t="str">
        <v>かこう。かこむ。とりまく。周りをかこむ。 かこい。かこみ。周りをかこむもの。 まわり。ものの周り。 区切り。境界。</v>
      </c>
      <c r="I860">
        <v>10</v>
      </c>
      <c r="J860">
        <v>80</v>
      </c>
      <c r="K860">
        <v>45</v>
      </c>
      <c r="L860">
        <v>0</v>
      </c>
      <c r="M860">
        <f>VLOOKUP(A860,[1]kanji_data!$A:$N,14,FALSE)</f>
        <v>0</v>
      </c>
    </row>
    <row r="861">
      <c r="A861" t="str">
        <v>研</v>
      </c>
      <c r="B861">
        <v>9</v>
      </c>
      <c r="C861" t="b">
        <v>1</v>
      </c>
      <c r="D861" t="str">
        <v>ケン ゲン</v>
      </c>
      <c r="E861" t="str">
        <v>と（ぐ） みが（く）</v>
      </c>
      <c r="F861" t="str">
        <v>あき かず きし きよ よし</v>
      </c>
      <c r="G861" t="str">
        <v>とぐ。みがく。つとめはげむ。 道理をきわめる。深く調べる。 すずり（墨を水で磨るのに用いる道具）。</v>
      </c>
      <c r="H861" t="str">
        <v>#繁栄</v>
      </c>
      <c r="I861">
        <v>90</v>
      </c>
      <c r="J861">
        <v>70</v>
      </c>
      <c r="K861">
        <v>50</v>
      </c>
      <c r="L861">
        <v>0</v>
      </c>
      <c r="M861">
        <f>VLOOKUP(A861,[1]kanji_data!$A:$N,14,FALSE)</f>
        <v>0</v>
      </c>
    </row>
    <row r="862">
      <c r="A862" t="str">
        <v>私</v>
      </c>
      <c r="B862">
        <v>7</v>
      </c>
      <c r="C862" t="b">
        <v>1</v>
      </c>
      <c r="D862" t="str">
        <v>シ</v>
      </c>
      <c r="E862" t="str">
        <v>わたくし わたし ひそ（か）</v>
      </c>
      <c r="F862">
        <v>0</v>
      </c>
      <c r="G862" t="str">
        <v>わたし。わたくし。自分。 わたくしする。自分のものとする。自分の勝手にする。 ひそか。ひそかに。こっそりと。秘密に。 気に入る。ひいきする。 みうち。家族。また、姉妹の夫。 わたし。わたくし。自分のこと。一人称の代名詞。</v>
      </c>
      <c r="I862">
        <v>10</v>
      </c>
      <c r="J862">
        <v>60</v>
      </c>
      <c r="K862">
        <v>55</v>
      </c>
      <c r="L862">
        <v>0</v>
      </c>
      <c r="M862">
        <f>VLOOKUP(A862,[1]kanji_data!$A:$N,14,FALSE)</f>
        <v>0</v>
      </c>
    </row>
    <row r="863">
      <c r="A863" t="str">
        <v>持</v>
      </c>
      <c r="B863">
        <v>9</v>
      </c>
      <c r="C863" t="b">
        <v>1</v>
      </c>
      <c r="D863" t="str">
        <v>ジ チ</v>
      </c>
      <c r="E863" t="str">
        <v>も（つ）</v>
      </c>
      <c r="F863">
        <v>0</v>
      </c>
      <c r="G863" t="str">
        <v>もつ。手にとる。身につける。 たもつ。まもる。ささえる。</v>
      </c>
      <c r="H863" t="str">
        <v>#勇気</v>
      </c>
      <c r="I863">
        <v>10</v>
      </c>
      <c r="J863">
        <v>55</v>
      </c>
      <c r="K863">
        <v>55</v>
      </c>
      <c r="L863">
        <v>0</v>
      </c>
      <c r="M863">
        <f>VLOOKUP(A863,[1]kanji_data!$A:$N,14,FALSE)</f>
        <v>0</v>
      </c>
    </row>
    <row r="864">
      <c r="A864" t="str">
        <v>吹</v>
      </c>
      <c r="B864">
        <v>7</v>
      </c>
      <c r="C864" t="b">
        <v>1</v>
      </c>
      <c r="D864" t="str">
        <v>スイ</v>
      </c>
      <c r="E864" t="str">
        <v>ふ（く）</v>
      </c>
      <c r="F864" t="str">
        <v>かぜ ふき ふく</v>
      </c>
      <c r="G864" t="str">
        <v>ふく。口をとがらせて息をはく。 ふく。楽器をふいて鳴らす。 ふく。風がふく。 吹奏楽器。ふき鳴らす楽器。 ふく。金属をとかして加工する。</v>
      </c>
      <c r="I864">
        <v>20</v>
      </c>
      <c r="J864">
        <v>50</v>
      </c>
      <c r="K864">
        <v>50</v>
      </c>
      <c r="L864">
        <v>1</v>
      </c>
    </row>
    <row r="865">
      <c r="A865" t="str">
        <v>重</v>
      </c>
      <c r="B865">
        <v>9</v>
      </c>
      <c r="C865" t="b">
        <v>1</v>
      </c>
      <c r="D865" t="str">
        <v>ジュウ チョウ</v>
      </c>
      <c r="E865" t="str">
        <v>おも（い） かさ（なる） かさ（ねる） え おも（んじる）</v>
      </c>
      <c r="F865" t="str">
        <v>あつ あつし おもし かさぬ かず かたし しげ しげし しげる ただ ただし のぶ ふさ</v>
      </c>
      <c r="G865" t="str">
        <v>おもい。おもさ。 どっしりと。おもおもしい。おごそか。 はなはだしい。ひどい。 大切な。大切である。 おもんじる。大切にする。とうとぶ。たっとぶ。 おもさ。おもみ。おもいもの。 にもつ。おもに。 はばかる。おそれる。 かさねる。くりかえす。 かさねて。ふたたび。 え。層をなすものを数えることば。</v>
      </c>
      <c r="H865" t="str">
        <v>#品格 #慈愛</v>
      </c>
      <c r="I865">
        <v>65</v>
      </c>
      <c r="J865">
        <v>55</v>
      </c>
      <c r="K865">
        <v>60</v>
      </c>
      <c r="L865">
        <v>0</v>
      </c>
      <c r="M865">
        <f>VLOOKUP(A865,[1]kanji_data!$A:$N,14,FALSE)</f>
        <v>0</v>
      </c>
    </row>
    <row r="866">
      <c r="A866" t="str">
        <v>昭</v>
      </c>
      <c r="B866">
        <v>9</v>
      </c>
      <c r="C866" t="b">
        <v>1</v>
      </c>
      <c r="D866" t="str">
        <v>ショウ</v>
      </c>
      <c r="E866" t="str">
        <v>あき（らか）</v>
      </c>
      <c r="F866" t="str">
        <v>あきら いか てる</v>
      </c>
      <c r="G866" t="str">
        <v>明らか。明るい。はっきりしている。</v>
      </c>
      <c r="H866" t="str">
        <v>#天空</v>
      </c>
      <c r="I866">
        <v>100</v>
      </c>
      <c r="J866">
        <v>65</v>
      </c>
      <c r="K866">
        <v>60</v>
      </c>
      <c r="L866">
        <v>0</v>
      </c>
      <c r="M866">
        <f>VLOOKUP(A866,[1]kanji_data!$A:$N,14,FALSE)</f>
        <v>0</v>
      </c>
    </row>
    <row r="867">
      <c r="A867" t="str">
        <v>乗</v>
      </c>
      <c r="B867">
        <v>9</v>
      </c>
      <c r="C867" t="b">
        <v>1</v>
      </c>
      <c r="D867" t="str">
        <v>ジョウ ショウ</v>
      </c>
      <c r="E867" t="str">
        <v>の（せる） の（る）</v>
      </c>
      <c r="F867" t="str">
        <v>あき しげ のぼる のり</v>
      </c>
      <c r="G867" t="str">
        <v>のる。のせる。乗り物などにのる。 のる。つけこむ。機会を利用する。 掛け算。掛け算をする。掛け合わせる。 兵車と兵の数を数えることば。 馬四頭。四頭立ての馬車。また、四つでひとそろいになるもの。 記録。史書。歴史書。 仏教で衆生を悟りの世界に導く教えの種別。</v>
      </c>
      <c r="H867" t="str">
        <v>#知性</v>
      </c>
      <c r="I867">
        <v>5</v>
      </c>
      <c r="J867">
        <v>100</v>
      </c>
      <c r="K867">
        <v>25</v>
      </c>
      <c r="L867">
        <v>0</v>
      </c>
      <c r="M867">
        <f>VLOOKUP(A867,[1]kanji_data!$A:$N,14,FALSE)</f>
        <v>0</v>
      </c>
    </row>
    <row r="868">
      <c r="A868" t="str">
        <v>神</v>
      </c>
      <c r="B868">
        <v>9</v>
      </c>
      <c r="C868" t="b">
        <v>1</v>
      </c>
      <c r="D868" t="str">
        <v>シン ジン</v>
      </c>
      <c r="E868" t="str">
        <v>かみ かん こう たましい</v>
      </c>
      <c r="F868">
        <v>0</v>
      </c>
      <c r="G868" t="str">
        <v>かみ。天のかみ。あまつかみ。万物の創造主。 人知でははかりしれない不思議なはたらき。霊的なはたらき。 たましい。霊魂。こころ。 きわめてすぐれていること。きわめて尊いこと。</v>
      </c>
      <c r="H868" t="str">
        <v>#品格 #心・志</v>
      </c>
      <c r="I868">
        <v>50</v>
      </c>
      <c r="J868">
        <v>50</v>
      </c>
      <c r="K868">
        <v>75</v>
      </c>
      <c r="L868">
        <v>0</v>
      </c>
      <c r="M868">
        <f>VLOOKUP(A868,[1]kanji_data!$A:$N,14,FALSE)</f>
        <v>0</v>
      </c>
    </row>
    <row r="869">
      <c r="A869" t="str">
        <v>相</v>
      </c>
      <c r="B869">
        <v>9</v>
      </c>
      <c r="C869" t="b">
        <v>1</v>
      </c>
      <c r="D869" t="str">
        <v>ソウ ショウ</v>
      </c>
      <c r="E869" t="str">
        <v>あい ありさま さが たす（ける）</v>
      </c>
      <c r="F869" t="str">
        <v>あう すけ たすく とも まさ み</v>
      </c>
      <c r="G869" t="str">
        <v>見る。よく見る。くわしく見る。うらなう。 かたち。ありさま。すがた。様子。 たすけ。たすける。補佐する。 あい。互いに。ともに。こもごも。かわるがわる。 あい。仲間。例：相棒 あい。動詞の前につけ、語調を強めるのに使う語。例：相変わらず 相済みません</v>
      </c>
      <c r="H869" t="str">
        <v>#慈愛 #調和</v>
      </c>
      <c r="I869">
        <v>60</v>
      </c>
      <c r="J869">
        <v>45</v>
      </c>
      <c r="K869">
        <v>70</v>
      </c>
      <c r="L869">
        <v>0</v>
      </c>
      <c r="M869">
        <f>VLOOKUP(A869,[1]kanji_data!$A:$N,14,FALSE)</f>
        <v>0</v>
      </c>
    </row>
    <row r="870">
      <c r="A870" t="str">
        <v>抄</v>
      </c>
      <c r="B870">
        <v>7</v>
      </c>
      <c r="C870" t="b">
        <v>1</v>
      </c>
      <c r="D870" t="str">
        <v>ショウ ソウ</v>
      </c>
      <c r="E870" t="str">
        <v>うつ（す） かすめ（る） す（く） すく（う）</v>
      </c>
      <c r="F870">
        <v>0</v>
      </c>
      <c r="G870" t="str">
        <v>かすめる。かすめとる。奪いとる。 すくう。すくいとる。 うつす。かきうつす。うつしとる。 抜き書き。抜き書きする。 すく。紙をすく。紙すき。 注釈書。また、注釈をつける。</v>
      </c>
      <c r="I870">
        <v>10</v>
      </c>
      <c r="J870">
        <v>55</v>
      </c>
      <c r="K870">
        <v>55</v>
      </c>
      <c r="L870">
        <v>1</v>
      </c>
    </row>
    <row r="871">
      <c r="A871" t="str">
        <v>但</v>
      </c>
      <c r="B871">
        <v>7</v>
      </c>
      <c r="C871" t="b">
        <v>1</v>
      </c>
      <c r="D871" t="str">
        <v>タン ダン</v>
      </c>
      <c r="E871" t="str">
        <v>ただ（し） ただ</v>
      </c>
      <c r="F871">
        <v>0</v>
      </c>
      <c r="G871" t="str">
        <v>ただし。しかし。条件や例外を付け加える意をあらわす。 「ただ～のみ」と読み、限定の意を表す。</v>
      </c>
      <c r="I871">
        <v>10</v>
      </c>
      <c r="J871">
        <v>55</v>
      </c>
      <c r="K871">
        <v>55</v>
      </c>
      <c r="L871">
        <v>1</v>
      </c>
    </row>
    <row r="872">
      <c r="A872" t="str">
        <v>廷</v>
      </c>
      <c r="B872">
        <v>7</v>
      </c>
      <c r="C872" t="b">
        <v>1</v>
      </c>
      <c r="D872" t="str">
        <v>テイ</v>
      </c>
      <c r="E872" t="str">
        <v>にわ</v>
      </c>
      <c r="F872">
        <v>0</v>
      </c>
      <c r="G872" t="str">
        <v>政治を行う場所。例：朝廷 役所。 にわ。＝庭</v>
      </c>
      <c r="I872">
        <v>10</v>
      </c>
      <c r="J872">
        <v>60</v>
      </c>
      <c r="K872">
        <v>50</v>
      </c>
      <c r="L872">
        <v>0</v>
      </c>
      <c r="M872">
        <f>VLOOKUP(A872,[1]kanji_data!$A:$N,14,FALSE)</f>
        <v>0</v>
      </c>
    </row>
    <row r="873">
      <c r="A873" t="str">
        <v>柱</v>
      </c>
      <c r="B873">
        <v>9</v>
      </c>
      <c r="C873" t="b">
        <v>1</v>
      </c>
      <c r="D873" t="str">
        <v>チュウ</v>
      </c>
      <c r="E873" t="str">
        <v>はしら</v>
      </c>
      <c r="F873">
        <v>0</v>
      </c>
      <c r="G873" t="str">
        <v>はしら。屋根を支える材木。また、はしらのように物を支えるもの。中心となるもの。 じ。ことじ。琴の弦を支え、位置を変えることで音を調節するもの。 はしら。神仏・霊・高貴な人などを数えることば。</v>
      </c>
      <c r="H873" t="str">
        <v>#品格 #自然</v>
      </c>
      <c r="I873">
        <v>10</v>
      </c>
      <c r="J873">
        <v>100</v>
      </c>
      <c r="K873">
        <v>25</v>
      </c>
      <c r="L873">
        <v>0</v>
      </c>
      <c r="M873">
        <f>VLOOKUP(A873,[1]kanji_data!$A:$N,14,FALSE)</f>
        <v>0</v>
      </c>
    </row>
    <row r="874">
      <c r="A874" t="str">
        <v>追</v>
      </c>
      <c r="B874">
        <v>9</v>
      </c>
      <c r="C874" t="b">
        <v>1</v>
      </c>
      <c r="D874" t="str">
        <v>ツイ</v>
      </c>
      <c r="E874" t="str">
        <v>お（う）</v>
      </c>
      <c r="F874">
        <v>0</v>
      </c>
      <c r="G874" t="str">
        <v>おう。あとをおう。おいかける。おいまわす。 おいはらう。おいのける。 従う。あとをしたう。あとについて行く。 付け加える。おぎなう。 過去にさかのぼる。過去を思い返す。 みがく。玉をみがく。彫刻。 釣鐘をかける紐。竜頭。</v>
      </c>
      <c r="H874" t="str">
        <v>#心・志 #繁栄</v>
      </c>
      <c r="I874">
        <v>10</v>
      </c>
      <c r="J874">
        <v>65</v>
      </c>
      <c r="K874">
        <v>45</v>
      </c>
      <c r="L874">
        <v>1</v>
      </c>
    </row>
    <row r="875">
      <c r="A875" t="str">
        <v>度</v>
      </c>
      <c r="B875">
        <v>9</v>
      </c>
      <c r="C875" t="b">
        <v>1</v>
      </c>
      <c r="D875" t="str">
        <v>ド タク ト</v>
      </c>
      <c r="E875" t="str">
        <v>たび のり はか（る） めもり わた（る）</v>
      </c>
      <c r="F875">
        <v>0</v>
      </c>
      <c r="G875" t="str">
        <v>ものさし。長さをはかるための基準。 のり。決まり。規則。法則。 たび。回数。 めもり。角度や温度などの程度を示すもの。 心の広さ。器の大きさ。 わたる。わたす。＝渡 出家する。仏門にはいる。 はかる。長さをはかる。みつもる。 はかる。おしはかる。推測する。 たい。「～したい」と願い望む意を表わす助動詞。</v>
      </c>
      <c r="H875" t="str">
        <v>#品格</v>
      </c>
      <c r="I875">
        <v>10</v>
      </c>
      <c r="J875">
        <v>40</v>
      </c>
      <c r="K875">
        <v>80</v>
      </c>
      <c r="L875">
        <v>0</v>
      </c>
      <c r="M875">
        <f>VLOOKUP(A875,[1]kanji_data!$A:$N,14,FALSE)</f>
        <v>0</v>
      </c>
    </row>
    <row r="876">
      <c r="A876" t="str">
        <v>畑</v>
      </c>
      <c r="B876">
        <v>9</v>
      </c>
      <c r="C876" t="b">
        <v>1</v>
      </c>
      <c r="D876">
        <v>0</v>
      </c>
      <c r="E876" t="str">
        <v>はた はたけ</v>
      </c>
      <c r="F876">
        <v>0</v>
      </c>
      <c r="G876" t="str">
        <v>はた。はたけ。農作物を育てる場所。</v>
      </c>
      <c r="H876" t="str">
        <v>#天空</v>
      </c>
      <c r="I876">
        <v>10</v>
      </c>
      <c r="J876">
        <v>65</v>
      </c>
      <c r="K876">
        <v>45</v>
      </c>
      <c r="L876">
        <v>0</v>
      </c>
      <c r="M876">
        <f>VLOOKUP(A876,[1]kanji_data!$A:$N,14,FALSE)</f>
        <v>0</v>
      </c>
    </row>
    <row r="877">
      <c r="A877" t="str">
        <v>発</v>
      </c>
      <c r="B877">
        <v>9</v>
      </c>
      <c r="C877" t="b">
        <v>1</v>
      </c>
      <c r="D877" t="str">
        <v>ハツ ホツ</v>
      </c>
      <c r="E877" t="str">
        <v>あば（く） た（つ） はな（つ） ひら（く）</v>
      </c>
      <c r="F877">
        <v>0</v>
      </c>
      <c r="G877" t="str">
        <v>はなつ。矢を放つ。鉄砲を撃つ。 あばく。明らかにする。あらわす。あらわれる。 たつ。出かける。出発する。進む。 ひらく。あける。 のびる。のばす。盛んになる。成長する。 つかわす。 おこる。おこす。やる。生じる。致す。</v>
      </c>
      <c r="H877" t="str">
        <v>#知性</v>
      </c>
      <c r="I877">
        <v>10</v>
      </c>
      <c r="J877">
        <v>100</v>
      </c>
      <c r="K877">
        <v>25</v>
      </c>
      <c r="L877">
        <v>0</v>
      </c>
      <c r="M877">
        <f>VLOOKUP(A877,[1]kanji_data!$A:$N,14,FALSE)</f>
        <v>0</v>
      </c>
    </row>
    <row r="878">
      <c r="A878" t="str">
        <v>美</v>
      </c>
      <c r="B878">
        <v>9</v>
      </c>
      <c r="C878" t="b">
        <v>1</v>
      </c>
      <c r="D878" t="str">
        <v>ビ ミ</v>
      </c>
      <c r="E878" t="str">
        <v>うつく（しい） ほ（める） よ（い）</v>
      </c>
      <c r="F878" t="str">
        <v>きよし とみ はる ふみ みつ よし よしみ</v>
      </c>
      <c r="G878" t="str">
        <v>美しい。美しさ。うるわしい。立派な。 よくする。立派にする。 美味しい。美味い。 ほめる。たたえる。よみする。</v>
      </c>
      <c r="H878" t="str">
        <v>#品格 #花・彩</v>
      </c>
      <c r="I878">
        <v>100</v>
      </c>
      <c r="J878">
        <v>60</v>
      </c>
      <c r="K878">
        <v>70</v>
      </c>
      <c r="L878">
        <v>0</v>
      </c>
      <c r="M878">
        <f>VLOOKUP(A878,[1]kanji_data!$A:$N,14,FALSE)</f>
        <v>0</v>
      </c>
    </row>
    <row r="879">
      <c r="A879" t="str">
        <v>沃</v>
      </c>
      <c r="B879">
        <v>7</v>
      </c>
      <c r="C879" t="b">
        <v>1</v>
      </c>
      <c r="D879" t="str">
        <v>ヨク オク</v>
      </c>
      <c r="E879" t="str">
        <v>こ（える） そそ（ぐ）</v>
      </c>
      <c r="F879">
        <v>0</v>
      </c>
      <c r="G879" t="str">
        <v>そそぐ。水をかける。水を流し込む。 ひたす。うるおす。みずみずしい。 こえる。土地が肥えている。 化学元素の一つ。沃素。</v>
      </c>
      <c r="I879">
        <v>10</v>
      </c>
      <c r="J879">
        <v>55</v>
      </c>
      <c r="K879">
        <v>60</v>
      </c>
      <c r="L879">
        <v>0</v>
      </c>
      <c r="M879">
        <f>VLOOKUP(A879,[1]kanji_data!$A:$N,14,FALSE)</f>
        <v>0</v>
      </c>
    </row>
    <row r="880">
      <c r="A880" t="str">
        <v>品</v>
      </c>
      <c r="B880">
        <v>9</v>
      </c>
      <c r="C880" t="b">
        <v>1</v>
      </c>
      <c r="D880" t="str">
        <v>ヒン ホン</v>
      </c>
      <c r="E880" t="str">
        <v>しな</v>
      </c>
      <c r="F880">
        <v>0</v>
      </c>
      <c r="G880" t="str">
        <v>しな。しなもの。いろいろな物。例：物品 くらい。等級。位階。 人がら。人格。人の性質。 等級をつける。評価する。良し悪しを判断する。 たぐい。種類。また、物事の種類を数えることば。 きまり。制度。基準。法則。 仏典のなかで、章・編などの一まとまりのこと。 ほん。昔の律令制で親王に賜った位。品位は一品から四品まである。</v>
      </c>
      <c r="H880" t="str">
        <v>#品格 #知性</v>
      </c>
      <c r="I880">
        <v>10</v>
      </c>
      <c r="J880">
        <v>55</v>
      </c>
      <c r="K880">
        <v>65</v>
      </c>
      <c r="L880">
        <v>0</v>
      </c>
      <c r="M880">
        <f>VLOOKUP(A880,[1]kanji_data!$A:$N,14,FALSE)</f>
        <v>0</v>
      </c>
    </row>
    <row r="881">
      <c r="A881" t="str">
        <v>酉</v>
      </c>
      <c r="B881">
        <v>7</v>
      </c>
      <c r="C881" t="b">
        <v>0</v>
      </c>
      <c r="D881" t="str">
        <v>ユウ</v>
      </c>
      <c r="E881" t="str">
        <v>とり ひよみのとり</v>
      </c>
      <c r="F881">
        <v>0</v>
      </c>
      <c r="G881" t="str">
        <v>とり。ひよみのとり。十二支の十番目。方位では西。時刻では午後六時、および前後の二時間。動物では鶏（とり）。 酒。酒樽。酒つぼ。</v>
      </c>
      <c r="I881">
        <v>10</v>
      </c>
      <c r="J881">
        <v>50</v>
      </c>
      <c r="K881">
        <v>55</v>
      </c>
      <c r="L881">
        <v>0</v>
      </c>
      <c r="M881">
        <f>VLOOKUP(A881,[1]kanji_data!$A:$N,14,FALSE)</f>
        <v>0</v>
      </c>
    </row>
    <row r="882">
      <c r="A882" t="str">
        <v>画</v>
      </c>
      <c r="B882">
        <v>8</v>
      </c>
      <c r="C882" t="b">
        <v>1</v>
      </c>
      <c r="D882" t="str">
        <v>カク ガ</v>
      </c>
      <c r="E882" t="str">
        <v>え えが（く） かぎ（る） か（く） はか（る）</v>
      </c>
      <c r="F882">
        <v>0</v>
      </c>
      <c r="G882" t="str">
        <v>かぎる。くぎる。さかい。さかいをつける。 はかる。はかりごと。考えをめぐらす。 漢字を構成する点や線を数えることば。 絵（え）。 えがく。絵をかく。</v>
      </c>
      <c r="I882">
        <v>10</v>
      </c>
      <c r="J882">
        <v>55</v>
      </c>
      <c r="K882">
        <v>55</v>
      </c>
      <c r="L882">
        <v>0</v>
      </c>
      <c r="M882">
        <f>VLOOKUP(A882,[1]kanji_data!$A:$N,14,FALSE)</f>
        <v>0</v>
      </c>
    </row>
    <row r="883">
      <c r="A883" t="str">
        <v>洋</v>
      </c>
      <c r="B883">
        <v>9</v>
      </c>
      <c r="C883" t="b">
        <v>1</v>
      </c>
      <c r="D883" t="str">
        <v>ヨウ</v>
      </c>
      <c r="E883" t="str">
        <v>うみ なだ ひろ（い）</v>
      </c>
      <c r="F883" t="str">
        <v>きよ なみ ひろ ひろし み</v>
      </c>
      <c r="G883" t="str">
        <v>うみ。なだ。おおうみ。大きな海。広い海。 広く大きいさま。いっぱいに広がるさま。満ち溢れるさま。 世界を東西に大きく二分したそれぞれ。東洋。西洋。</v>
      </c>
      <c r="H883" t="str">
        <v>#海・水 #繁栄</v>
      </c>
      <c r="I883">
        <v>100</v>
      </c>
      <c r="J883">
        <v>80</v>
      </c>
      <c r="K883">
        <v>50</v>
      </c>
      <c r="L883">
        <v>0</v>
      </c>
      <c r="M883">
        <f>VLOOKUP(A883,[1]kanji_data!$A:$N,14,FALSE)</f>
        <v>0</v>
      </c>
    </row>
    <row r="884">
      <c r="A884" t="str">
        <v>泳</v>
      </c>
      <c r="B884">
        <v>8</v>
      </c>
      <c r="C884" t="b">
        <v>1</v>
      </c>
      <c r="D884" t="str">
        <v>エイ</v>
      </c>
      <c r="E884" t="str">
        <v>およ（ぐ）</v>
      </c>
      <c r="F884">
        <v>0</v>
      </c>
      <c r="G884" t="str">
        <v>およぎ。およぐ。水中をおよぐ。</v>
      </c>
      <c r="I884">
        <v>10</v>
      </c>
      <c r="J884">
        <v>85</v>
      </c>
      <c r="K884">
        <v>30</v>
      </c>
      <c r="L884">
        <v>0</v>
      </c>
      <c r="M884">
        <f>VLOOKUP(A884,[1]kanji_data!$A:$N,14,FALSE)</f>
        <v>0</v>
      </c>
    </row>
    <row r="885">
      <c r="A885" t="str">
        <v>栄</v>
      </c>
      <c r="B885">
        <v>9</v>
      </c>
      <c r="C885" t="b">
        <v>1</v>
      </c>
      <c r="D885" t="str">
        <v>エイ</v>
      </c>
      <c r="E885" t="str">
        <v>さか（える） は（え） は（える） は（やす）</v>
      </c>
      <c r="F885" t="str">
        <v>え さかえ しげ たか はる ひで よし</v>
      </c>
      <c r="G885" t="str">
        <v>さかえる。さかえ。きらびやかで美しい花のように、華やかにさかえる。 はえ。ほまれ。名誉。 かがやく。かがやかしい。</v>
      </c>
      <c r="H885" t="str">
        <v>#品格 #天空 #繁栄 #花・彩</v>
      </c>
      <c r="I885">
        <v>100</v>
      </c>
      <c r="J885">
        <v>60</v>
      </c>
      <c r="K885">
        <v>55</v>
      </c>
      <c r="L885">
        <v>0</v>
      </c>
      <c r="M885">
        <f>VLOOKUP(A885,[1]kanji_data!$A:$N,14,FALSE)</f>
        <v>0</v>
      </c>
    </row>
    <row r="886">
      <c r="A886" t="str">
        <v>紀</v>
      </c>
      <c r="B886">
        <v>9</v>
      </c>
      <c r="C886" t="b">
        <v>1</v>
      </c>
      <c r="D886" t="str">
        <v>キ</v>
      </c>
      <c r="E886" t="str">
        <v>おさ（める） しる（す） のり</v>
      </c>
      <c r="F886" t="str">
        <v>あき かず つぐ とし はじめ もと よし</v>
      </c>
      <c r="G886" t="str">
        <v>おさめる。秩序を正す。整理する。 しるす。書く。記録する。 のり。おきて。きまり。すじみち。 いとぐち。 年代。とし。歳月。 き。書物「日本書紀」の略。</v>
      </c>
      <c r="H886" t="str">
        <v>#品格 #天空</v>
      </c>
      <c r="I886">
        <v>90</v>
      </c>
      <c r="J886">
        <v>65</v>
      </c>
      <c r="K886">
        <v>55</v>
      </c>
      <c r="L886">
        <v>0</v>
      </c>
      <c r="M886">
        <f>VLOOKUP(A886,[1]kanji_data!$A:$N,14,FALSE)</f>
        <v>0</v>
      </c>
    </row>
    <row r="887">
      <c r="A887" t="str">
        <v>居</v>
      </c>
      <c r="B887">
        <v>8</v>
      </c>
      <c r="C887" t="b">
        <v>1</v>
      </c>
      <c r="D887" t="str">
        <v>キョ コ キ</v>
      </c>
      <c r="E887" t="str">
        <v>い（る） お（る） お（く）</v>
      </c>
      <c r="F887">
        <v>0</v>
      </c>
      <c r="G887" t="str">
        <v>いる。おる。その場所にいる。身をおく。住む。 おく。住まわせる。 おく。とりおく。たくわえる。 や。疑問や呼びかけを表す助字。</v>
      </c>
      <c r="I887">
        <v>10</v>
      </c>
      <c r="J887">
        <v>55</v>
      </c>
      <c r="K887">
        <v>55</v>
      </c>
      <c r="L887">
        <v>0</v>
      </c>
      <c r="M887">
        <f>VLOOKUP(A887,[1]kanji_data!$A:$N,14,FALSE)</f>
        <v>0</v>
      </c>
    </row>
    <row r="888">
      <c r="A888" t="str">
        <v>性</v>
      </c>
      <c r="B888">
        <v>8</v>
      </c>
      <c r="C888" t="b">
        <v>1</v>
      </c>
      <c r="D888" t="str">
        <v>セイ ショウ</v>
      </c>
      <c r="E888" t="str">
        <v>さが たち</v>
      </c>
      <c r="F888">
        <v>0</v>
      </c>
      <c r="G888" t="str">
        <v>さが。たち。生まれたときから備わっている性質。本性。 物にそなわる特徴。傾向。 男と女の区別。</v>
      </c>
      <c r="I888">
        <v>10</v>
      </c>
      <c r="J888">
        <v>50</v>
      </c>
      <c r="K888">
        <v>55</v>
      </c>
      <c r="L888">
        <v>0</v>
      </c>
      <c r="M888">
        <f>VLOOKUP(A888,[1]kanji_data!$A:$N,14,FALSE)</f>
        <v>0</v>
      </c>
    </row>
    <row r="889">
      <c r="A889" t="str">
        <v>建</v>
      </c>
      <c r="B889">
        <v>9</v>
      </c>
      <c r="C889" t="b">
        <v>1</v>
      </c>
      <c r="D889" t="str">
        <v>ケン コン</v>
      </c>
      <c r="E889" t="str">
        <v>た（つ） た（てる） くつがえ（す）</v>
      </c>
      <c r="F889" t="str">
        <v>たけ たけし たける たつ たつる たて</v>
      </c>
      <c r="G889" t="str">
        <v>たてる。定める。 たてる。おこす。はじめる。 たてる。たつ。建物をたてる。建物がたつ。 申し立てる。意見を出す。 北斗七星の柄が指すある方向（十二支のいずれかの方向）。陰暦一月は「建寅（寅の方向）」、二月は「建卯（卯の方向）」など。 くつがえす。こぼす。</v>
      </c>
      <c r="H889" t="str">
        <v>#天空</v>
      </c>
      <c r="I889">
        <v>90</v>
      </c>
      <c r="J889">
        <v>55</v>
      </c>
      <c r="K889">
        <v>60</v>
      </c>
      <c r="L889">
        <v>0</v>
      </c>
      <c r="M889">
        <f>VLOOKUP(A889,[1]kanji_data!$A:$N,14,FALSE)</f>
        <v>0</v>
      </c>
    </row>
    <row r="890">
      <c r="A890" t="str">
        <v>律</v>
      </c>
      <c r="B890">
        <v>9</v>
      </c>
      <c r="C890" t="b">
        <v>1</v>
      </c>
      <c r="D890" t="str">
        <v>リツ リチ</v>
      </c>
      <c r="E890" t="str">
        <v>のっと（る） のり</v>
      </c>
      <c r="F890" t="str">
        <v>おと ただし ただす たて</v>
      </c>
      <c r="G890" t="str">
        <v>のり。決まり。法則。規則。 のっとる。決まりに従う。手本にする。 音階。また、音楽の調子。 漢詩における詩型の一つ。 仏教の僧侶の守るべきいましめ。</v>
      </c>
      <c r="H890" t="str">
        <v>#品格 #心・志</v>
      </c>
      <c r="I890">
        <v>95</v>
      </c>
      <c r="J890">
        <v>70</v>
      </c>
      <c r="K890">
        <v>60</v>
      </c>
      <c r="L890">
        <v>0</v>
      </c>
      <c r="M890">
        <f>VLOOKUP(A890,[1]kanji_data!$A:$N,14,FALSE)</f>
        <v>0</v>
      </c>
    </row>
    <row r="891">
      <c r="A891" t="str">
        <v>刻</v>
      </c>
      <c r="B891">
        <v>8</v>
      </c>
      <c r="C891" t="b">
        <v>1</v>
      </c>
      <c r="D891" t="str">
        <v>コク</v>
      </c>
      <c r="E891" t="str">
        <v>きざ（む） とき</v>
      </c>
      <c r="F891">
        <v>0</v>
      </c>
      <c r="G891" t="str">
        <v>きざむ。けずる。ほる。 とき。時間。例：時刻 きびしい。ひどい。むごい。 こく。一日を十二に分け、十二支に配したもので現在の二時間。また、一刻をさらに三分して上刻・中刻・下刻といった。</v>
      </c>
      <c r="I891">
        <v>10</v>
      </c>
      <c r="J891">
        <v>65</v>
      </c>
      <c r="K891">
        <v>50</v>
      </c>
      <c r="L891">
        <v>0</v>
      </c>
      <c r="M891">
        <f>VLOOKUP(A891,[1]kanji_data!$A:$N,14,FALSE)</f>
        <v>0</v>
      </c>
    </row>
    <row r="892">
      <c r="A892" t="str">
        <v>祝</v>
      </c>
      <c r="B892">
        <v>9</v>
      </c>
      <c r="C892" t="b">
        <v>1</v>
      </c>
      <c r="D892" t="str">
        <v>シュク シュウ</v>
      </c>
      <c r="E892" t="str">
        <v>いわ（う） た（つ） の（る） のろ（う）</v>
      </c>
      <c r="F892" t="str">
        <v>い とき のり はじめ ほう ほぎ よし</v>
      </c>
      <c r="G892" t="str">
        <v>いわう。ことほぐ。幸福を願い祈る。 はふり。かんなぎ。かんぬし。神に仕える人。 断つ。断ち切る。短く切る。 のろう。まじなう。不幸を願う。 のる。いのる。神に告げる。 のりと。神に告げることば。</v>
      </c>
      <c r="H892" t="str">
        <v>#幸福</v>
      </c>
      <c r="I892">
        <v>85</v>
      </c>
      <c r="J892">
        <v>60</v>
      </c>
      <c r="K892">
        <v>55</v>
      </c>
      <c r="L892">
        <v>0</v>
      </c>
      <c r="M892">
        <f>VLOOKUP(A892,[1]kanji_data!$A:$N,14,FALSE)</f>
        <v>0</v>
      </c>
    </row>
    <row r="893">
      <c r="A893" t="str">
        <v>省</v>
      </c>
      <c r="B893">
        <v>9</v>
      </c>
      <c r="C893" t="b">
        <v>1</v>
      </c>
      <c r="D893" t="str">
        <v>ショウ セイ</v>
      </c>
      <c r="E893" t="str">
        <v>はぶ（く） かえり（みる）</v>
      </c>
      <c r="F893" t="str">
        <v>あきら かみ み よし</v>
      </c>
      <c r="G893" t="str">
        <v>かえる。注意してみる。詳しく調べる。 かえりみる。自分の心を振り返る。例：反省 みまう。安否を問う。訪問する。 はぶく。減らす。取り去る。 中国の行政区画の名。 役所。官庁。行政機関。つかさ。</v>
      </c>
      <c r="H893" t="str">
        <v>#心・志</v>
      </c>
      <c r="I893">
        <v>15</v>
      </c>
      <c r="J893">
        <v>65</v>
      </c>
      <c r="K893">
        <v>60</v>
      </c>
      <c r="L893">
        <v>0</v>
      </c>
      <c r="M893">
        <f>VLOOKUP(A893,[1]kanji_data!$A:$N,14,FALSE)</f>
        <v>0</v>
      </c>
    </row>
    <row r="894">
      <c r="A894" t="str">
        <v>信</v>
      </c>
      <c r="B894">
        <v>9</v>
      </c>
      <c r="C894" t="b">
        <v>1</v>
      </c>
      <c r="D894" t="str">
        <v>シン</v>
      </c>
      <c r="E894" t="str">
        <v>たよ（り） まか（せる） まこと</v>
      </c>
      <c r="F894" t="str">
        <v>あき こと さだ し しの ただ ちか とき のぶ みち</v>
      </c>
      <c r="G894" t="str">
        <v>たより。手紙。 任せる。 まこと。真実。本当。うそいつわりない。 わりふ。しるし。あかし。 同じところに二泊する。 のびる。のばす。 信濃の略。</v>
      </c>
      <c r="H894" t="str">
        <v>#品格 #心・志</v>
      </c>
      <c r="I894">
        <v>100</v>
      </c>
      <c r="J894">
        <v>60</v>
      </c>
      <c r="K894">
        <v>50</v>
      </c>
      <c r="L894">
        <v>0</v>
      </c>
      <c r="M894">
        <f>VLOOKUP(A894,[1]kanji_data!$A:$N,14,FALSE)</f>
        <v>0</v>
      </c>
    </row>
    <row r="895">
      <c r="A895" t="str">
        <v>浅</v>
      </c>
      <c r="B895">
        <v>9</v>
      </c>
      <c r="C895" t="b">
        <v>1</v>
      </c>
      <c r="D895" t="str">
        <v>セン</v>
      </c>
      <c r="E895" t="str">
        <v>あさ（い）</v>
      </c>
      <c r="F895">
        <v>0</v>
      </c>
      <c r="G895" t="str">
        <v>あさい。水かさが少ない。底までが近い。 あさい。あさはか。知識や思慮が乏しい。 あわい。色が薄い。</v>
      </c>
      <c r="H895" t="str">
        <v>#知性</v>
      </c>
      <c r="I895">
        <v>10</v>
      </c>
      <c r="J895">
        <v>50</v>
      </c>
      <c r="K895">
        <v>50</v>
      </c>
      <c r="L895">
        <v>1</v>
      </c>
    </row>
    <row r="896">
      <c r="A896" t="str">
        <v>単</v>
      </c>
      <c r="B896">
        <v>9</v>
      </c>
      <c r="C896" t="b">
        <v>1</v>
      </c>
      <c r="D896" t="str">
        <v>タン ゼン</v>
      </c>
      <c r="E896" t="str">
        <v>ひとえ ひと（つ）</v>
      </c>
      <c r="F896" t="str">
        <v>いち ただ</v>
      </c>
      <c r="G896" t="str">
        <v>ひとえ。裏地のない衣。 ひとつ。ひとり。ただひとつである。 まじりけがない。変化がない。 薄い。弱い。 書きつけ。札。カード。 まこと。誠意がある。手厚い。 単于（ゼンウ）は匈奴（キョウド）の王の称号。</v>
      </c>
      <c r="H896" t="str">
        <v>#心・志</v>
      </c>
      <c r="I896">
        <v>5</v>
      </c>
      <c r="J896">
        <v>85</v>
      </c>
      <c r="K896">
        <v>30</v>
      </c>
      <c r="L896">
        <v>1</v>
      </c>
    </row>
    <row r="897">
      <c r="A897" t="str">
        <v>飛</v>
      </c>
      <c r="B897">
        <v>9</v>
      </c>
      <c r="C897" t="b">
        <v>1</v>
      </c>
      <c r="D897" t="str">
        <v>ヒ</v>
      </c>
      <c r="E897" t="str">
        <v>と（ばす） と（ぶ）</v>
      </c>
      <c r="F897" t="str">
        <v>たか</v>
      </c>
      <c r="G897" t="str">
        <v>とぶ。鳥が空をとぶ。また、鳥のように空をとぶ。 とぶ。とばす。空をとぶようにはやい。はやくいかせる。 高い。高い所にある。 いわれのない。根拠のない。 将棋の駒のひとつ。飛車。</v>
      </c>
      <c r="H897" t="str">
        <v>#天空 #自然</v>
      </c>
      <c r="I897">
        <v>95</v>
      </c>
      <c r="J897">
        <v>100</v>
      </c>
      <c r="K897">
        <v>30</v>
      </c>
      <c r="L897">
        <v>0</v>
      </c>
      <c r="M897">
        <f>VLOOKUP(A897,[1]kanji_data!$A:$N,14,FALSE)</f>
        <v>0</v>
      </c>
    </row>
    <row r="898">
      <c r="A898" t="str">
        <v>欧</v>
      </c>
      <c r="B898">
        <v>8</v>
      </c>
      <c r="C898" t="b">
        <v>1</v>
      </c>
      <c r="D898" t="str">
        <v>オウ</v>
      </c>
      <c r="E898" t="str">
        <v>は（く）</v>
      </c>
      <c r="F898" t="str">
        <v>お</v>
      </c>
      <c r="G898" t="str">
        <v>はく。口から物を吐く。吐きもどす。＝嘔 なぐる。うつ。たたく。＝殴 うたう。歌をうたう。＝謳 「欧羅巴（ヨーロッパ）」の略。</v>
      </c>
      <c r="I898">
        <v>20</v>
      </c>
      <c r="J898">
        <v>50</v>
      </c>
      <c r="K898">
        <v>50</v>
      </c>
      <c r="L898">
        <v>0</v>
      </c>
      <c r="M898">
        <f>VLOOKUP(A898,[1]kanji_data!$A:$N,14,FALSE)</f>
        <v>0</v>
      </c>
    </row>
    <row r="899">
      <c r="A899" t="str">
        <v>便</v>
      </c>
      <c r="B899">
        <v>9</v>
      </c>
      <c r="C899" t="b">
        <v>1</v>
      </c>
      <c r="D899" t="str">
        <v>ビン ベン ヘン</v>
      </c>
      <c r="E899" t="str">
        <v>たよ（り） いばり すなわ（ち） へつら（う） よすが</v>
      </c>
      <c r="F899">
        <v>0</v>
      </c>
      <c r="G899" t="str">
        <v>たより。音信。 いばり。排泄物。大便と小便。 すなわち。すぐに。急に。 よすが。拠りどころ。 都合がよい。便利がよい。 慣れる。熟練する。 すなわち。つまり。とりもなおさず。 へつらう。口が達者。</v>
      </c>
      <c r="H899" t="str">
        <v>#健康</v>
      </c>
      <c r="I899">
        <v>10</v>
      </c>
      <c r="J899">
        <v>50</v>
      </c>
      <c r="K899">
        <v>50</v>
      </c>
      <c r="L899">
        <v>1</v>
      </c>
    </row>
    <row r="900">
      <c r="A900" t="str">
        <v>泥</v>
      </c>
      <c r="B900">
        <v>8</v>
      </c>
      <c r="C900" t="b">
        <v>1</v>
      </c>
      <c r="D900" t="str">
        <v>デイ</v>
      </c>
      <c r="E900" t="str">
        <v>どろ なず（む）</v>
      </c>
      <c r="F900">
        <v>0</v>
      </c>
      <c r="G900" t="str">
        <v>どろ。ぬかるみ。ひじ。水気を多く含んだ土。 どろ状のもの。どろのようなもの。 なずむ。とどこおる。動きがとれない。 黒い。黒くなる。くろむ。 「泥棒」の略。</v>
      </c>
      <c r="I900">
        <v>10</v>
      </c>
      <c r="J900">
        <v>50</v>
      </c>
      <c r="K900">
        <v>50</v>
      </c>
      <c r="L900">
        <v>1</v>
      </c>
    </row>
    <row r="901">
      <c r="A901" t="str">
        <v>勇</v>
      </c>
      <c r="B901">
        <v>9</v>
      </c>
      <c r="C901" t="b">
        <v>1</v>
      </c>
      <c r="D901" t="str">
        <v>ユウ ヨウ</v>
      </c>
      <c r="E901" t="str">
        <v>いさ（む） いさ（ましい） つよ（い）</v>
      </c>
      <c r="F901" t="str">
        <v>いさ いさお いさまし いさむ お さ そよ たけ たけし とし はや よ</v>
      </c>
      <c r="G901" t="str">
        <v>いさむ。いさみ立つ。奮い立つ。 いさましい。つよい。力強い。 思い切りがよい。未練がましくない。 兵士。</v>
      </c>
      <c r="H901" t="str">
        <v>#勇気 #心・志</v>
      </c>
      <c r="I901">
        <v>100</v>
      </c>
      <c r="J901">
        <v>85</v>
      </c>
      <c r="K901">
        <v>30</v>
      </c>
      <c r="L901">
        <v>0</v>
      </c>
      <c r="M901">
        <f>VLOOKUP(A901,[1]kanji_data!$A:$N,14,FALSE)</f>
        <v>0</v>
      </c>
    </row>
    <row r="902">
      <c r="A902" t="str">
        <v>沸</v>
      </c>
      <c r="B902">
        <v>8</v>
      </c>
      <c r="C902" t="b">
        <v>1</v>
      </c>
      <c r="D902" t="str">
        <v>フツ ヒ</v>
      </c>
      <c r="E902" t="str">
        <v>わ（かす） わ（く） た（てる） にえ</v>
      </c>
      <c r="F902">
        <v>0</v>
      </c>
      <c r="G902" t="str">
        <v>わく。わかす。湯が煮え立つ。煮えたぎる。 わき出る。ふき出す。わきあがる。 盛んに起こるさま。</v>
      </c>
      <c r="I902">
        <v>10</v>
      </c>
      <c r="J902">
        <v>85</v>
      </c>
      <c r="K902">
        <v>30</v>
      </c>
      <c r="L902">
        <v>1</v>
      </c>
    </row>
    <row r="903">
      <c r="A903" t="str">
        <v>於</v>
      </c>
      <c r="B903">
        <v>8</v>
      </c>
      <c r="C903" t="b">
        <v>0</v>
      </c>
      <c r="D903" t="str">
        <v>オ ヨ</v>
      </c>
      <c r="E903" t="str">
        <v>お（いて） お（ける）</v>
      </c>
      <c r="F903">
        <v>0</v>
      </c>
      <c r="G903" t="str">
        <v>おいて。おける。時刻や場所などを表す。 ああ。感嘆の声。</v>
      </c>
      <c r="I903">
        <v>10</v>
      </c>
      <c r="J903">
        <v>55</v>
      </c>
      <c r="K903">
        <v>55</v>
      </c>
      <c r="L903">
        <v>0</v>
      </c>
    </row>
    <row r="904">
      <c r="A904" t="str">
        <v>沫</v>
      </c>
      <c r="B904">
        <v>8</v>
      </c>
      <c r="C904" t="b">
        <v>0</v>
      </c>
      <c r="D904" t="str">
        <v>マツ</v>
      </c>
      <c r="E904" t="str">
        <v>あわ しぶき</v>
      </c>
      <c r="F904">
        <v>0</v>
      </c>
      <c r="G904" t="str">
        <v>あわ。みなわ。水のあわ。 しぶき。とばしり。水やつばなどの細かいつぶ。 つば。つばき。よだれ。</v>
      </c>
      <c r="I904">
        <v>10</v>
      </c>
      <c r="J904">
        <v>50</v>
      </c>
      <c r="K904">
        <v>50</v>
      </c>
      <c r="L904">
        <v>1</v>
      </c>
    </row>
    <row r="905">
      <c r="A905" t="str">
        <v>係</v>
      </c>
      <c r="B905">
        <v>9</v>
      </c>
      <c r="C905" t="b">
        <v>1</v>
      </c>
      <c r="D905" t="str">
        <v>ケイ</v>
      </c>
      <c r="E905" t="str">
        <v>かかり かか（る） かか（わる） つな（ぐ）</v>
      </c>
      <c r="F905" t="str">
        <v>たえ</v>
      </c>
      <c r="G905" t="str">
        <v>かかる。かかわる。関係する。関与する。 かかる。かける。つなぐ。むすぶ。 かかり。受けもち。担当。担当者。</v>
      </c>
      <c r="I905">
        <v>20</v>
      </c>
      <c r="J905">
        <v>35</v>
      </c>
      <c r="K905">
        <v>70</v>
      </c>
      <c r="L905">
        <v>1</v>
      </c>
    </row>
    <row r="906">
      <c r="A906" t="str">
        <v>厚</v>
      </c>
      <c r="B906">
        <v>9</v>
      </c>
      <c r="C906" t="b">
        <v>1</v>
      </c>
      <c r="D906" t="str">
        <v>コウ</v>
      </c>
      <c r="E906" t="str">
        <v>あつ（い）</v>
      </c>
      <c r="F906" t="str">
        <v>あつ あつし ひろ ひろし</v>
      </c>
      <c r="G906" t="str">
        <v>あつい。ぶあつい。あつみがある。 あつい。大きい。重い。 あつい。心がこもっているさま。 あつい。丁寧なさま。手あついさま。</v>
      </c>
      <c r="H906" t="str">
        <v>#健康 #慈愛</v>
      </c>
      <c r="I906">
        <v>95</v>
      </c>
      <c r="J906">
        <v>45</v>
      </c>
      <c r="K906">
        <v>75</v>
      </c>
      <c r="L906">
        <v>0</v>
      </c>
      <c r="M906">
        <f>VLOOKUP(A906,[1]kanji_data!$A:$N,14,FALSE)</f>
        <v>0</v>
      </c>
    </row>
    <row r="907">
      <c r="A907" t="str">
        <v>査</v>
      </c>
      <c r="B907">
        <v>9</v>
      </c>
      <c r="C907" t="b">
        <v>1</v>
      </c>
      <c r="D907" t="str">
        <v>サ</v>
      </c>
      <c r="E907" t="str">
        <v>しら（べる）</v>
      </c>
      <c r="F907">
        <v>0</v>
      </c>
      <c r="G907" t="str">
        <v>しらべる。よくしらべて明らかにする。 いかだ。水に浮かべるいかだ。＝槎 「山査子」は、バラ科の落葉低木。</v>
      </c>
      <c r="H907" t="str">
        <v>#知性 #自然</v>
      </c>
      <c r="I907">
        <v>10</v>
      </c>
      <c r="J907">
        <v>50</v>
      </c>
      <c r="K907">
        <v>50</v>
      </c>
      <c r="L907">
        <v>1</v>
      </c>
    </row>
    <row r="908">
      <c r="A908" t="str">
        <v>政</v>
      </c>
      <c r="B908">
        <v>9</v>
      </c>
      <c r="C908" t="b">
        <v>1</v>
      </c>
      <c r="D908" t="str">
        <v>セイ ショウ</v>
      </c>
      <c r="E908" t="str">
        <v>まつりごと</v>
      </c>
      <c r="F908" t="str">
        <v>おさ きよ ただ のぶ まさ</v>
      </c>
      <c r="G908" t="str">
        <v>まつりごと。世の中をまとめおさめること。 ただす。ただしく変える。＝正 物事を行う方法。決まり。基準。</v>
      </c>
      <c r="H908" t="str">
        <v>#品格 #調和</v>
      </c>
      <c r="I908">
        <v>90</v>
      </c>
      <c r="J908">
        <v>90</v>
      </c>
      <c r="K908">
        <v>45</v>
      </c>
      <c r="L908">
        <v>0</v>
      </c>
      <c r="M908">
        <f>VLOOKUP(A908,[1]kanji_data!$A:$N,14,FALSE)</f>
        <v>0</v>
      </c>
    </row>
    <row r="909">
      <c r="A909" t="str">
        <v>峠</v>
      </c>
      <c r="B909">
        <v>9</v>
      </c>
      <c r="C909" t="b">
        <v>1</v>
      </c>
      <c r="D909">
        <v>0</v>
      </c>
      <c r="E909" t="str">
        <v>とうげ</v>
      </c>
      <c r="F909">
        <v>0</v>
      </c>
      <c r="G909" t="str">
        <v>とうげ。山道をのぼりつめて、そこから下りになる所。上りと下りと境目。 勢いが最も盛んな時。物事の絶頂。</v>
      </c>
      <c r="I909">
        <v>10</v>
      </c>
      <c r="J909">
        <v>50</v>
      </c>
      <c r="K909">
        <v>50</v>
      </c>
      <c r="L909">
        <v>1</v>
      </c>
    </row>
    <row r="910">
      <c r="A910" t="str">
        <v>則</v>
      </c>
      <c r="B910">
        <v>9</v>
      </c>
      <c r="C910" t="b">
        <v>1</v>
      </c>
      <c r="D910" t="str">
        <v>ソク</v>
      </c>
      <c r="E910" t="str">
        <v>すなわ（ち） のっと（る） のり</v>
      </c>
      <c r="F910" t="str">
        <v>つね とき みつ</v>
      </c>
      <c r="G910" t="str">
        <v>「すなわち」と読み、「～すると」「～ならば」「～のときには」「～の場合は」などの意を表す。 のっとる。手本とする。 のり。決まり。例：法則、規則</v>
      </c>
      <c r="H910" t="str">
        <v>#品格 #知性</v>
      </c>
      <c r="I910">
        <v>60</v>
      </c>
      <c r="J910">
        <v>70</v>
      </c>
      <c r="K910">
        <v>60</v>
      </c>
      <c r="L910">
        <v>0</v>
      </c>
      <c r="M910">
        <f>VLOOKUP(A910,[1]kanji_data!$A:$N,14,FALSE)</f>
        <v>0</v>
      </c>
    </row>
    <row r="911">
      <c r="A911" t="str">
        <v>胎</v>
      </c>
      <c r="B911">
        <v>9</v>
      </c>
      <c r="C911" t="b">
        <v>1</v>
      </c>
      <c r="D911" t="str">
        <v>タイ</v>
      </c>
      <c r="E911" t="str">
        <v>はら（む）</v>
      </c>
      <c r="F911">
        <v>0</v>
      </c>
      <c r="G911" t="str">
        <v>はらむ。みごもる。妊娠する。腹に子をやどす。 はらごもり。妊娠。 はらご。胎児。 子宮。こぶくろ。子のやどるところ。 きざし。はじめ。</v>
      </c>
      <c r="I911">
        <v>10</v>
      </c>
      <c r="J911">
        <v>85</v>
      </c>
      <c r="K911">
        <v>30</v>
      </c>
      <c r="L911">
        <v>1</v>
      </c>
    </row>
    <row r="912">
      <c r="A912" t="str">
        <v>封</v>
      </c>
      <c r="B912">
        <v>9</v>
      </c>
      <c r="C912" t="b">
        <v>1</v>
      </c>
      <c r="D912" t="str">
        <v>フウ ホウ</v>
      </c>
      <c r="E912" t="str">
        <v>さかい と（じる） ポンド</v>
      </c>
      <c r="F912">
        <v>0</v>
      </c>
      <c r="G912" t="str">
        <v>ほうずる。領地を与えて領主とする。 盛り土。また、土を盛る。 さかい。境界。土を盛って作った境。 墓。土を盛って作った墓。 ふうずる。とじる。とじこめる。 手紙。封をした手紙。 ポンド。ヤードポンド法の重さの単位。一ポンドは約四五四グラム。「封度」とも書く。</v>
      </c>
      <c r="I912">
        <v>10</v>
      </c>
      <c r="J912">
        <v>90</v>
      </c>
      <c r="K912">
        <v>35</v>
      </c>
      <c r="L912">
        <v>0</v>
      </c>
      <c r="M912">
        <f>VLOOKUP(A912,[1]kanji_data!$A:$N,14,FALSE)</f>
        <v>0</v>
      </c>
    </row>
    <row r="913">
      <c r="A913" t="str">
        <v>保</v>
      </c>
      <c r="B913">
        <v>9</v>
      </c>
      <c r="C913" t="b">
        <v>1</v>
      </c>
      <c r="D913" t="str">
        <v>ホ ホウ</v>
      </c>
      <c r="E913" t="str">
        <v>たも（つ） も（つ） やす（んじる）</v>
      </c>
      <c r="F913" t="str">
        <v>お たもつ まもる もち もり やすし より</v>
      </c>
      <c r="G913" t="str">
        <v>たもつ。もつ。ある状態をそのまま続ける。 やしなう。育てる。 やすんじる。かばう。助ける。守る。 うけあう。責任をもって引き受ける。 世話係。おもり役。 雇われた人。使用人。</v>
      </c>
      <c r="H913" t="str">
        <v>#天空 #慈愛</v>
      </c>
      <c r="I913">
        <v>90</v>
      </c>
      <c r="J913">
        <v>100</v>
      </c>
      <c r="K913">
        <v>25</v>
      </c>
      <c r="L913">
        <v>0</v>
      </c>
      <c r="M913">
        <f>VLOOKUP(A913,[1]kanji_data!$A:$N,14,FALSE)</f>
        <v>0</v>
      </c>
    </row>
    <row r="914">
      <c r="A914" t="str">
        <v>籾</v>
      </c>
      <c r="B914">
        <v>9</v>
      </c>
      <c r="C914" t="b">
        <v>0</v>
      </c>
      <c r="D914">
        <v>0</v>
      </c>
      <c r="E914" t="str">
        <v>もみ</v>
      </c>
      <c r="F914">
        <v>0</v>
      </c>
      <c r="G914" t="str">
        <v>もみ。もみがら。からをかぶったままの穀物の実。主に、稲の実。</v>
      </c>
      <c r="I914">
        <v>10</v>
      </c>
      <c r="J914">
        <v>50</v>
      </c>
      <c r="K914">
        <v>50</v>
      </c>
      <c r="L914">
        <v>1</v>
      </c>
    </row>
    <row r="915">
      <c r="A915" t="str">
        <v>映</v>
      </c>
      <c r="B915">
        <v>9</v>
      </c>
      <c r="C915" t="b">
        <v>1</v>
      </c>
      <c r="D915" t="str">
        <v>エイ</v>
      </c>
      <c r="E915" t="str">
        <v>うつ（す） うつ（る） は（える） は（やす）</v>
      </c>
      <c r="F915" t="str">
        <v>あき あきら え てる みつ</v>
      </c>
      <c r="G915" t="str">
        <v>うつる。反射したり照らされたりして、濃淡や色調が浮き出る。 うつす。形や姿をうつし出す。 はえる。照らされて明るく輝く。 はえる。鮮やかに見える。</v>
      </c>
      <c r="H915" t="str">
        <v>#天空</v>
      </c>
      <c r="I915">
        <v>100</v>
      </c>
      <c r="J915">
        <v>20</v>
      </c>
      <c r="K915">
        <v>95</v>
      </c>
      <c r="L915">
        <v>0</v>
      </c>
      <c r="M915">
        <f>VLOOKUP(A915,[1]kanji_data!$A:$N,14,FALSE)</f>
        <v>0</v>
      </c>
    </row>
    <row r="916">
      <c r="A916" t="str">
        <v>革</v>
      </c>
      <c r="B916">
        <v>9</v>
      </c>
      <c r="C916" t="b">
        <v>1</v>
      </c>
      <c r="D916" t="str">
        <v>カク キョク</v>
      </c>
      <c r="E916" t="str">
        <v>かわ あらた（まる） あらた（める）</v>
      </c>
      <c r="F916">
        <v>0</v>
      </c>
      <c r="G916" t="str">
        <v>かわ。動物の皮から毛を取り除いたもの。 かわで作られた武具。 かわで作られた楽器。八音（「金」「石」「糸」「竹」「匏」「土」「革」「木」）の一つ。 あらたまる。あらためる。新しくする。 易（エキ）の六十四卦の一つ。 あらたまる。せまる。さしせまる。病状が急変する。危篤になる。</v>
      </c>
      <c r="H916" t="str">
        <v>#勇気 #自然</v>
      </c>
      <c r="I916">
        <v>10</v>
      </c>
      <c r="J916">
        <v>90</v>
      </c>
      <c r="K916">
        <v>35</v>
      </c>
      <c r="L916">
        <v>1</v>
      </c>
    </row>
    <row r="917">
      <c r="A917" t="str">
        <v>納</v>
      </c>
      <c r="B917">
        <v>10</v>
      </c>
      <c r="C917" t="b">
        <v>1</v>
      </c>
      <c r="D917" t="str">
        <v>ノウ トウ ナッ ナ ナン</v>
      </c>
      <c r="E917" t="str">
        <v>おさ（まる） おさ（める） い（れる）</v>
      </c>
      <c r="F917">
        <v>0</v>
      </c>
      <c r="G917" t="str">
        <v>いれる。受け入れる。内に入れる。引き入れる。取り入れる。 おさめる。おさまる。しまう。しまいこむ。 差し上げる。差し出す。支払う。 おさめる。終わりにする。おさめ。終わり。</v>
      </c>
      <c r="I917">
        <v>10</v>
      </c>
      <c r="J917">
        <v>65</v>
      </c>
      <c r="K917">
        <v>55</v>
      </c>
      <c r="L917">
        <v>0</v>
      </c>
      <c r="M917">
        <f>VLOOKUP(A917,[1]kanji_data!$A:$N,14,FALSE)</f>
        <v>0</v>
      </c>
    </row>
    <row r="918">
      <c r="A918" t="str">
        <v>巻</v>
      </c>
      <c r="B918">
        <v>9</v>
      </c>
      <c r="C918" t="b">
        <v>1</v>
      </c>
      <c r="D918" t="str">
        <v>カン ケン</v>
      </c>
      <c r="E918" t="str">
        <v>まき ま（く）</v>
      </c>
      <c r="F918">
        <v>0</v>
      </c>
      <c r="G918" t="str">
        <v>まく。くるくるとまきあげる。 まき。巻き物。書物。また、それらを数えることば。 曲がる。曲がりくねる。 うつくしい。 にぎりこぶし。にぎりしめた手。</v>
      </c>
      <c r="H918" t="str">
        <v>#花・彩</v>
      </c>
      <c r="I918">
        <v>10</v>
      </c>
      <c r="J918">
        <v>55</v>
      </c>
      <c r="K918">
        <v>55</v>
      </c>
      <c r="L918">
        <v>1</v>
      </c>
    </row>
    <row r="919">
      <c r="A919" t="str">
        <v>皇</v>
      </c>
      <c r="B919">
        <v>9</v>
      </c>
      <c r="C919" t="b">
        <v>1</v>
      </c>
      <c r="D919" t="str">
        <v>オウ コウ</v>
      </c>
      <c r="E919" t="str">
        <v>きみ すめらぎ</v>
      </c>
      <c r="F919" t="str">
        <v>すべ すめら</v>
      </c>
      <c r="G919" t="str">
        <v>きみ。天子。君主。天帝。 あわてる。あわただしい。せわしい。 すめらぎ。日本の天子。天皇を称する古語。また、天皇に関する事物に冠する語。</v>
      </c>
      <c r="H919" t="str">
        <v>#品格 #天空</v>
      </c>
      <c r="I919">
        <v>95</v>
      </c>
      <c r="J919">
        <v>60</v>
      </c>
      <c r="K919">
        <v>75</v>
      </c>
      <c r="L919">
        <v>0</v>
      </c>
      <c r="M919">
        <f>VLOOKUP(A919,[1]kanji_data!$A:$N,14,FALSE)</f>
        <v>0</v>
      </c>
    </row>
    <row r="920">
      <c r="A920" t="str">
        <v>紅</v>
      </c>
      <c r="B920">
        <v>9</v>
      </c>
      <c r="C920" t="b">
        <v>1</v>
      </c>
      <c r="D920" t="str">
        <v>コウ ク グ</v>
      </c>
      <c r="E920" t="str">
        <v>べに くれない あか（い） もみ</v>
      </c>
      <c r="F920" t="str">
        <v>あか いろ くれ</v>
      </c>
      <c r="G920" t="str">
        <v>べに。くれない。赤い。べに色。あざやかな赤色。 べに色の顔料。化粧に用いる。 女性のこと。例：紅一点 もみ。赤色の絹布。</v>
      </c>
      <c r="H920" t="str">
        <v>#花・彩</v>
      </c>
      <c r="I920">
        <v>85</v>
      </c>
      <c r="J920">
        <v>25</v>
      </c>
      <c r="K920">
        <v>85</v>
      </c>
      <c r="L920">
        <v>0</v>
      </c>
      <c r="M920">
        <f>VLOOKUP(A920,[1]kanji_data!$A:$N,14,FALSE)</f>
        <v>0</v>
      </c>
    </row>
    <row r="921">
      <c r="A921" t="str">
        <v>陛</v>
      </c>
      <c r="B921">
        <v>10</v>
      </c>
      <c r="C921" t="b">
        <v>1</v>
      </c>
      <c r="D921" t="str">
        <v>ヘイ</v>
      </c>
      <c r="E921" t="str">
        <v>きざはし</v>
      </c>
      <c r="F921">
        <v>0</v>
      </c>
      <c r="G921" t="str">
        <v>きざはし。階段。宮殿の階段。 天子。また、天子に関する事柄についていうことば。</v>
      </c>
      <c r="I921">
        <v>10</v>
      </c>
      <c r="J921">
        <v>45</v>
      </c>
      <c r="K921">
        <v>65</v>
      </c>
      <c r="L921">
        <v>1</v>
      </c>
    </row>
    <row r="922">
      <c r="A922" t="str">
        <v>姿</v>
      </c>
      <c r="B922">
        <v>9</v>
      </c>
      <c r="C922" t="b">
        <v>1</v>
      </c>
      <c r="D922" t="str">
        <v>シ</v>
      </c>
      <c r="E922" t="str">
        <v>すがた</v>
      </c>
      <c r="F922">
        <v>0</v>
      </c>
      <c r="G922" t="str">
        <v>すがた。人や物のかたちやようす。 才能。性質。素質。</v>
      </c>
      <c r="H922" t="str">
        <v>#知性</v>
      </c>
      <c r="I922">
        <v>10</v>
      </c>
      <c r="J922">
        <v>40</v>
      </c>
      <c r="K922">
        <v>100</v>
      </c>
      <c r="L922">
        <v>0</v>
      </c>
      <c r="M922">
        <f>VLOOKUP(A922,[1]kanji_data!$A:$N,14,FALSE)</f>
        <v>0</v>
      </c>
    </row>
    <row r="923">
      <c r="A923" t="str">
        <v>城</v>
      </c>
      <c r="B923">
        <v>9</v>
      </c>
      <c r="C923" t="b">
        <v>1</v>
      </c>
      <c r="D923" t="str">
        <v>ジョウ セイ</v>
      </c>
      <c r="E923" t="str">
        <v>しろ き</v>
      </c>
      <c r="F923" t="str">
        <v>くに なり むら</v>
      </c>
      <c r="G923" t="str">
        <v>しろ。敵の攻撃を防ぐために町全体の周りに築いた壁。 しろ。全体が城壁で囲われた町。 きずく。城を築く。 しろ。き。敵の攻撃や侵入を防ぐための建造物。 旧国名「山城」の略。</v>
      </c>
      <c r="H923" t="str">
        <v>#勇気 #品格</v>
      </c>
      <c r="I923">
        <v>75</v>
      </c>
      <c r="J923">
        <v>100</v>
      </c>
      <c r="K923">
        <v>25</v>
      </c>
      <c r="L923">
        <v>0</v>
      </c>
      <c r="M923">
        <f>VLOOKUP(A923,[1]kanji_data!$A:$N,14,FALSE)</f>
        <v>0</v>
      </c>
    </row>
    <row r="924">
      <c r="A924" t="str">
        <v>陣</v>
      </c>
      <c r="B924">
        <v>10</v>
      </c>
      <c r="C924" t="b">
        <v>1</v>
      </c>
      <c r="D924" t="str">
        <v>ジン チン</v>
      </c>
      <c r="E924" t="str">
        <v>じんだて</v>
      </c>
      <c r="F924">
        <v>0</v>
      </c>
      <c r="G924" t="str">
        <v>じんだて。戦闘の備え。軍隊の配置。 いくさ。戦い。戦闘。 ひとしきり。一時的に盛んなさま。</v>
      </c>
      <c r="I924">
        <v>10</v>
      </c>
      <c r="J924">
        <v>100</v>
      </c>
      <c r="K924">
        <v>20</v>
      </c>
      <c r="L924">
        <v>0</v>
      </c>
      <c r="M924">
        <f>VLOOKUP(A924,[1]kanji_data!$A:$N,14,FALSE)</f>
        <v>0</v>
      </c>
    </row>
    <row r="925">
      <c r="A925" t="str">
        <v>宣</v>
      </c>
      <c r="B925">
        <v>9</v>
      </c>
      <c r="C925" t="b">
        <v>1</v>
      </c>
      <c r="D925" t="str">
        <v>セン</v>
      </c>
      <c r="E925" t="str">
        <v>のたま（う） の（べる）</v>
      </c>
      <c r="F925" t="str">
        <v>のぶ のり ひさ ふさ むら よし より</v>
      </c>
      <c r="G925" t="str">
        <v>のべる。考えを広く知らせる。行き渡らせる。 のたまう。みことのり。天子の言葉。 あまねし。広く行き渡る。明らか。</v>
      </c>
      <c r="H925" t="str">
        <v>#自然</v>
      </c>
      <c r="I925">
        <v>65</v>
      </c>
      <c r="J925">
        <v>55</v>
      </c>
      <c r="K925">
        <v>55</v>
      </c>
      <c r="L925">
        <v>0</v>
      </c>
      <c r="M925">
        <f>VLOOKUP(A925,[1]kanji_data!$A:$N,14,FALSE)</f>
        <v>0</v>
      </c>
    </row>
    <row r="926">
      <c r="A926" t="str">
        <v>紡</v>
      </c>
      <c r="B926">
        <v>10</v>
      </c>
      <c r="C926" t="b">
        <v>1</v>
      </c>
      <c r="D926" t="str">
        <v>ボウ ホウ</v>
      </c>
      <c r="E926" t="str">
        <v>つむ（ぐ）</v>
      </c>
      <c r="F926" t="str">
        <v>つむぎ つむぐ</v>
      </c>
      <c r="G926" t="str">
        <v>つむぐ。よる。うむ。麻・綿・絹などの繊維をより合わせて、糸にする。 つむいだ糸。</v>
      </c>
      <c r="I926">
        <v>20</v>
      </c>
      <c r="J926">
        <v>60</v>
      </c>
      <c r="K926">
        <v>60</v>
      </c>
      <c r="L926">
        <v>0</v>
      </c>
      <c r="M926">
        <f>VLOOKUP(A926,[1]kanji_data!$A:$N,14,FALSE)</f>
        <v>0</v>
      </c>
    </row>
    <row r="927">
      <c r="A927" t="str">
        <v>泉</v>
      </c>
      <c r="B927">
        <v>9</v>
      </c>
      <c r="C927" t="b">
        <v>1</v>
      </c>
      <c r="D927" t="str">
        <v>セン</v>
      </c>
      <c r="E927" t="str">
        <v>いずみ</v>
      </c>
      <c r="F927" t="str">
        <v>い きよし ずみ み みず もと</v>
      </c>
      <c r="G927" t="str">
        <v>いずみ。地中からわき出る水。 みなもと。水源。 死後の世界。あの世。めいど。 貨幣。ぜに。</v>
      </c>
      <c r="H927" t="str">
        <v>#海・水 #自然</v>
      </c>
      <c r="I927">
        <v>100</v>
      </c>
      <c r="J927">
        <v>85</v>
      </c>
      <c r="K927">
        <v>35</v>
      </c>
      <c r="L927">
        <v>0</v>
      </c>
      <c r="M927">
        <f>VLOOKUP(A927,[1]kanji_data!$A:$N,14,FALSE)</f>
        <v>0</v>
      </c>
    </row>
    <row r="928">
      <c r="A928" t="str">
        <v>倭</v>
      </c>
      <c r="B928">
        <v>10</v>
      </c>
      <c r="C928" t="b">
        <v>0</v>
      </c>
      <c r="D928" t="str">
        <v>イ ワ</v>
      </c>
      <c r="E928" t="str">
        <v>やまと</v>
      </c>
      <c r="F928" t="str">
        <v>かず</v>
      </c>
      <c r="G928" t="str">
        <v>曲がりくねって遠くまで続くさま。 やまと。昔の中国で日本（日本人）を指していった語。</v>
      </c>
      <c r="I928">
        <v>20</v>
      </c>
      <c r="J928">
        <v>50</v>
      </c>
      <c r="K928">
        <v>50</v>
      </c>
      <c r="L928">
        <v>0</v>
      </c>
      <c r="M928">
        <f>VLOOKUP(A928,[1]kanji_data!$A:$N,14,FALSE)</f>
        <v>0</v>
      </c>
    </row>
    <row r="929">
      <c r="A929" t="str">
        <v>奏</v>
      </c>
      <c r="B929">
        <v>9</v>
      </c>
      <c r="C929" t="b">
        <v>1</v>
      </c>
      <c r="D929" t="str">
        <v>ソウ</v>
      </c>
      <c r="E929" t="str">
        <v>かな（でる） すす（める）</v>
      </c>
      <c r="F929" t="str">
        <v>かなで</v>
      </c>
      <c r="G929" t="str">
        <v>すすめる。差し上げる。献上する。 すすめる。もうす。申し上げる。 かなでる。演奏する。 なしとげる。やりとげる。</v>
      </c>
      <c r="H929" t="str">
        <v>#繁栄 #調和</v>
      </c>
      <c r="I929">
        <v>100</v>
      </c>
      <c r="J929">
        <v>60</v>
      </c>
      <c r="K929">
        <v>65</v>
      </c>
      <c r="L929">
        <v>0</v>
      </c>
      <c r="M929">
        <f>VLOOKUP(A929,[1]kanji_data!$A:$N,14,FALSE)</f>
        <v>0</v>
      </c>
    </row>
    <row r="930">
      <c r="A930" t="str">
        <v>峽</v>
      </c>
      <c r="B930">
        <v>10</v>
      </c>
      <c r="C930" t="b">
        <v>0</v>
      </c>
      <c r="D930" t="str">
        <v>キョウ</v>
      </c>
      <c r="E930" t="str">
        <v>はざま</v>
      </c>
      <c r="F930">
        <v>0</v>
      </c>
      <c r="G930" t="str">
        <v>はざま。谷あい。山と山との間の谷。 山と山にはさまれた谷のように細くせまい所。</v>
      </c>
      <c r="I930">
        <v>10</v>
      </c>
      <c r="J930">
        <v>50</v>
      </c>
      <c r="K930">
        <v>50</v>
      </c>
      <c r="L930">
        <v>1</v>
      </c>
    </row>
    <row r="931">
      <c r="A931" t="str">
        <v>現</v>
      </c>
      <c r="B931">
        <v>11</v>
      </c>
      <c r="C931" t="b">
        <v>1</v>
      </c>
      <c r="D931" t="str">
        <v>ゲン</v>
      </c>
      <c r="E931" t="str">
        <v>あらわ（す） あらわ（れる） うつつ</v>
      </c>
      <c r="F931" t="str">
        <v>あき あきら あり み</v>
      </c>
      <c r="G931" t="str">
        <v>あらわれる。あらわす。見えなかったものが見えるようになる。 今の。目の前の。目の当たり。例：現在 うつつ。正気。目覚めていること。生きていること。例：現実</v>
      </c>
      <c r="H931" t="str">
        <v>#希望 #知性</v>
      </c>
      <c r="I931">
        <v>40</v>
      </c>
      <c r="J931">
        <v>40</v>
      </c>
      <c r="K931">
        <v>40</v>
      </c>
      <c r="L931">
        <v>0</v>
      </c>
      <c r="M931">
        <f>VLOOKUP(A931,[1]kanji_data!$A:$N,14,FALSE)</f>
        <v>0</v>
      </c>
    </row>
    <row r="932">
      <c r="A932" t="str">
        <v>肺</v>
      </c>
      <c r="B932">
        <v>9</v>
      </c>
      <c r="C932" t="b">
        <v>1</v>
      </c>
      <c r="D932" t="str">
        <v>ハイ</v>
      </c>
      <c r="E932">
        <v>0</v>
      </c>
      <c r="F932">
        <v>0</v>
      </c>
      <c r="G932" t="str">
        <v>はい。肺臓。内臓の一つ。 こころ。まごころ。心の底。 赤い。</v>
      </c>
      <c r="H932" t="str">
        <v>#心・志</v>
      </c>
      <c r="I932">
        <v>10</v>
      </c>
      <c r="J932">
        <v>50</v>
      </c>
      <c r="K932">
        <v>50</v>
      </c>
      <c r="L932">
        <v>1</v>
      </c>
    </row>
    <row r="933">
      <c r="A933" t="str">
        <v>背</v>
      </c>
      <c r="B933">
        <v>9</v>
      </c>
      <c r="C933" t="b">
        <v>1</v>
      </c>
      <c r="D933" t="str">
        <v>ハイ</v>
      </c>
      <c r="E933" t="str">
        <v>せ せい そむ（く） そむ（ける） うしろ</v>
      </c>
      <c r="F933" t="str">
        <v>しろ のり</v>
      </c>
      <c r="G933" t="str">
        <v>せ。せい。せなか。 後ろ。裏。裏側。 そむく。そむける。裏切る。見捨てる。 せ。せい。せたけ。高さ。身長。</v>
      </c>
      <c r="H933" t="str">
        <v>#天空</v>
      </c>
      <c r="I933">
        <v>30</v>
      </c>
      <c r="J933">
        <v>50</v>
      </c>
      <c r="K933">
        <v>50</v>
      </c>
      <c r="L933">
        <v>1</v>
      </c>
    </row>
    <row r="934">
      <c r="A934" t="str">
        <v>威</v>
      </c>
      <c r="B934">
        <v>9</v>
      </c>
      <c r="C934" t="b">
        <v>1</v>
      </c>
      <c r="D934" t="str">
        <v>イ</v>
      </c>
      <c r="E934" t="str">
        <v>おど（す）</v>
      </c>
      <c r="F934" t="str">
        <v>あきら たか たけ たけし たける つよし なり</v>
      </c>
      <c r="G934" t="str">
        <v>おどす。おびやかす。おそれさせる。 いかめしい。おごそか。 いきおい。人を従わせる力や品格。</v>
      </c>
      <c r="H934" t="str">
        <v>#品格</v>
      </c>
      <c r="I934">
        <v>75</v>
      </c>
      <c r="J934">
        <v>100</v>
      </c>
      <c r="K934">
        <v>20</v>
      </c>
      <c r="L934">
        <v>0</v>
      </c>
      <c r="M934">
        <f>VLOOKUP(A934,[1]kanji_data!$A:$N,14,FALSE)</f>
        <v>0</v>
      </c>
    </row>
    <row r="935">
      <c r="A935" t="str">
        <v>為</v>
      </c>
      <c r="B935">
        <v>9</v>
      </c>
      <c r="C935" t="b">
        <v>1</v>
      </c>
      <c r="D935" t="str">
        <v>イ</v>
      </c>
      <c r="E935" t="str">
        <v>す（る） ため つく（る） な（す） な（る）</v>
      </c>
      <c r="F935" t="str">
        <v>なり なる</v>
      </c>
      <c r="G935" t="str">
        <v>する。…とする。…にする。なす。行う。 なる。…となる。…になる。できあがる。物事が成就する。 つくる。こしらえる。設ける。つくりあげる。 おさめる。まとめる。統治する。 なおす。治療する。 いつわる。まねする。まねをして学ぶ。 「や」「か」と読み、疑問・反語をあらわす。 ため。ためにする。助ける。</v>
      </c>
      <c r="H935" t="str">
        <v>#知性</v>
      </c>
      <c r="I935">
        <v>30</v>
      </c>
      <c r="J935">
        <v>85</v>
      </c>
      <c r="K935">
        <v>30</v>
      </c>
      <c r="L935">
        <v>0</v>
      </c>
      <c r="M935">
        <f>VLOOKUP(A935,[1]kanji_data!$A:$N,14,FALSE)</f>
        <v>0</v>
      </c>
    </row>
    <row r="936">
      <c r="A936" t="str">
        <v>皆</v>
      </c>
      <c r="B936">
        <v>9</v>
      </c>
      <c r="C936" t="b">
        <v>1</v>
      </c>
      <c r="D936" t="str">
        <v>カイ</v>
      </c>
      <c r="E936" t="str">
        <v>みな</v>
      </c>
      <c r="F936" t="str">
        <v>とも み みち</v>
      </c>
      <c r="G936" t="str">
        <v>みな。みんな。だれもかれも。おおぜいの人のこと。ことごとく。 ともに。おなじく。一緒に。</v>
      </c>
      <c r="H936" t="str">
        <v>#調和 #幸福</v>
      </c>
      <c r="I936">
        <v>50</v>
      </c>
      <c r="J936">
        <v>45</v>
      </c>
      <c r="K936">
        <v>50</v>
      </c>
      <c r="L936">
        <v>0</v>
      </c>
    </row>
    <row r="937">
      <c r="A937" t="str">
        <v>務</v>
      </c>
      <c r="B937">
        <v>11</v>
      </c>
      <c r="C937" t="b">
        <v>1</v>
      </c>
      <c r="D937" t="str">
        <v>ム ブ</v>
      </c>
      <c r="E937" t="str">
        <v>つと（まる） つと（める） あなど（り） あなど（る） つと（め）</v>
      </c>
      <c r="F937" t="str">
        <v>かね ちか つとむ つよ なか みち</v>
      </c>
      <c r="G937" t="str">
        <v>つとまる。つとめる。はたらく。尽力する。 つとめ。仕事。役目。 つとめて。努力して。できるかぎり。 あなどり。あなどる。＝侮</v>
      </c>
      <c r="I937">
        <v>20</v>
      </c>
      <c r="J937">
        <v>75</v>
      </c>
      <c r="K937">
        <v>45</v>
      </c>
      <c r="L937">
        <v>0</v>
      </c>
      <c r="M937">
        <f>VLOOKUP(A937,[1]kanji_data!$A:$N,14,FALSE)</f>
        <v>0</v>
      </c>
    </row>
    <row r="938">
      <c r="A938" t="str">
        <v>枯</v>
      </c>
      <c r="B938">
        <v>9</v>
      </c>
      <c r="C938" t="b">
        <v>1</v>
      </c>
      <c r="D938" t="str">
        <v>コ</v>
      </c>
      <c r="E938" t="str">
        <v>か（らす） か（れる） から（びる）</v>
      </c>
      <c r="F938">
        <v>0</v>
      </c>
      <c r="G938" t="str">
        <v>かれる。ひからびる。水分がなくなる。 かれる。おとろえる。生気がなくなる。 くちはてる。ぼろぼろになる。また、死ぬ。</v>
      </c>
      <c r="H938" t="str">
        <v>#天空</v>
      </c>
      <c r="I938">
        <v>10</v>
      </c>
      <c r="J938">
        <v>50</v>
      </c>
      <c r="K938">
        <v>50</v>
      </c>
      <c r="L938">
        <v>1</v>
      </c>
    </row>
    <row r="939">
      <c r="A939" t="str">
        <v>荒</v>
      </c>
      <c r="B939">
        <v>9</v>
      </c>
      <c r="C939" t="b">
        <v>1</v>
      </c>
      <c r="D939" t="str">
        <v>コウ</v>
      </c>
      <c r="E939" t="str">
        <v>あら（い） あ（らす） あ（れる） すさ（ぶ） すさ（む）</v>
      </c>
      <c r="F939">
        <v>0</v>
      </c>
      <c r="G939" t="str">
        <v>あれる。あれはてる。すたれる。土地があれる。 不作。飢饉。作物や穀物が実らない。 すさぶ。すさむ。乱れる。 おおい。物をおおうもの。 大きい。大きくする。拡大する。 遠い。遠い地。地の果て。辺境。 とりとめのないさま。でたらめなさま。うそ。 あらい。手荒い。乱暴な。あらあらしい。雨風が激しい。 あれ。暴風雨。 あれ。皮膚のあれ。肌のあれ。</v>
      </c>
      <c r="H939" t="str">
        <v>#天空 #海・水</v>
      </c>
      <c r="I939">
        <v>10</v>
      </c>
      <c r="J939">
        <v>50</v>
      </c>
      <c r="K939">
        <v>50</v>
      </c>
      <c r="L939">
        <v>1</v>
      </c>
    </row>
    <row r="940">
      <c r="A940" t="str">
        <v>香</v>
      </c>
      <c r="B940">
        <v>9</v>
      </c>
      <c r="C940" t="b">
        <v>1</v>
      </c>
      <c r="D940" t="str">
        <v>コウ キョウ</v>
      </c>
      <c r="E940" t="str">
        <v>か かお（り） かお（る） かぐわ（しい） かんば（しい）</v>
      </c>
      <c r="F940" t="str">
        <v>かおり かおる かが たか よし</v>
      </c>
      <c r="G940" t="str">
        <v>かおり。か。よいにおい。 かおる。かぐわしい。かんばしい。よいにおいがする。 姿、色、声、味などがよい。 きょう。将棋のこまの一つ。</v>
      </c>
      <c r="H940" t="str">
        <v>#花・彩</v>
      </c>
      <c r="I940">
        <v>100</v>
      </c>
      <c r="J940">
        <v>25</v>
      </c>
      <c r="K940">
        <v>100</v>
      </c>
      <c r="L940">
        <v>0</v>
      </c>
      <c r="M940">
        <f>VLOOKUP(A940,[1]kanji_data!$A:$N,14,FALSE)</f>
        <v>0</v>
      </c>
    </row>
    <row r="941">
      <c r="A941" t="str">
        <v>恒</v>
      </c>
      <c r="B941">
        <v>9</v>
      </c>
      <c r="C941" t="b">
        <v>1</v>
      </c>
      <c r="D941" t="str">
        <v>コウ</v>
      </c>
      <c r="E941" t="str">
        <v>つね つね（に）</v>
      </c>
      <c r="F941" t="str">
        <v>ちか のぶ ひさ ひさし ひとし わたる</v>
      </c>
      <c r="G941" t="str">
        <v>つね。変わらない。一定している。 つねに。いつも。たえず。 易（エキ）の六十四卦の一つ。 弦を張った弓のような月の形。</v>
      </c>
      <c r="H941" t="str">
        <v>#天空</v>
      </c>
      <c r="I941">
        <v>95</v>
      </c>
      <c r="J941">
        <v>55</v>
      </c>
      <c r="K941">
        <v>55</v>
      </c>
      <c r="L941">
        <v>0</v>
      </c>
      <c r="M941">
        <f>VLOOKUP(A941,[1]kanji_data!$A:$N,14,FALSE)</f>
        <v>0</v>
      </c>
    </row>
    <row r="942">
      <c r="A942" t="str">
        <v>咲</v>
      </c>
      <c r="B942">
        <v>9</v>
      </c>
      <c r="C942" t="b">
        <v>1</v>
      </c>
      <c r="D942" t="str">
        <v>ショウ</v>
      </c>
      <c r="E942" t="str">
        <v>さ（く） わら（う）</v>
      </c>
      <c r="F942" t="str">
        <v>えみ さ さき</v>
      </c>
      <c r="G942" t="str">
        <v>わらう。＝笑 さく。花がさく。つぼみが開く。</v>
      </c>
      <c r="H942" t="str">
        <v>#花・彩</v>
      </c>
      <c r="I942">
        <v>100</v>
      </c>
      <c r="J942">
        <v>25</v>
      </c>
      <c r="K942">
        <v>85</v>
      </c>
      <c r="L942">
        <v>0</v>
      </c>
      <c r="M942">
        <f>VLOOKUP(A942,[1]kanji_data!$A:$N,14,FALSE)</f>
        <v>0</v>
      </c>
    </row>
    <row r="943">
      <c r="A943" t="str">
        <v>掬</v>
      </c>
      <c r="B943">
        <v>11</v>
      </c>
      <c r="C943" t="b">
        <v>0</v>
      </c>
      <c r="D943" t="str">
        <v>キク</v>
      </c>
      <c r="E943" t="str">
        <v>すく（う） むす（ぶ）</v>
      </c>
      <c r="F943">
        <v>0</v>
      </c>
      <c r="G943" t="str">
        <v>すくう。手のひらをあわせてすくう。</v>
      </c>
      <c r="I943">
        <v>10</v>
      </c>
      <c r="J943">
        <v>35</v>
      </c>
      <c r="K943">
        <v>70</v>
      </c>
      <c r="L943">
        <v>0</v>
      </c>
      <c r="M943">
        <f>VLOOKUP(A943,[1]kanji_data!$A:$N,14,FALSE)</f>
        <v>0</v>
      </c>
    </row>
    <row r="944">
      <c r="A944" t="str">
        <v>柔</v>
      </c>
      <c r="B944">
        <v>9</v>
      </c>
      <c r="C944" t="b">
        <v>1</v>
      </c>
      <c r="D944" t="str">
        <v>ジュウ ニュウ</v>
      </c>
      <c r="E944" t="str">
        <v>やわ（らか） やわ（らかい） やさ（しい） やわ（らげる）</v>
      </c>
      <c r="F944" t="str">
        <v>じゅ やわら よし</v>
      </c>
      <c r="G944" t="str">
        <v>やわらかい。やわらか。しなやか。しとやか。おだやか。 やわらげる。なごやかにする。おだやかにする。 やわら。柔術・柔道のこと。</v>
      </c>
      <c r="H944" t="str">
        <v>#慈愛 #調和</v>
      </c>
      <c r="I944">
        <v>95</v>
      </c>
      <c r="J944">
        <v>45</v>
      </c>
      <c r="K944">
        <v>70</v>
      </c>
      <c r="L944">
        <v>0</v>
      </c>
      <c r="M944">
        <f>VLOOKUP(A944,[1]kanji_data!$A:$N,14,FALSE)</f>
        <v>0</v>
      </c>
    </row>
    <row r="945">
      <c r="A945" t="str">
        <v>盾</v>
      </c>
      <c r="B945">
        <v>9</v>
      </c>
      <c r="C945" t="b">
        <v>1</v>
      </c>
      <c r="D945" t="str">
        <v>ジュン</v>
      </c>
      <c r="E945" t="str">
        <v>たて</v>
      </c>
      <c r="F945">
        <v>0</v>
      </c>
      <c r="G945" t="str">
        <v>たて。身を守るための武具。</v>
      </c>
      <c r="H945" t="str">
        <v>#勇気</v>
      </c>
      <c r="I945">
        <v>10</v>
      </c>
      <c r="J945">
        <v>100</v>
      </c>
      <c r="K945">
        <v>20</v>
      </c>
      <c r="L945">
        <v>1</v>
      </c>
    </row>
    <row r="946">
      <c r="A946" t="str">
        <v>羚</v>
      </c>
      <c r="B946">
        <v>11</v>
      </c>
      <c r="C946" t="b">
        <v>0</v>
      </c>
      <c r="D946" t="str">
        <v>レイ リョウ</v>
      </c>
      <c r="E946" t="str">
        <v>かもしか</v>
      </c>
      <c r="F946">
        <v>0</v>
      </c>
      <c r="G946" t="str">
        <v>かもしか。ウシ科カモシカ属の動物。 「羚羊（れいよう）」は、ウシ科に属する動物のうち、ウシ族およびヤギ亜科を除いた多くの種をまとめた総称。アンテロープ。古くは、かもしかとも呼ばれた。</v>
      </c>
      <c r="I946">
        <v>10</v>
      </c>
      <c r="J946">
        <v>85</v>
      </c>
      <c r="K946">
        <v>30</v>
      </c>
      <c r="L946">
        <v>0</v>
      </c>
      <c r="M946">
        <f>VLOOKUP(A946,[1]kanji_data!$A:$N,14,FALSE)</f>
        <v>0</v>
      </c>
    </row>
    <row r="947">
      <c r="A947" t="str">
        <v>是</v>
      </c>
      <c r="B947">
        <v>9</v>
      </c>
      <c r="C947" t="b">
        <v>1</v>
      </c>
      <c r="D947" t="str">
        <v>ゼ シ</v>
      </c>
      <c r="E947" t="str">
        <v>こ（の） これ ただ（しい）</v>
      </c>
      <c r="F947" t="str">
        <v>すなお ただし つな ゆき よし</v>
      </c>
      <c r="G947" t="str">
        <v>ただしい。誤りがない。また、正しいと考える。正しいと見なす。 「これ」「この」「ここ」と読み、人・物・事などを指し示す意を表す。 「これ」と読み、「～だ」「～である」などの意を表す。 「如是」「若是」の形で、「かくのごとし」「かくのごとくんば」と読み、「このようである」「このようであるならば」などの意を表す。</v>
      </c>
      <c r="H947" t="str">
        <v>#品格</v>
      </c>
      <c r="I947">
        <v>5</v>
      </c>
      <c r="J947">
        <v>65</v>
      </c>
      <c r="K947">
        <v>55</v>
      </c>
      <c r="L947">
        <v>1</v>
      </c>
    </row>
    <row r="948">
      <c r="A948" t="str">
        <v>極</v>
      </c>
      <c r="B948">
        <v>12</v>
      </c>
      <c r="C948" t="b">
        <v>1</v>
      </c>
      <c r="D948" t="str">
        <v>キョク ゴク</v>
      </c>
      <c r="E948" t="str">
        <v>きわ（まる） きわ（み） きわ（める） き（まる） き（める）</v>
      </c>
      <c r="F948" t="str">
        <v>なか のり みち</v>
      </c>
      <c r="G948" t="str">
        <v>きわまる。きわめる。やりつくす。達する。 きわみ。はて。かぎり。頂点。 きわめて。この上なく。 この上ないもの。最高のもの。 磁石の端。また、電気回路の端。 ごく。数の単位。１０の４８乗。 きめる。とりきめる。定める。</v>
      </c>
      <c r="I948">
        <v>20</v>
      </c>
      <c r="J948">
        <v>70</v>
      </c>
      <c r="K948">
        <v>50</v>
      </c>
      <c r="L948">
        <v>0</v>
      </c>
      <c r="M948">
        <f>VLOOKUP(A948,[1]kanji_data!$A:$N,14,FALSE)</f>
        <v>0</v>
      </c>
    </row>
    <row r="949">
      <c r="A949" t="str">
        <v>耐</v>
      </c>
      <c r="B949">
        <v>9</v>
      </c>
      <c r="C949" t="b">
        <v>1</v>
      </c>
      <c r="D949" t="str">
        <v>タイ ダイ ドウ ナイ ノウ</v>
      </c>
      <c r="E949" t="str">
        <v>た（える）</v>
      </c>
      <c r="F949" t="str">
        <v>しのぶ たゆる つよし とう とおる</v>
      </c>
      <c r="G949" t="str">
        <v>たえる。こらえる。もちこたえる。しのぶ。こらえしのぶ。 よく。よくする。できる。＝能</v>
      </c>
      <c r="H949" t="str">
        <v>#勇気</v>
      </c>
      <c r="I949">
        <v>20</v>
      </c>
      <c r="J949">
        <v>85</v>
      </c>
      <c r="K949">
        <v>30</v>
      </c>
      <c r="L949">
        <v>0</v>
      </c>
      <c r="M949">
        <f>VLOOKUP(A949,[1]kanji_data!$A:$N,14,FALSE)</f>
        <v>0</v>
      </c>
    </row>
    <row r="950">
      <c r="A950" t="str">
        <v>珍</v>
      </c>
      <c r="B950">
        <v>9</v>
      </c>
      <c r="C950" t="b">
        <v>1</v>
      </c>
      <c r="D950" t="str">
        <v>チン</v>
      </c>
      <c r="E950" t="str">
        <v>めずら（しい）</v>
      </c>
      <c r="F950">
        <v>0</v>
      </c>
      <c r="G950" t="str">
        <v>めずらしい。めったにない。たやすく手に入れられない。貴重な。思いがけない。 めずらしいもの。めずらしいこと。大事なもの。貴重なもの。たから。 ちんとする。めずらしがる。大切にする。</v>
      </c>
      <c r="H950" t="str">
        <v>#心・志 #慈愛</v>
      </c>
      <c r="I950">
        <v>10</v>
      </c>
      <c r="J950">
        <v>20</v>
      </c>
      <c r="K950">
        <v>100</v>
      </c>
      <c r="L950">
        <v>0</v>
      </c>
      <c r="M950">
        <f>VLOOKUP(A950,[1]kanji_data!$A:$N,14,FALSE)</f>
        <v>0</v>
      </c>
    </row>
    <row r="951">
      <c r="A951" t="str">
        <v>怒</v>
      </c>
      <c r="B951">
        <v>9</v>
      </c>
      <c r="C951" t="b">
        <v>1</v>
      </c>
      <c r="D951" t="str">
        <v>ド ヌ</v>
      </c>
      <c r="E951" t="str">
        <v>いか（る） おこ（る）</v>
      </c>
      <c r="F951">
        <v>0</v>
      </c>
      <c r="G951" t="str">
        <v>いかる。おこる。腹を立てる。 はげしい。勢いがある。 はげむ。気持ちをふるい起こす。</v>
      </c>
      <c r="H951" t="str">
        <v>#天空 #心・志</v>
      </c>
      <c r="I951">
        <v>10</v>
      </c>
      <c r="J951">
        <v>50</v>
      </c>
      <c r="K951">
        <v>50</v>
      </c>
      <c r="L951">
        <v>1</v>
      </c>
    </row>
    <row r="952">
      <c r="A952" t="str">
        <v>堤</v>
      </c>
      <c r="B952">
        <v>12</v>
      </c>
      <c r="C952" t="b">
        <v>1</v>
      </c>
      <c r="D952" t="str">
        <v>テイ</v>
      </c>
      <c r="E952" t="str">
        <v>つつみ</v>
      </c>
      <c r="F952">
        <v>0</v>
      </c>
      <c r="G952" t="str">
        <v>つつみ。水をせきとめるために土を盛りあげてつくった土手。堤防。</v>
      </c>
      <c r="I952">
        <v>10</v>
      </c>
      <c r="J952">
        <v>80</v>
      </c>
      <c r="K952">
        <v>45</v>
      </c>
      <c r="L952">
        <v>0</v>
      </c>
      <c r="M952">
        <f>VLOOKUP(A952,[1]kanji_data!$A:$N,14,FALSE)</f>
        <v>0</v>
      </c>
    </row>
    <row r="953">
      <c r="A953" t="str">
        <v>雁</v>
      </c>
      <c r="B953">
        <v>12</v>
      </c>
      <c r="C953" t="b">
        <v>0</v>
      </c>
      <c r="D953" t="str">
        <v>ガン</v>
      </c>
      <c r="E953" t="str">
        <v>かり</v>
      </c>
      <c r="F953" t="str">
        <v>か</v>
      </c>
      <c r="G953" t="str">
        <v>かり。カモ科の水鳥。</v>
      </c>
      <c r="I953">
        <v>20</v>
      </c>
      <c r="J953">
        <v>50</v>
      </c>
      <c r="K953">
        <v>50</v>
      </c>
      <c r="L953">
        <v>0</v>
      </c>
      <c r="M953">
        <f>VLOOKUP(A953,[1]kanji_data!$A:$N,14,FALSE)</f>
        <v>0</v>
      </c>
    </row>
    <row r="954">
      <c r="A954" t="str">
        <v>柄</v>
      </c>
      <c r="B954">
        <v>9</v>
      </c>
      <c r="C954" t="b">
        <v>1</v>
      </c>
      <c r="D954" t="str">
        <v>ヘイ</v>
      </c>
      <c r="E954" t="str">
        <v>え がら いきお（い） つか</v>
      </c>
      <c r="F954">
        <v>0</v>
      </c>
      <c r="G954" t="str">
        <v>え。取っ手。手でにぎる部分。 つか。刀剣や弓などのにぎる部分。 いきおい。強い力。権力。 がら。品位。品格。 がら。体格。体つき。 がら。模様。</v>
      </c>
      <c r="H954" t="str">
        <v>#品格</v>
      </c>
      <c r="I954">
        <v>10</v>
      </c>
      <c r="J954">
        <v>50</v>
      </c>
      <c r="K954">
        <v>50</v>
      </c>
      <c r="L954">
        <v>1</v>
      </c>
    </row>
    <row r="955">
      <c r="A955" t="str">
        <v>盟</v>
      </c>
      <c r="B955">
        <v>13</v>
      </c>
      <c r="C955" t="b">
        <v>1</v>
      </c>
      <c r="D955" t="str">
        <v>メイ</v>
      </c>
      <c r="E955" t="str">
        <v>ちか（う）</v>
      </c>
      <c r="F955">
        <v>0</v>
      </c>
      <c r="G955" t="str">
        <v>ちかう。ちかい。神仏や人と約束をする。 地名に用いる字。</v>
      </c>
      <c r="I955">
        <v>10</v>
      </c>
      <c r="J955">
        <v>60</v>
      </c>
      <c r="K955">
        <v>60</v>
      </c>
      <c r="L955">
        <v>0</v>
      </c>
      <c r="M955">
        <f>VLOOKUP(A955,[1]kanji_data!$A:$N,14,FALSE)</f>
        <v>0</v>
      </c>
    </row>
    <row r="956">
      <c r="A956" t="str">
        <v>鼓</v>
      </c>
      <c r="B956">
        <v>13</v>
      </c>
      <c r="C956" t="b">
        <v>1</v>
      </c>
      <c r="D956" t="str">
        <v>コ</v>
      </c>
      <c r="E956" t="str">
        <v>つづみ</v>
      </c>
      <c r="F956">
        <v>0</v>
      </c>
      <c r="G956" t="str">
        <v>つづみ。太鼓。打楽器の一種。 たたく。うつ。うち鳴らす。 ふるいおこす。ふるいたたせる。</v>
      </c>
      <c r="I956">
        <v>10</v>
      </c>
      <c r="J956">
        <v>90</v>
      </c>
      <c r="K956">
        <v>35</v>
      </c>
      <c r="L956">
        <v>0</v>
      </c>
      <c r="M956">
        <f>VLOOKUP(A956,[1]kanji_data!$A:$N,14,FALSE)</f>
        <v>0</v>
      </c>
    </row>
    <row r="957">
      <c r="A957" t="str">
        <v>郎</v>
      </c>
      <c r="B957">
        <v>9</v>
      </c>
      <c r="C957" t="b">
        <v>1</v>
      </c>
      <c r="D957" t="str">
        <v>ロウ</v>
      </c>
      <c r="E957" t="str">
        <v>おとこ</v>
      </c>
      <c r="F957" t="str">
        <v>あき あきら お</v>
      </c>
      <c r="G957" t="str">
        <v>おとこ。男子。夫。息子。若い男性をいうことば。 古代中国で用いられた官名。 春秋時代の魯の地名。 男子の名前につける。</v>
      </c>
      <c r="H957" t="str">
        <v>#品格 #調和</v>
      </c>
      <c r="I957">
        <v>100</v>
      </c>
      <c r="J957">
        <v>35</v>
      </c>
      <c r="K957">
        <v>70</v>
      </c>
      <c r="L957">
        <v>0</v>
      </c>
      <c r="M957">
        <f>VLOOKUP(A957,[1]kanji_data!$A:$N,14,FALSE)</f>
        <v>0</v>
      </c>
    </row>
    <row r="958">
      <c r="A958" t="str">
        <v>哀</v>
      </c>
      <c r="B958">
        <v>9</v>
      </c>
      <c r="C958" t="b">
        <v>1</v>
      </c>
      <c r="D958" t="str">
        <v>アイ</v>
      </c>
      <c r="E958" t="str">
        <v>あわ（れ） あわ（れむ） かな（しい） かな（しむ）</v>
      </c>
      <c r="F958">
        <v>0</v>
      </c>
      <c r="G958" t="str">
        <v>あわれ。あわれむ。かわいそうに思う。 かなしい。かなしむ。心が痛んでつらい気持ち。 喪。喪中。特に父母の喪についていう。</v>
      </c>
      <c r="H958" t="str">
        <v>#心・志 #慈愛</v>
      </c>
      <c r="I958">
        <v>10</v>
      </c>
      <c r="J958">
        <v>50</v>
      </c>
      <c r="K958">
        <v>50</v>
      </c>
      <c r="L958">
        <v>1</v>
      </c>
    </row>
    <row r="959">
      <c r="A959" t="str">
        <v>楼</v>
      </c>
      <c r="B959">
        <v>13</v>
      </c>
      <c r="C959" t="b">
        <v>1</v>
      </c>
      <c r="D959" t="str">
        <v>ロウ</v>
      </c>
      <c r="E959" t="str">
        <v>たかどの やぐら</v>
      </c>
      <c r="F959" t="str">
        <v>ろ</v>
      </c>
      <c r="G959" t="str">
        <v>たかどの。高層の建物。 やぐら。ものみやぐら。</v>
      </c>
      <c r="I959">
        <v>20</v>
      </c>
      <c r="J959">
        <v>75</v>
      </c>
      <c r="K959">
        <v>40</v>
      </c>
      <c r="L959">
        <v>0</v>
      </c>
      <c r="M959">
        <f>VLOOKUP(A959,[1]kanji_data!$A:$N,14,FALSE)</f>
        <v>0</v>
      </c>
    </row>
    <row r="960">
      <c r="A960" t="str">
        <v>鼎</v>
      </c>
      <c r="B960">
        <v>13</v>
      </c>
      <c r="C960" t="b">
        <v>0</v>
      </c>
      <c r="D960" t="str">
        <v>テイ</v>
      </c>
      <c r="E960" t="str">
        <v>かなえ まさ（に）</v>
      </c>
      <c r="F960" t="str">
        <v>かな かない かね</v>
      </c>
      <c r="G960" t="str">
        <v>かなえ。三本足で耳が二つある器。 かなえの足のように、三者が並び立つ。 まさに。ちょうど。ちょうど～だ。 易（エキ）の六十四卦の一つ。</v>
      </c>
      <c r="I960">
        <v>20</v>
      </c>
      <c r="J960">
        <v>60</v>
      </c>
      <c r="K960">
        <v>60</v>
      </c>
      <c r="L960">
        <v>0</v>
      </c>
      <c r="M960">
        <f>VLOOKUP(A960,[1]kanji_data!$A:$N,14,FALSE)</f>
        <v>0</v>
      </c>
    </row>
    <row r="961">
      <c r="A961" t="str">
        <v>悔</v>
      </c>
      <c r="B961">
        <v>9</v>
      </c>
      <c r="C961" t="b">
        <v>1</v>
      </c>
      <c r="D961" t="str">
        <v>カイ ケ</v>
      </c>
      <c r="E961" t="str">
        <v>く（いる） くや（しい） く（やむ）</v>
      </c>
      <c r="F961">
        <v>0</v>
      </c>
      <c r="G961" t="str">
        <v>くいる。くやむ。自分のした間違いや失敗に気づき、残念がったり反省したりする。 くい。残念に思う気持ち。 くやみ。くやむ。人の死を悲しみいたむ。 くやしい。残念である。</v>
      </c>
      <c r="H961" t="str">
        <v>#心・志</v>
      </c>
      <c r="I961">
        <v>10</v>
      </c>
      <c r="J961">
        <v>50</v>
      </c>
      <c r="K961">
        <v>50</v>
      </c>
      <c r="L961">
        <v>1</v>
      </c>
    </row>
    <row r="962">
      <c r="A962" t="str">
        <v>冠</v>
      </c>
      <c r="B962">
        <v>9</v>
      </c>
      <c r="C962" t="b">
        <v>1</v>
      </c>
      <c r="D962" t="str">
        <v>カン</v>
      </c>
      <c r="E962" t="str">
        <v>かんむり かむ（る）</v>
      </c>
      <c r="F962">
        <v>0</v>
      </c>
      <c r="G962" t="str">
        <v>かんむり。頭にかぶるもの。 かむる。かぶる。かんむりをかぶる。 成年。成人すること。昔、二十歳の成人の儀式でかんむりをつけることによるもの。 一番すぐれている。最上。 かんむり。漢字の部首。漢字の上側の部分。</v>
      </c>
      <c r="H962" t="str">
        <v>#品格 #幸福</v>
      </c>
      <c r="I962">
        <v>40</v>
      </c>
      <c r="J962">
        <v>90</v>
      </c>
      <c r="K962">
        <v>55</v>
      </c>
      <c r="L962">
        <v>0</v>
      </c>
      <c r="M962">
        <f>VLOOKUP(A962,[1]kanji_data!$A:$N,14,FALSE)</f>
        <v>0</v>
      </c>
    </row>
    <row r="963">
      <c r="A963" t="str">
        <v>稟</v>
      </c>
      <c r="B963">
        <v>13</v>
      </c>
      <c r="C963" t="b">
        <v>0</v>
      </c>
      <c r="D963" t="str">
        <v>ヒン リン</v>
      </c>
      <c r="E963" t="str">
        <v>う（ける） こめぐら ふち もう（す）</v>
      </c>
      <c r="F963" t="str">
        <v>り</v>
      </c>
      <c r="G963" t="str">
        <v>受ける。授かる。上から下に与える。 扶持。俸給。また、俸給としての穀物。 生まれつき。天からさずかった性質。例：天稟（てんぴん） 申す。申し上げる。 こめぐら。食糧。</v>
      </c>
      <c r="I963">
        <v>20</v>
      </c>
      <c r="J963">
        <v>55</v>
      </c>
      <c r="K963">
        <v>60</v>
      </c>
      <c r="L963">
        <v>0</v>
      </c>
      <c r="M963">
        <f>VLOOKUP(A963,[1]kanji_data!$A:$N,14,FALSE)</f>
        <v>0</v>
      </c>
    </row>
    <row r="964">
      <c r="A964" t="str">
        <v>熊</v>
      </c>
      <c r="B964">
        <v>14</v>
      </c>
      <c r="C964" t="b">
        <v>1</v>
      </c>
      <c r="D964" t="str">
        <v>ユウ ユ</v>
      </c>
      <c r="E964" t="str">
        <v>くま</v>
      </c>
      <c r="F964">
        <v>0</v>
      </c>
      <c r="G964" t="str">
        <v>くま。動物の名。</v>
      </c>
      <c r="I964">
        <v>10</v>
      </c>
      <c r="J964">
        <v>85</v>
      </c>
      <c r="K964">
        <v>30</v>
      </c>
      <c r="L964">
        <v>0</v>
      </c>
      <c r="M964">
        <f>VLOOKUP(A964,[1]kanji_data!$A:$N,14,FALSE)</f>
        <v>0</v>
      </c>
    </row>
    <row r="965">
      <c r="A965" t="str">
        <v>賞</v>
      </c>
      <c r="B965">
        <v>15</v>
      </c>
      <c r="C965" t="b">
        <v>1</v>
      </c>
      <c r="D965" t="str">
        <v>ショウ</v>
      </c>
      <c r="E965" t="str">
        <v>ほ（める） め（でる）</v>
      </c>
      <c r="F965" t="str">
        <v>あき あきら すすむ たか たかし ほむ よし</v>
      </c>
      <c r="G965" t="str">
        <v>ほうび。たまもの。 たまわる。金品をたまわる。ほうびをたまわる。 ほめる。ほめたたえる。</v>
      </c>
      <c r="I965">
        <v>20</v>
      </c>
      <c r="J965">
        <v>65</v>
      </c>
      <c r="K965">
        <v>45</v>
      </c>
      <c r="L965">
        <v>0</v>
      </c>
      <c r="M965">
        <f>VLOOKUP(A965,[1]kanji_data!$A:$N,14,FALSE)</f>
        <v>0</v>
      </c>
    </row>
    <row r="966">
      <c r="A966" t="str">
        <v>駕</v>
      </c>
      <c r="B966">
        <v>15</v>
      </c>
      <c r="C966" t="b">
        <v>0</v>
      </c>
      <c r="D966" t="str">
        <v>ガ</v>
      </c>
      <c r="E966" t="str">
        <v>しの（ぐ） のりもの の（る）</v>
      </c>
      <c r="F966" t="str">
        <v>か のり</v>
      </c>
      <c r="G966" t="str">
        <v>牛や馬に車をつける。 のる。馬車などの乗り物にのる。 のりもの。天子の乗り物。 あやつる。使いこなす。 しのぐ。こえる。のりこえる。</v>
      </c>
      <c r="I966">
        <v>20</v>
      </c>
      <c r="J966">
        <v>95</v>
      </c>
      <c r="K966">
        <v>40</v>
      </c>
      <c r="L966">
        <v>0</v>
      </c>
      <c r="M966">
        <f>VLOOKUP(A966,[1]kanji_data!$A:$N,14,FALSE)</f>
        <v>0</v>
      </c>
    </row>
    <row r="967">
      <c r="A967" t="str">
        <v>幡</v>
      </c>
      <c r="B967">
        <v>15</v>
      </c>
      <c r="C967" t="b">
        <v>0</v>
      </c>
      <c r="D967" t="str">
        <v>ハン ホン マン</v>
      </c>
      <c r="E967" t="str">
        <v>のぼり はた ひるがえ（る）</v>
      </c>
      <c r="F967" t="str">
        <v>のぼ は</v>
      </c>
      <c r="G967" t="str">
        <v>はた。のぼり。垂れ下げたはた。＝旛 ひるがえる。ひるがえす。ひっくりかえす。</v>
      </c>
      <c r="I967">
        <v>20</v>
      </c>
      <c r="J967">
        <v>75</v>
      </c>
      <c r="K967">
        <v>40</v>
      </c>
      <c r="L967">
        <v>0</v>
      </c>
      <c r="M967">
        <f>VLOOKUP(A967,[1]kanji_data!$A:$N,14,FALSE)</f>
        <v>0</v>
      </c>
    </row>
    <row r="968">
      <c r="A968" t="str">
        <v>諄</v>
      </c>
      <c r="B968">
        <v>15</v>
      </c>
      <c r="C968" t="b">
        <v>0</v>
      </c>
      <c r="D968" t="str">
        <v>シュン ジュン</v>
      </c>
      <c r="E968" t="str">
        <v>あつ（い） くど（い） ねんご（ろ） まこと</v>
      </c>
      <c r="F968" t="str">
        <v>あつ いたる しげ じん とも のぶ</v>
      </c>
      <c r="G968" t="str">
        <v>ねんごろ。丁寧。手厚い。 くどい。にぶい。しつこい。</v>
      </c>
      <c r="I968">
        <v>20</v>
      </c>
      <c r="J968">
        <v>40</v>
      </c>
      <c r="K968">
        <v>85</v>
      </c>
      <c r="L968">
        <v>0</v>
      </c>
      <c r="M968">
        <f>VLOOKUP(A968,[1]kanji_data!$A:$N,14,FALSE)</f>
        <v>0</v>
      </c>
    </row>
    <row r="969">
      <c r="A969" t="str">
        <v>郊</v>
      </c>
      <c r="B969">
        <v>9</v>
      </c>
      <c r="C969" t="b">
        <v>1</v>
      </c>
      <c r="D969" t="str">
        <v>コウ</v>
      </c>
      <c r="E969">
        <v>0</v>
      </c>
      <c r="F969">
        <v>0</v>
      </c>
      <c r="G969" t="str">
        <v>都のはずれ。町はずれ。 まつり。まつる。 いなか。 はら。のら。田野。</v>
      </c>
      <c r="H969" t="str">
        <v>#自然</v>
      </c>
      <c r="I969">
        <v>10</v>
      </c>
      <c r="J969">
        <v>50</v>
      </c>
      <c r="K969">
        <v>50</v>
      </c>
      <c r="L969">
        <v>1</v>
      </c>
    </row>
    <row r="970">
      <c r="A970" t="str">
        <v>恨</v>
      </c>
      <c r="B970">
        <v>9</v>
      </c>
      <c r="C970" t="b">
        <v>1</v>
      </c>
      <c r="D970" t="str">
        <v>コン</v>
      </c>
      <c r="E970" t="str">
        <v>うら（む） うら（めしい）</v>
      </c>
      <c r="F970">
        <v>0</v>
      </c>
      <c r="G970" t="str">
        <v>うらむ。うらめしい。残念に思う。にくらしく思う。くやしく思う。</v>
      </c>
      <c r="H970" t="str">
        <v>#心・志</v>
      </c>
      <c r="I970">
        <v>0</v>
      </c>
      <c r="J970">
        <v>50</v>
      </c>
      <c r="K970">
        <v>50</v>
      </c>
      <c r="L970">
        <v>1</v>
      </c>
    </row>
    <row r="971">
      <c r="A971" t="str">
        <v>削</v>
      </c>
      <c r="B971">
        <v>9</v>
      </c>
      <c r="C971" t="b">
        <v>1</v>
      </c>
      <c r="D971" t="str">
        <v>サク ショウ</v>
      </c>
      <c r="E971" t="str">
        <v>けず（る） そ（ぐ） はつ（る）</v>
      </c>
      <c r="F971">
        <v>0</v>
      </c>
      <c r="G971" t="str">
        <v>けずる。そぐ。はつる。けずりとる。表面を薄く切って取り除く。 竹や木などに書いた文字をけずるための小刀。 刀の鞘。</v>
      </c>
      <c r="H971" t="str">
        <v>#自然</v>
      </c>
      <c r="I971">
        <v>10</v>
      </c>
      <c r="J971">
        <v>50</v>
      </c>
      <c r="K971">
        <v>50</v>
      </c>
      <c r="L971">
        <v>1</v>
      </c>
    </row>
    <row r="972">
      <c r="A972" t="str">
        <v>施</v>
      </c>
      <c r="B972">
        <v>9</v>
      </c>
      <c r="C972" t="b">
        <v>1</v>
      </c>
      <c r="D972" t="str">
        <v>シ セ</v>
      </c>
      <c r="E972" t="str">
        <v>ほどこ（す） し（く）</v>
      </c>
      <c r="F972">
        <v>0</v>
      </c>
      <c r="G972" t="str">
        <v>ほどこす。おこなう。実行する。 ほどこす。もうける。 ほどこす。めぐむ。めぐみあたえる。 しく。広く行き渡らせる。</v>
      </c>
      <c r="H972" t="str">
        <v>#慈愛</v>
      </c>
      <c r="I972">
        <v>10</v>
      </c>
      <c r="J972">
        <v>45</v>
      </c>
      <c r="K972">
        <v>70</v>
      </c>
      <c r="L972">
        <v>0</v>
      </c>
      <c r="M972">
        <f>VLOOKUP(A972,[1]kanji_data!$A:$N,14,FALSE)</f>
        <v>0</v>
      </c>
    </row>
    <row r="973">
      <c r="A973" t="str">
        <v>醍</v>
      </c>
      <c r="B973">
        <v>16</v>
      </c>
      <c r="C973" t="b">
        <v>0</v>
      </c>
      <c r="D973" t="str">
        <v>ダイ テイ</v>
      </c>
      <c r="E973">
        <v>0</v>
      </c>
      <c r="F973">
        <v>0</v>
      </c>
      <c r="G973" t="str">
        <v>「醍醐（だいご）」は乳製品の一種。 赤みを帯びた酒。</v>
      </c>
      <c r="I973">
        <v>10</v>
      </c>
      <c r="J973">
        <v>70</v>
      </c>
      <c r="K973">
        <v>50</v>
      </c>
      <c r="L973">
        <v>0</v>
      </c>
      <c r="M973">
        <f>VLOOKUP(A973,[1]kanji_data!$A:$N,14,FALSE)</f>
        <v>0</v>
      </c>
    </row>
    <row r="974">
      <c r="A974" t="str">
        <v>促</v>
      </c>
      <c r="B974">
        <v>9</v>
      </c>
      <c r="C974" t="b">
        <v>1</v>
      </c>
      <c r="D974" t="str">
        <v>ソク</v>
      </c>
      <c r="E974" t="str">
        <v>うなが（す） せま（る）</v>
      </c>
      <c r="F974">
        <v>0</v>
      </c>
      <c r="G974" t="str">
        <v>うながす。急がせる。急き立てる。 せまる。間が縮まる。せわしい。</v>
      </c>
      <c r="H974" t="str">
        <v>#天空</v>
      </c>
      <c r="I974">
        <v>10</v>
      </c>
      <c r="J974">
        <v>65</v>
      </c>
      <c r="K974">
        <v>50</v>
      </c>
      <c r="L974">
        <v>1</v>
      </c>
    </row>
    <row r="975">
      <c r="A975" t="str">
        <v>鮎</v>
      </c>
      <c r="B975">
        <v>16</v>
      </c>
      <c r="C975" t="b">
        <v>0</v>
      </c>
      <c r="D975" t="str">
        <v>デン ネン</v>
      </c>
      <c r="E975" t="str">
        <v>あゆ なまず</v>
      </c>
      <c r="F975">
        <v>0</v>
      </c>
      <c r="G975" t="str">
        <v>なまず。ナマズ科の淡水魚。 あゆ。アユ科の淡水魚。</v>
      </c>
      <c r="I975">
        <v>10</v>
      </c>
      <c r="J975">
        <v>55</v>
      </c>
      <c r="K975">
        <v>55</v>
      </c>
      <c r="L975">
        <v>0</v>
      </c>
      <c r="M975">
        <f>VLOOKUP(A975,[1]kanji_data!$A:$N,14,FALSE)</f>
        <v>0</v>
      </c>
    </row>
    <row r="976">
      <c r="A976" t="str">
        <v>怠</v>
      </c>
      <c r="B976">
        <v>9</v>
      </c>
      <c r="C976" t="b">
        <v>1</v>
      </c>
      <c r="D976" t="str">
        <v>タイ</v>
      </c>
      <c r="E976" t="str">
        <v>おこた（る） なま（ける） だる（い）</v>
      </c>
      <c r="F976">
        <v>0</v>
      </c>
      <c r="G976" t="str">
        <v>おこたる。なまける。気持ちがゆるむ。</v>
      </c>
      <c r="H976" t="str">
        <v>#心・志</v>
      </c>
      <c r="I976">
        <v>10</v>
      </c>
      <c r="J976">
        <v>50</v>
      </c>
      <c r="K976">
        <v>50</v>
      </c>
      <c r="L976">
        <v>1</v>
      </c>
    </row>
    <row r="977">
      <c r="A977" t="str">
        <v>胆</v>
      </c>
      <c r="B977">
        <v>9</v>
      </c>
      <c r="C977" t="b">
        <v>1</v>
      </c>
      <c r="D977" t="str">
        <v>タン トウ</v>
      </c>
      <c r="E977" t="str">
        <v>きも</v>
      </c>
      <c r="F977">
        <v>0</v>
      </c>
      <c r="G977" t="str">
        <v>きも。胆嚢。内臓の一つ。 気力。きもったま。きもだま。度胸。判断力。勇気。 心。本心。</v>
      </c>
      <c r="H977" t="str">
        <v>#勇気 #知性</v>
      </c>
      <c r="I977">
        <v>10</v>
      </c>
      <c r="J977">
        <v>80</v>
      </c>
      <c r="K977">
        <v>50</v>
      </c>
      <c r="L977">
        <v>0</v>
      </c>
      <c r="M977">
        <f>VLOOKUP(A977,[1]kanji_data!$A:$N,14,FALSE)</f>
        <v>0</v>
      </c>
    </row>
    <row r="978">
      <c r="A978" t="str">
        <v>譜</v>
      </c>
      <c r="B978">
        <v>19</v>
      </c>
      <c r="C978" t="b">
        <v>1</v>
      </c>
      <c r="D978" t="str">
        <v>フ</v>
      </c>
      <c r="E978" t="str">
        <v>しる（す） つづ（く）</v>
      </c>
      <c r="F978">
        <v>0</v>
      </c>
      <c r="G978" t="str">
        <v>系統・順序などを書き並べたもの。系図。例：系譜 年譜 系統・順序にしたがって書くこと。 音楽の曲折を符号で記したもの。例：楽譜 音譜</v>
      </c>
      <c r="I978">
        <v>10</v>
      </c>
      <c r="J978">
        <v>55</v>
      </c>
      <c r="K978">
        <v>55</v>
      </c>
      <c r="L978">
        <v>0</v>
      </c>
      <c r="M978">
        <f>VLOOKUP(A978,[1]kanji_data!$A:$N,14,FALSE)</f>
        <v>0</v>
      </c>
    </row>
    <row r="979">
      <c r="A979" t="str">
        <v>帝</v>
      </c>
      <c r="B979">
        <v>9</v>
      </c>
      <c r="C979" t="b">
        <v>1</v>
      </c>
      <c r="D979" t="str">
        <v>テイ タイ</v>
      </c>
      <c r="E979" t="str">
        <v>みかど</v>
      </c>
      <c r="F979">
        <v>0</v>
      </c>
      <c r="G979" t="str">
        <v>みかど。天子。天下を治める者。 天の神。万物を支配する神。</v>
      </c>
      <c r="H979" t="str">
        <v>#品格</v>
      </c>
      <c r="I979">
        <v>50</v>
      </c>
      <c r="J979">
        <v>70</v>
      </c>
      <c r="K979">
        <v>55</v>
      </c>
      <c r="L979">
        <v>0</v>
      </c>
      <c r="M979">
        <f>VLOOKUP(A979,[1]kanji_data!$A:$N,14,FALSE)</f>
        <v>0</v>
      </c>
    </row>
    <row r="980">
      <c r="A980" t="str">
        <v>轟</v>
      </c>
      <c r="B980">
        <v>21</v>
      </c>
      <c r="C980" t="b">
        <v>0</v>
      </c>
      <c r="D980" t="str">
        <v>ゴウ</v>
      </c>
      <c r="E980" t="str">
        <v>とどろ（く）</v>
      </c>
      <c r="F980" t="str">
        <v>こう</v>
      </c>
      <c r="G980" t="str">
        <v>とどろき。車、雷鳴、爆発などの大きな音。 とどろく。大きな音が鳴り響く。 火薬などが爆発する。 きわめて。非常に。はなはだしいさま。 とどろく。名前が広く知れわたる。 胸がどきどきする。</v>
      </c>
      <c r="I980">
        <v>20</v>
      </c>
      <c r="J980">
        <v>85</v>
      </c>
      <c r="K980">
        <v>30</v>
      </c>
      <c r="L980">
        <v>0</v>
      </c>
      <c r="M980">
        <f>VLOOKUP(A980,[1]kanji_data!$A:$N,14,FALSE)</f>
        <v>0</v>
      </c>
    </row>
    <row r="981">
      <c r="A981" t="str">
        <v>廿</v>
      </c>
      <c r="B981">
        <v>4</v>
      </c>
      <c r="C981" t="b">
        <v>0</v>
      </c>
      <c r="D981" t="str">
        <v>ジュウ</v>
      </c>
      <c r="E981" t="str">
        <v>にじゅう</v>
      </c>
      <c r="F981">
        <v>0</v>
      </c>
      <c r="G981" t="str">
        <v>二十。十の二倍。</v>
      </c>
      <c r="I981">
        <v>10</v>
      </c>
      <c r="J981">
        <v>50</v>
      </c>
      <c r="K981">
        <v>50</v>
      </c>
      <c r="L981">
        <v>1</v>
      </c>
    </row>
    <row r="982">
      <c r="A982" t="str">
        <v>丼</v>
      </c>
      <c r="B982">
        <v>5</v>
      </c>
      <c r="C982" t="b">
        <v>1</v>
      </c>
      <c r="D982" t="str">
        <v>セイ ショウ タン トン</v>
      </c>
      <c r="E982" t="str">
        <v>どん どんぶり</v>
      </c>
      <c r="F982">
        <v>0</v>
      </c>
      <c r="G982" t="str">
        <v>い。いど。いげた。＝井 いどの中に投げこんだ物が発する音。 どん。どんぶり。ご飯などをよそう厚くて深みのある陶器。</v>
      </c>
      <c r="I982">
        <v>10</v>
      </c>
      <c r="J982">
        <v>55</v>
      </c>
      <c r="K982">
        <v>55</v>
      </c>
      <c r="L982">
        <v>1</v>
      </c>
    </row>
    <row r="983">
      <c r="A983" t="str">
        <v>朽</v>
      </c>
      <c r="B983">
        <v>6</v>
      </c>
      <c r="C983" t="b">
        <v>1</v>
      </c>
      <c r="D983" t="str">
        <v>キュウ</v>
      </c>
      <c r="E983" t="str">
        <v>く（ちる） すた（れる）</v>
      </c>
      <c r="F983">
        <v>0</v>
      </c>
      <c r="G983" t="str">
        <v>くちる。木などが腐る。 くちる。すたれる。ほろびる。だめになる。</v>
      </c>
      <c r="I983">
        <v>10</v>
      </c>
      <c r="J983">
        <v>55</v>
      </c>
      <c r="K983">
        <v>55</v>
      </c>
      <c r="L983">
        <v>1</v>
      </c>
    </row>
    <row r="984">
      <c r="A984" t="str">
        <v>某</v>
      </c>
      <c r="B984">
        <v>9</v>
      </c>
      <c r="C984" t="b">
        <v>1</v>
      </c>
      <c r="D984" t="str">
        <v>ボウ バイ</v>
      </c>
      <c r="E984" t="str">
        <v>それがし なにがし</v>
      </c>
      <c r="F984">
        <v>0</v>
      </c>
      <c r="G984" t="str">
        <v>それがし。なにがし。人の名・物事・時間・場所などがはっきりしない、またわざとぼかしていうときに用いることば。 それがし。自分のことをへりくだっていうことば。 うめ。＝梅</v>
      </c>
      <c r="H984" t="str">
        <v>#花・彩</v>
      </c>
      <c r="I984">
        <v>10</v>
      </c>
      <c r="J984">
        <v>50</v>
      </c>
      <c r="K984">
        <v>50</v>
      </c>
      <c r="L984">
        <v>1</v>
      </c>
    </row>
    <row r="985">
      <c r="A985" t="str">
        <v>臼</v>
      </c>
      <c r="B985">
        <v>6</v>
      </c>
      <c r="C985" t="b">
        <v>1</v>
      </c>
      <c r="D985" t="str">
        <v>キュウ</v>
      </c>
      <c r="E985" t="str">
        <v>うす</v>
      </c>
      <c r="F985">
        <v>0</v>
      </c>
      <c r="G985" t="str">
        <v>うす。つきうす。米などをつく道具。 うすづく。うすでつく。</v>
      </c>
      <c r="I985">
        <v>10</v>
      </c>
      <c r="J985">
        <v>55</v>
      </c>
      <c r="K985">
        <v>55</v>
      </c>
      <c r="L985">
        <v>1</v>
      </c>
    </row>
    <row r="986">
      <c r="A986" t="str">
        <v>床</v>
      </c>
      <c r="B986">
        <v>7</v>
      </c>
      <c r="C986" t="b">
        <v>1</v>
      </c>
      <c r="D986" t="str">
        <v>ショウ</v>
      </c>
      <c r="E986" t="str">
        <v>とこ ゆか</v>
      </c>
      <c r="F986">
        <v>0</v>
      </c>
      <c r="G986" t="str">
        <v>とこ。寝台。ベット。また、腰を掛ける台。 とこ。寝どこ。 とこ。床屋の略。 ゆか。家の中の板を張った所。 ゆかしい。なつかしく感じられる。 ゆかしい。おくゆかしい。</v>
      </c>
      <c r="I986">
        <v>10</v>
      </c>
      <c r="J986">
        <v>55</v>
      </c>
      <c r="K986">
        <v>55</v>
      </c>
      <c r="L986">
        <v>1</v>
      </c>
    </row>
    <row r="987">
      <c r="A987" t="str">
        <v>劫</v>
      </c>
      <c r="B987">
        <v>7</v>
      </c>
      <c r="C987" t="b">
        <v>0</v>
      </c>
      <c r="D987" t="str">
        <v>キョウ コウ ゴウ</v>
      </c>
      <c r="E987" t="str">
        <v>おびや（かす） かす（める）</v>
      </c>
      <c r="F987">
        <v>0</v>
      </c>
      <c r="G987" t="str">
        <v>おびやかす。おどす。 かすめる。かすめとる。奪い取る。 きわめて長い時間（仏教語）。 こう。囲碁でできる形。</v>
      </c>
      <c r="I987">
        <v>10</v>
      </c>
      <c r="J987">
        <v>55</v>
      </c>
      <c r="K987">
        <v>55</v>
      </c>
      <c r="L987">
        <v>1</v>
      </c>
    </row>
    <row r="988">
      <c r="A988" t="str">
        <v>每</v>
      </c>
      <c r="B988">
        <v>7</v>
      </c>
      <c r="C988" t="b">
        <v>0</v>
      </c>
      <c r="D988" t="str">
        <v>マイ バイ</v>
      </c>
      <c r="E988" t="str">
        <v>ごと つね むさぼ（る）</v>
      </c>
      <c r="F988">
        <v>0</v>
      </c>
      <c r="G988" t="str">
        <v>つね。つねに。ごと。ごとに。いつも。そのたびごとに。 むさぼる。求める。 いえども。</v>
      </c>
      <c r="I988">
        <v>10</v>
      </c>
      <c r="J988">
        <v>55</v>
      </c>
      <c r="K988">
        <v>55</v>
      </c>
      <c r="L988">
        <v>1</v>
      </c>
    </row>
    <row r="989">
      <c r="A989" t="str">
        <v>枠</v>
      </c>
      <c r="B989">
        <v>8</v>
      </c>
      <c r="C989" t="b">
        <v>1</v>
      </c>
      <c r="D989">
        <v>0</v>
      </c>
      <c r="E989" t="str">
        <v>わく</v>
      </c>
      <c r="F989">
        <v>0</v>
      </c>
      <c r="G989" t="str">
        <v>わく。外側をふちどって囲むもの。 わく。一定の範囲。また、制約。</v>
      </c>
      <c r="I989">
        <v>10</v>
      </c>
      <c r="J989">
        <v>55</v>
      </c>
      <c r="K989">
        <v>55</v>
      </c>
      <c r="L989">
        <v>1</v>
      </c>
    </row>
    <row r="990">
      <c r="A990" t="str">
        <v>杵</v>
      </c>
      <c r="B990">
        <v>8</v>
      </c>
      <c r="C990" t="b">
        <v>0</v>
      </c>
      <c r="D990" t="str">
        <v>ショ</v>
      </c>
      <c r="E990" t="str">
        <v>きね</v>
      </c>
      <c r="F990">
        <v>0</v>
      </c>
      <c r="G990" t="str">
        <v>きね。臼（うす）の中の穀物などをつく道具。 つち。ものをたたく道具。 たて。身を守るための大きな盾。</v>
      </c>
      <c r="I990">
        <v>10</v>
      </c>
      <c r="J990">
        <v>55</v>
      </c>
      <c r="K990">
        <v>55</v>
      </c>
      <c r="L990">
        <v>1</v>
      </c>
    </row>
    <row r="991">
      <c r="A991" t="str">
        <v>袖</v>
      </c>
      <c r="B991">
        <v>10</v>
      </c>
      <c r="C991" t="b">
        <v>1</v>
      </c>
      <c r="D991" t="str">
        <v>シュウ</v>
      </c>
      <c r="E991" t="str">
        <v>そで</v>
      </c>
      <c r="F991">
        <v>0</v>
      </c>
      <c r="G991" t="str">
        <v>そで。衣服のそで。 そでにする。そでの中に物を入れる。</v>
      </c>
      <c r="I991">
        <v>10</v>
      </c>
      <c r="J991">
        <v>50</v>
      </c>
      <c r="K991">
        <v>50</v>
      </c>
      <c r="L991">
        <v>1</v>
      </c>
    </row>
    <row r="992">
      <c r="A992" t="str">
        <v>刃</v>
      </c>
      <c r="B992">
        <v>3</v>
      </c>
      <c r="C992" t="b">
        <v>1</v>
      </c>
      <c r="D992" t="str">
        <v>ジン ニン</v>
      </c>
      <c r="E992" t="str">
        <v>は き（る） やいば</v>
      </c>
      <c r="F992">
        <v>0</v>
      </c>
      <c r="G992" t="str">
        <v>は。やいば。刀などの鋭い部分。 きる。刀などで切る。切り殺す。</v>
      </c>
      <c r="I992">
        <v>10</v>
      </c>
      <c r="J992">
        <v>85</v>
      </c>
      <c r="K992">
        <v>30</v>
      </c>
      <c r="L992">
        <v>1</v>
      </c>
    </row>
    <row r="993">
      <c r="A993" t="str">
        <v>洪</v>
      </c>
      <c r="B993">
        <v>9</v>
      </c>
      <c r="C993" t="b">
        <v>1</v>
      </c>
      <c r="D993" t="str">
        <v>コウ</v>
      </c>
      <c r="E993" t="str">
        <v>おおみず</v>
      </c>
      <c r="F993">
        <v>0</v>
      </c>
      <c r="G993" t="str">
        <v>おおみず。川や湖が氾濫すること。例：洪水 大きい。広大。すぐれた。おおらかな。立派な。 国名「洪牙利（ハンガリー）」の略。</v>
      </c>
      <c r="H993" t="str">
        <v>#品格 #海・水</v>
      </c>
      <c r="I993">
        <v>10</v>
      </c>
      <c r="J993">
        <v>75</v>
      </c>
      <c r="K993">
        <v>45</v>
      </c>
      <c r="L993">
        <v>0</v>
      </c>
      <c r="M993">
        <f>VLOOKUP(A993,[1]kanji_data!$A:$N,14,FALSE)</f>
        <v>0</v>
      </c>
    </row>
    <row r="994">
      <c r="A994" t="str">
        <v>侯</v>
      </c>
      <c r="B994">
        <v>9</v>
      </c>
      <c r="C994" t="b">
        <v>1</v>
      </c>
      <c r="D994" t="str">
        <v>コウ</v>
      </c>
      <c r="E994" t="str">
        <v>きみ まと</v>
      </c>
      <c r="F994" t="str">
        <v>きぬ とき よし</v>
      </c>
      <c r="G994" t="str">
        <v>きみ。大名。領主。諸侯。 まと。弓矢の的。 五等級の爵位（公・侯・伯・子・男）の二番目。 これ。ここに。文章のはじめに置き、語調を整える語。 「なに」「なんぞ」と読み、疑問の意を表す。</v>
      </c>
      <c r="H994" t="str">
        <v>#品格 #伝統</v>
      </c>
      <c r="I994">
        <v>45</v>
      </c>
      <c r="J994">
        <v>55</v>
      </c>
      <c r="K994">
        <v>35</v>
      </c>
      <c r="L994">
        <v>0</v>
      </c>
      <c r="M994">
        <f>VLOOKUP(A994,[1]kanji_data!$A:$N,14,FALSE)</f>
        <v>0</v>
      </c>
    </row>
    <row r="995">
      <c r="A995" t="str">
        <v>乞</v>
      </c>
      <c r="B995">
        <v>3</v>
      </c>
      <c r="C995" t="b">
        <v>1</v>
      </c>
      <c r="D995" t="str">
        <v>キツ コツ キ</v>
      </c>
      <c r="E995" t="str">
        <v>こ（う）</v>
      </c>
      <c r="F995">
        <v>0</v>
      </c>
      <c r="G995" t="str">
        <v>こう。ねだる。求める。要求する。 物ごいをする。ものもらい。 与える。</v>
      </c>
      <c r="I995">
        <v>10</v>
      </c>
      <c r="J995">
        <v>50</v>
      </c>
      <c r="K995">
        <v>50</v>
      </c>
      <c r="L995">
        <v>1</v>
      </c>
    </row>
    <row r="996">
      <c r="A996" t="str">
        <v>叉</v>
      </c>
      <c r="B996">
        <v>3</v>
      </c>
      <c r="C996" t="b">
        <v>0</v>
      </c>
      <c r="D996" t="str">
        <v>サ シャ</v>
      </c>
      <c r="E996" t="str">
        <v>こまぬ（く） こまね（く） さ（す） また</v>
      </c>
      <c r="F996">
        <v>0</v>
      </c>
      <c r="G996" t="str">
        <v>こまぬく。こまねく。腕を組む。 さす。はさむ。さしはさむ。さすまたなどでさす。 やす。さすまた。先端がふたまたになった捕獲用の道具。 また。ふたまた。</v>
      </c>
      <c r="I996">
        <v>10</v>
      </c>
      <c r="J996">
        <v>50</v>
      </c>
      <c r="K996">
        <v>50</v>
      </c>
      <c r="L996">
        <v>1</v>
      </c>
    </row>
    <row r="997">
      <c r="A997" t="str">
        <v>少</v>
      </c>
      <c r="B997">
        <v>4</v>
      </c>
      <c r="C997" t="b">
        <v>1</v>
      </c>
      <c r="D997" t="str">
        <v>ショウ</v>
      </c>
      <c r="E997" t="str">
        <v>すく（ない） すこ（し） しばら（く） まれ わか（い）</v>
      </c>
      <c r="F997">
        <v>0</v>
      </c>
      <c r="G997" t="str">
        <v>すくない。すこし。まれ。わずかにしかない。おおくない。 かく。かける。足りない。 しばらく。すこし間があいて。 わかい。年が若い。また、幼い。</v>
      </c>
      <c r="I997">
        <v>10</v>
      </c>
      <c r="J997">
        <v>60</v>
      </c>
      <c r="K997">
        <v>55</v>
      </c>
      <c r="L997">
        <v>0</v>
      </c>
      <c r="M997">
        <f>VLOOKUP(A997,[1]kanji_data!$A:$N,14,FALSE)</f>
        <v>0</v>
      </c>
    </row>
    <row r="998">
      <c r="A998" t="str">
        <v>俊</v>
      </c>
      <c r="B998">
        <v>9</v>
      </c>
      <c r="C998" t="b">
        <v>1</v>
      </c>
      <c r="D998" t="str">
        <v>シュン</v>
      </c>
      <c r="E998" t="str">
        <v>すぐ（れる）</v>
      </c>
      <c r="F998" t="str">
        <v>すぐる たかし とし まさる よし</v>
      </c>
      <c r="G998" t="str">
        <v>すぐれる。また、すぐれた人。 おおきい。高い。</v>
      </c>
      <c r="H998" t="str">
        <v>#品格 #知性 #繁栄</v>
      </c>
      <c r="I998">
        <v>100</v>
      </c>
      <c r="J998">
        <v>70</v>
      </c>
      <c r="K998">
        <v>50</v>
      </c>
      <c r="L998">
        <v>0</v>
      </c>
      <c r="M998">
        <f>VLOOKUP(A998,[1]kanji_data!$A:$N,14,FALSE)</f>
        <v>0</v>
      </c>
    </row>
    <row r="999">
      <c r="A999" t="str">
        <v>叙</v>
      </c>
      <c r="B999">
        <v>9</v>
      </c>
      <c r="C999" t="b">
        <v>1</v>
      </c>
      <c r="D999" t="str">
        <v>ジョ</v>
      </c>
      <c r="E999" t="str">
        <v>の（べる）</v>
      </c>
      <c r="F999">
        <v>0</v>
      </c>
      <c r="G999" t="str">
        <v>のべる。順序立てて述べる。 順序。序列。 官位・勲位を授ける。 書物のはしがき。＝序</v>
      </c>
      <c r="H999" t="str">
        <v>#知性</v>
      </c>
      <c r="I999">
        <v>10</v>
      </c>
      <c r="J999">
        <v>25</v>
      </c>
      <c r="K999">
        <v>100</v>
      </c>
      <c r="L999">
        <v>0</v>
      </c>
      <c r="M999">
        <f>VLOOKUP(A999,[1]kanji_data!$A:$N,14,FALSE)</f>
        <v>0</v>
      </c>
    </row>
    <row r="1000">
      <c r="A1000" t="str">
        <v>浄</v>
      </c>
      <c r="B1000">
        <v>9</v>
      </c>
      <c r="C1000" t="b">
        <v>1</v>
      </c>
      <c r="D1000" t="str">
        <v>ジョウ</v>
      </c>
      <c r="E1000" t="str">
        <v>きよ（い）</v>
      </c>
      <c r="F1000">
        <v>0</v>
      </c>
      <c r="G1000" t="str">
        <v>きよい。きよらか。澄み切った。けがれない。 きよめる。きれにする。清くする。よごれを取り除く。 中国の劇中で、悪役のこと。</v>
      </c>
      <c r="H1000" t="str">
        <v>#海・水</v>
      </c>
      <c r="I1000">
        <v>50</v>
      </c>
      <c r="J1000">
        <v>65</v>
      </c>
      <c r="K1000">
        <v>60</v>
      </c>
      <c r="L1000">
        <v>0</v>
      </c>
      <c r="M1000">
        <f>VLOOKUP(A1000,[1]kanji_data!$A:$N,14,FALSE)</f>
        <v>0</v>
      </c>
    </row>
    <row r="1001">
      <c r="A1001" t="str">
        <v>斤</v>
      </c>
      <c r="B1001">
        <v>4</v>
      </c>
      <c r="C1001" t="b">
        <v>1</v>
      </c>
      <c r="D1001" t="str">
        <v>キン</v>
      </c>
      <c r="E1001" t="str">
        <v>おの</v>
      </c>
      <c r="F1001">
        <v>0</v>
      </c>
      <c r="G1001" t="str">
        <v>おの。木を切るおの。 重さの単位。一斤は十六両。 「斤斤」は、細かいところまではっきりしているさま。 重さの単位。一斤は百六〇匁（六〇〇グラム）。</v>
      </c>
      <c r="I1001">
        <v>10</v>
      </c>
      <c r="J1001">
        <v>50</v>
      </c>
      <c r="K1001">
        <v>50</v>
      </c>
      <c r="L1001">
        <v>1</v>
      </c>
    </row>
    <row r="1002">
      <c r="A1002" t="str">
        <v>冗</v>
      </c>
      <c r="B1002">
        <v>4</v>
      </c>
      <c r="C1002" t="b">
        <v>1</v>
      </c>
      <c r="D1002" t="str">
        <v>ジョウ</v>
      </c>
      <c r="E1002" t="str">
        <v>むだ</v>
      </c>
      <c r="F1002">
        <v>0</v>
      </c>
      <c r="G1002" t="str">
        <v>むだ。あまる。余分な。不必要な。 みだれる。わずらわしい。だらだらとまとまりがない。</v>
      </c>
      <c r="I1002">
        <v>10</v>
      </c>
      <c r="J1002">
        <v>50</v>
      </c>
      <c r="K1002">
        <v>50</v>
      </c>
      <c r="L1002">
        <v>1</v>
      </c>
    </row>
    <row r="1003">
      <c r="A1003" t="str">
        <v>帥</v>
      </c>
      <c r="B1003">
        <v>9</v>
      </c>
      <c r="C1003" t="b">
        <v>1</v>
      </c>
      <c r="D1003" t="str">
        <v>スイ ソツ</v>
      </c>
      <c r="E1003" t="str">
        <v>ひき（いる）</v>
      </c>
      <c r="F1003">
        <v>0</v>
      </c>
      <c r="G1003" t="str">
        <v>軍隊を統率する人。指揮官。将軍。 かしら。おさ。指導者。 ひきいる。人々の先頭に立って行動を指揮する。 そつ。そち。大宰府の長官。</v>
      </c>
      <c r="H1003" t="str">
        <v>#品格</v>
      </c>
      <c r="I1003">
        <v>40</v>
      </c>
      <c r="J1003">
        <v>95</v>
      </c>
      <c r="K1003">
        <v>40</v>
      </c>
      <c r="L1003">
        <v>0</v>
      </c>
      <c r="M1003">
        <f>VLOOKUP(A1003,[1]kanji_data!$A:$N,14,FALSE)</f>
        <v>0</v>
      </c>
    </row>
    <row r="1004">
      <c r="A1004" t="str">
        <v>乏</v>
      </c>
      <c r="B1004">
        <v>4</v>
      </c>
      <c r="C1004" t="b">
        <v>1</v>
      </c>
      <c r="D1004" t="str">
        <v>ボウ ホウ</v>
      </c>
      <c r="E1004" t="str">
        <v>とぼ（しい）</v>
      </c>
      <c r="F1004">
        <v>0</v>
      </c>
      <c r="G1004" t="str">
        <v>とぼしい。貧しい。足りない。 疲れる。力を使い果たしている。例：疲乏</v>
      </c>
      <c r="I1004">
        <v>10</v>
      </c>
      <c r="J1004">
        <v>50</v>
      </c>
      <c r="K1004">
        <v>50</v>
      </c>
      <c r="L1004">
        <v>1</v>
      </c>
    </row>
    <row r="1005">
      <c r="A1005" t="str">
        <v>荘</v>
      </c>
      <c r="B1005">
        <v>9</v>
      </c>
      <c r="C1005" t="b">
        <v>1</v>
      </c>
      <c r="D1005" t="str">
        <v>ソウ ショウ</v>
      </c>
      <c r="E1005" t="str">
        <v>おごそ（か） しもやしき</v>
      </c>
      <c r="F1005" t="str">
        <v>これ たか たかし ただし まさ</v>
      </c>
      <c r="G1005" t="str">
        <v>おごそか。重々しい。いかめしい。うやうやしい。 草が生いしげるさま。 いなか。むらざと。村落。 しもやしき。別荘。別宅。 店。おおきな店。商店。 荘周（荘子）の略。</v>
      </c>
      <c r="H1005" t="str">
        <v>#品格</v>
      </c>
      <c r="I1005">
        <v>85</v>
      </c>
      <c r="J1005">
        <v>45</v>
      </c>
      <c r="K1005">
        <v>65</v>
      </c>
      <c r="L1005">
        <v>0</v>
      </c>
      <c r="M1005">
        <f>VLOOKUP(A1005,[1]kanji_data!$A:$N,14,FALSE)</f>
        <v>0</v>
      </c>
    </row>
    <row r="1006">
      <c r="A1006" t="str">
        <v>衷</v>
      </c>
      <c r="B1006">
        <v>9</v>
      </c>
      <c r="C1006" t="b">
        <v>1</v>
      </c>
      <c r="D1006" t="str">
        <v>チュウ</v>
      </c>
      <c r="E1006" t="str">
        <v>うち こころ まこと</v>
      </c>
      <c r="F1006">
        <v>0</v>
      </c>
      <c r="G1006" t="str">
        <v>なか。なかほど。中央。かたよらない。 はだぎ。下着。うちにする。下に着込む。 まこと。まごころ。心の中。 善い。 あたる。かなう。適合する。適当。</v>
      </c>
      <c r="H1006" t="str">
        <v>#心・志</v>
      </c>
      <c r="I1006">
        <v>40</v>
      </c>
      <c r="J1006">
        <v>65</v>
      </c>
      <c r="K1006">
        <v>60</v>
      </c>
      <c r="L1006">
        <v>0</v>
      </c>
      <c r="M1006">
        <f>VLOOKUP(A1006,[1]kanji_data!$A:$N,14,FALSE)</f>
        <v>0</v>
      </c>
    </row>
    <row r="1007">
      <c r="A1007" t="str">
        <v>挑</v>
      </c>
      <c r="B1007">
        <v>9</v>
      </c>
      <c r="C1007" t="b">
        <v>1</v>
      </c>
      <c r="D1007" t="str">
        <v>チョウ トウ</v>
      </c>
      <c r="E1007" t="str">
        <v>いど（む）</v>
      </c>
      <c r="F1007" t="str">
        <v>いどむ</v>
      </c>
      <c r="G1007" t="str">
        <v>いどむ。しかける。誘いかける。 かかげる。かきあげる。灯心をかきたてる。 えらぶ。えらび取る。えらび出す。 になう。棒で引っかけて肩にかつぐ。 「挑達」は、軽々とはねるさま。</v>
      </c>
      <c r="H1007" t="str">
        <v>#天空</v>
      </c>
      <c r="I1007">
        <v>20</v>
      </c>
      <c r="J1007">
        <v>85</v>
      </c>
      <c r="K1007">
        <v>30</v>
      </c>
      <c r="L1007">
        <v>0</v>
      </c>
      <c r="M1007">
        <f>VLOOKUP(A1007,[1]kanji_data!$A:$N,14,FALSE)</f>
        <v>0</v>
      </c>
    </row>
    <row r="1008">
      <c r="A1008" t="str">
        <v>勅</v>
      </c>
      <c r="B1008">
        <v>9</v>
      </c>
      <c r="C1008" t="b">
        <v>1</v>
      </c>
      <c r="D1008" t="str">
        <v>チョク</v>
      </c>
      <c r="E1008" t="str">
        <v>いまし（める） みことのり</v>
      </c>
      <c r="F1008">
        <v>0</v>
      </c>
      <c r="G1008" t="str">
        <v>いましめる。いさめる。たしなめる。 みことのり。天子の命令。天子の言葉。</v>
      </c>
      <c r="H1008" t="str">
        <v>#自然</v>
      </c>
      <c r="I1008">
        <v>10</v>
      </c>
      <c r="J1008">
        <v>45</v>
      </c>
      <c r="K1008">
        <v>65</v>
      </c>
      <c r="L1008">
        <v>0</v>
      </c>
      <c r="M1008">
        <f>VLOOKUP(A1008,[1]kanji_data!$A:$N,14,FALSE)</f>
        <v>0</v>
      </c>
    </row>
    <row r="1009">
      <c r="A1009" t="str">
        <v>厄</v>
      </c>
      <c r="B1009">
        <v>4</v>
      </c>
      <c r="C1009" t="b">
        <v>1</v>
      </c>
      <c r="D1009" t="str">
        <v>ヤク アク</v>
      </c>
      <c r="E1009" t="str">
        <v>くる（しむ） わざわ（い）</v>
      </c>
      <c r="F1009">
        <v>0</v>
      </c>
      <c r="G1009" t="str">
        <v>くるしむ。苦しみ。 わざわい。災難。 やく。よくない回り合わせ。例：厄年 厄日</v>
      </c>
      <c r="I1009">
        <v>10</v>
      </c>
      <c r="J1009">
        <v>50</v>
      </c>
      <c r="K1009">
        <v>50</v>
      </c>
      <c r="L1009">
        <v>1</v>
      </c>
    </row>
    <row r="1010">
      <c r="A1010" t="str">
        <v>貞</v>
      </c>
      <c r="B1010">
        <v>9</v>
      </c>
      <c r="C1010" t="b">
        <v>1</v>
      </c>
      <c r="D1010" t="str">
        <v>テイ ジョウ</v>
      </c>
      <c r="E1010" t="str">
        <v>ただ（しい）</v>
      </c>
      <c r="F1010" t="str">
        <v>さだ さだむ ただ ただし ただす つら まさ みさお</v>
      </c>
      <c r="G1010" t="str">
        <v>正しい。誠実で正しい。心が正しい。 うらなう。問う。</v>
      </c>
      <c r="H1010" t="str">
        <v>#心・志</v>
      </c>
      <c r="I1010">
        <v>90</v>
      </c>
      <c r="J1010">
        <v>65</v>
      </c>
      <c r="K1010">
        <v>55</v>
      </c>
      <c r="L1010">
        <v>0</v>
      </c>
      <c r="M1010">
        <f>VLOOKUP(A1010,[1]kanji_data!$A:$N,14,FALSE)</f>
        <v>0</v>
      </c>
    </row>
    <row r="1011">
      <c r="A1011" t="str">
        <v>洞</v>
      </c>
      <c r="B1011">
        <v>9</v>
      </c>
      <c r="C1011" t="b">
        <v>1</v>
      </c>
      <c r="D1011" t="str">
        <v>ドウ トウ</v>
      </c>
      <c r="E1011" t="str">
        <v>ほら うつろ うろ つらぬ（く） ふか（い）</v>
      </c>
      <c r="F1011">
        <v>0</v>
      </c>
      <c r="G1011" t="str">
        <v>ほら。ほらあな。うろ。うつろ。 とおす。つらぬく。通り抜ける。突き通す。 見抜く。見通す。知り尽くす。深く知る。 ふかい。奥深い。</v>
      </c>
      <c r="H1011" t="str">
        <v>#勇気</v>
      </c>
      <c r="I1011">
        <v>10</v>
      </c>
      <c r="J1011">
        <v>55</v>
      </c>
      <c r="K1011">
        <v>55</v>
      </c>
      <c r="L1011">
        <v>0</v>
      </c>
      <c r="M1011">
        <f>VLOOKUP(A1011,[1]kanji_data!$A:$N,14,FALSE)</f>
        <v>0</v>
      </c>
    </row>
    <row r="1012">
      <c r="A1012" t="str">
        <v>柳</v>
      </c>
      <c r="B1012">
        <v>9</v>
      </c>
      <c r="C1012" t="b">
        <v>1</v>
      </c>
      <c r="D1012" t="str">
        <v>リュウ</v>
      </c>
      <c r="E1012" t="str">
        <v>やなぎ</v>
      </c>
      <c r="F1012" t="str">
        <v>やな</v>
      </c>
      <c r="G1012" t="str">
        <v>やなぎ。ヤナギ科の樹木の総称。特にしだれやなぎを指すことが多い。</v>
      </c>
      <c r="H1012" t="str">
        <v>#自然</v>
      </c>
      <c r="I1012">
        <v>95</v>
      </c>
      <c r="J1012">
        <v>20</v>
      </c>
      <c r="K1012">
        <v>100</v>
      </c>
      <c r="L1012">
        <v>0</v>
      </c>
      <c r="M1012">
        <f>VLOOKUP(A1012,[1]kanji_data!$A:$N,14,FALSE)</f>
        <v>0</v>
      </c>
    </row>
    <row r="1013">
      <c r="A1013" t="str">
        <v>畏</v>
      </c>
      <c r="B1013">
        <v>9</v>
      </c>
      <c r="C1013" t="b">
        <v>1</v>
      </c>
      <c r="D1013" t="str">
        <v>イ</v>
      </c>
      <c r="E1013" t="str">
        <v>おそ（れる） かしこ（い） かしこ（まる）</v>
      </c>
      <c r="F1013">
        <v>0</v>
      </c>
      <c r="G1013" t="str">
        <v>おそれる。こわがる。おそれおののく。 かしこい。おそれおおい。おそれうやまう。敬服する。たちすくむ。 恐ろしいめにあう。危険な体験をする。 かしこまる。つつしむ。</v>
      </c>
      <c r="H1013" t="str">
        <v>#知性</v>
      </c>
      <c r="I1013">
        <v>10</v>
      </c>
      <c r="J1013">
        <v>55</v>
      </c>
      <c r="K1013">
        <v>65</v>
      </c>
      <c r="L1013">
        <v>1</v>
      </c>
    </row>
    <row r="1014">
      <c r="A1014" t="str">
        <v>茨</v>
      </c>
      <c r="B1014">
        <v>9</v>
      </c>
      <c r="C1014" t="b">
        <v>1</v>
      </c>
      <c r="D1014" t="str">
        <v>シ</v>
      </c>
      <c r="E1014" t="str">
        <v>いばら くさぶき</v>
      </c>
      <c r="F1014">
        <v>0</v>
      </c>
      <c r="G1014" t="str">
        <v>いばら。うばら。とげがある低木類の総称。 ふく。かやで屋根をふく。かやぶきの屋根。 草の名。はまびし。 積む。築く。おおう。</v>
      </c>
      <c r="H1014" t="str">
        <v>#自然</v>
      </c>
      <c r="I1014">
        <v>10</v>
      </c>
      <c r="J1014">
        <v>50</v>
      </c>
      <c r="K1014">
        <v>50</v>
      </c>
      <c r="L1014">
        <v>1</v>
      </c>
    </row>
    <row r="1015">
      <c r="A1015" t="str">
        <v>勾</v>
      </c>
      <c r="B1015">
        <v>4</v>
      </c>
      <c r="C1015" t="b">
        <v>1</v>
      </c>
      <c r="D1015" t="str">
        <v>コウ</v>
      </c>
      <c r="E1015" t="str">
        <v>とら（える） ま（がる）</v>
      </c>
      <c r="F1015" t="str">
        <v>にお まがり</v>
      </c>
      <c r="G1015" t="str">
        <v>とらえる。ひっかけてとらえる。 まがる。曲げる。 かぎ。Ｌ字型にまがったかぎ。 くぎり。しるし。くぎりやしるしをつける。</v>
      </c>
      <c r="I1015">
        <v>15</v>
      </c>
      <c r="J1015">
        <v>50</v>
      </c>
      <c r="K1015">
        <v>50</v>
      </c>
      <c r="L1015">
        <v>1</v>
      </c>
    </row>
    <row r="1016">
      <c r="A1016" t="str">
        <v>怨</v>
      </c>
      <c r="B1016">
        <v>9</v>
      </c>
      <c r="C1016" t="b">
        <v>1</v>
      </c>
      <c r="D1016" t="str">
        <v>オン エン</v>
      </c>
      <c r="E1016" t="str">
        <v>うら（み） うら（む）</v>
      </c>
      <c r="F1016">
        <v>0</v>
      </c>
      <c r="G1016" t="str">
        <v>うらむ。うらみ。憎いと思う気持ちをもちつづける。 うらむ。うらみ。残念に思う。 あだ。かたき。憎しみの気持ちをもつ相手。</v>
      </c>
      <c r="H1016" t="str">
        <v>#心・志</v>
      </c>
      <c r="I1016">
        <v>0</v>
      </c>
      <c r="J1016">
        <v>50</v>
      </c>
      <c r="K1016">
        <v>50</v>
      </c>
      <c r="L1016">
        <v>1</v>
      </c>
    </row>
    <row r="1017">
      <c r="A1017" t="str">
        <v>柿</v>
      </c>
      <c r="B1017">
        <v>9</v>
      </c>
      <c r="C1017" t="b">
        <v>1</v>
      </c>
      <c r="D1017" t="str">
        <v>シ</v>
      </c>
      <c r="E1017" t="str">
        <v>かき</v>
      </c>
      <c r="F1017">
        <v>0</v>
      </c>
      <c r="G1017" t="str">
        <v>かき。かきのき。果樹の名。カキノキ科の落葉高木。</v>
      </c>
      <c r="H1017" t="str">
        <v>#自然</v>
      </c>
      <c r="I1017">
        <v>10</v>
      </c>
      <c r="J1017">
        <v>50</v>
      </c>
      <c r="K1017">
        <v>50</v>
      </c>
      <c r="L1017">
        <v>0</v>
      </c>
      <c r="M1017">
        <f>VLOOKUP(A1017,[1]kanji_data!$A:$N,14,FALSE)</f>
        <v>0</v>
      </c>
    </row>
    <row r="1018">
      <c r="A1018" t="str">
        <v>柵</v>
      </c>
      <c r="B1018">
        <v>9</v>
      </c>
      <c r="C1018" t="b">
        <v>1</v>
      </c>
      <c r="D1018" t="str">
        <v>サク</v>
      </c>
      <c r="E1018" t="str">
        <v>しがらみ とりで やらい</v>
      </c>
      <c r="F1018">
        <v>0</v>
      </c>
      <c r="G1018" t="str">
        <v>やらい。木や竹などを組んだ囲い。 しがらみ。水中に設けた、水の流をせきとめるためのさく。 とりで。さくをめぐらした小規模の城。</v>
      </c>
      <c r="H1018" t="str">
        <v>#自然</v>
      </c>
      <c r="I1018">
        <v>10</v>
      </c>
      <c r="J1018">
        <v>50</v>
      </c>
      <c r="K1018">
        <v>50</v>
      </c>
      <c r="L1018">
        <v>1</v>
      </c>
    </row>
    <row r="1019">
      <c r="A1019" t="str">
        <v>云</v>
      </c>
      <c r="B1019">
        <v>4</v>
      </c>
      <c r="C1019" t="b">
        <v>0</v>
      </c>
      <c r="D1019" t="str">
        <v>ウン</v>
      </c>
      <c r="E1019" t="str">
        <v>い（う）</v>
      </c>
      <c r="F1019" t="str">
        <v>おき これ とも ひと</v>
      </c>
      <c r="G1019" t="str">
        <v>いう。声に出していう。他を引用していう。 ここに。語調を整える助詞。 めぐる。 多く盛んな様子。 くも。雲。</v>
      </c>
      <c r="I1019">
        <v>15</v>
      </c>
      <c r="J1019">
        <v>50</v>
      </c>
      <c r="K1019">
        <v>50</v>
      </c>
      <c r="L1019">
        <v>1</v>
      </c>
    </row>
    <row r="1020">
      <c r="A1020" t="str">
        <v>勿</v>
      </c>
      <c r="B1020">
        <v>4</v>
      </c>
      <c r="C1020" t="b">
        <v>0</v>
      </c>
      <c r="D1020" t="str">
        <v>ブツ モチ</v>
      </c>
      <c r="E1020" t="str">
        <v>な（い） なか（れ） な（し）</v>
      </c>
      <c r="F1020">
        <v>0</v>
      </c>
      <c r="G1020" t="str">
        <v>ない。なし。否定の意。 なかれ。禁止を表す。「～するな」の意。</v>
      </c>
      <c r="I1020">
        <v>10</v>
      </c>
      <c r="J1020">
        <v>50</v>
      </c>
      <c r="K1020">
        <v>50</v>
      </c>
      <c r="L1020">
        <v>1</v>
      </c>
    </row>
    <row r="1021">
      <c r="A1021" t="str">
        <v>栃</v>
      </c>
      <c r="B1021">
        <v>9</v>
      </c>
      <c r="C1021" t="b">
        <v>1</v>
      </c>
      <c r="D1021">
        <v>0</v>
      </c>
      <c r="E1021" t="str">
        <v>とち</v>
      </c>
      <c r="F1021">
        <v>0</v>
      </c>
      <c r="G1021" t="str">
        <v>とち。とちのき。トチノキ科の落葉高木。</v>
      </c>
      <c r="H1021" t="str">
        <v>#自然</v>
      </c>
      <c r="I1021">
        <v>10</v>
      </c>
      <c r="J1021">
        <v>50</v>
      </c>
      <c r="K1021">
        <v>50</v>
      </c>
      <c r="L1021">
        <v>0</v>
      </c>
      <c r="M1021">
        <f>VLOOKUP(A1021,[1]kanji_data!$A:$N,14,FALSE)</f>
        <v>0</v>
      </c>
    </row>
    <row r="1022">
      <c r="A1022" t="str">
        <v>虹</v>
      </c>
      <c r="B1022">
        <v>9</v>
      </c>
      <c r="C1022" t="b">
        <v>1</v>
      </c>
      <c r="D1022" t="str">
        <v>コウ</v>
      </c>
      <c r="E1022" t="str">
        <v>にじ</v>
      </c>
      <c r="F1022" t="str">
        <v>こ</v>
      </c>
      <c r="G1022" t="str">
        <v>にじ。雨上がりの空などに見られる、七色のアーチ形のもの。 みだれる。もめる。ごたごたする。＝訌</v>
      </c>
      <c r="H1022" t="str">
        <v>#天空 #海・水 #花・彩</v>
      </c>
      <c r="I1022">
        <v>80</v>
      </c>
      <c r="J1022">
        <v>70</v>
      </c>
      <c r="K1022">
        <v>55</v>
      </c>
      <c r="L1022">
        <v>0</v>
      </c>
      <c r="M1022">
        <f>VLOOKUP(A1022,[1]kanji_data!$A:$N,14,FALSE)</f>
        <v>0</v>
      </c>
    </row>
    <row r="1023">
      <c r="A1023" t="str">
        <v>号</v>
      </c>
      <c r="B1023">
        <v>5</v>
      </c>
      <c r="C1023" t="b">
        <v>1</v>
      </c>
      <c r="D1023" t="str">
        <v>ゴウ コウ</v>
      </c>
      <c r="E1023" t="str">
        <v>さけ（ぶ） よびな</v>
      </c>
      <c r="F1023">
        <v>0</v>
      </c>
      <c r="G1023" t="str">
        <v>さけぶ。大声をだす。 よぶ。よびかける。よびよせる。 周りに言いふらす。となえる。 呼び名。本名以外の名前。 名づける。称する。 しるし。合図。記号。 数字などの下につけて等級や順序を表す。 船などの乗り物の名に下にそえる。</v>
      </c>
      <c r="I1023">
        <v>10</v>
      </c>
      <c r="J1023">
        <v>50</v>
      </c>
      <c r="K1023">
        <v>50</v>
      </c>
      <c r="L1023">
        <v>1</v>
      </c>
    </row>
    <row r="1024">
      <c r="A1024" t="str">
        <v>仕</v>
      </c>
      <c r="B1024">
        <v>5</v>
      </c>
      <c r="C1024" t="b">
        <v>1</v>
      </c>
      <c r="D1024" t="str">
        <v>シ ジ</v>
      </c>
      <c r="E1024" t="str">
        <v>つか（える） つかまつ（る）</v>
      </c>
      <c r="F1024" t="str">
        <v>まなぶ</v>
      </c>
      <c r="G1024" t="str">
        <v>つかえる。官につく。役人になる。身分の高い人につき従う。仕事をする。 つかまつる。「する」「おこなう」の謙譲語。</v>
      </c>
      <c r="I1024">
        <v>15</v>
      </c>
      <c r="J1024">
        <v>75</v>
      </c>
      <c r="K1024">
        <v>45</v>
      </c>
      <c r="L1024">
        <v>0</v>
      </c>
      <c r="M1024">
        <f>VLOOKUP(A1024,[1]kanji_data!$A:$N,14,FALSE)</f>
        <v>0</v>
      </c>
    </row>
    <row r="1025">
      <c r="A1025" t="str">
        <v>札</v>
      </c>
      <c r="B1025">
        <v>5</v>
      </c>
      <c r="C1025" t="b">
        <v>1</v>
      </c>
      <c r="D1025" t="str">
        <v>サツ</v>
      </c>
      <c r="E1025" t="str">
        <v>ふだ さね わかじに</v>
      </c>
      <c r="F1025">
        <v>0</v>
      </c>
      <c r="G1025" t="str">
        <v>ふだ。文字を書き記すためのうすい木の板。 かきもの。公文書。また、手紙。 さね。鉄や革でできた、よろいを作る材料の小板。 わかじに。わかじにする。 さつ。紙幣。 ふだ。表示したり証明したりするための木・紙などの小片。 ふだ。神社や寺のお守り。</v>
      </c>
      <c r="I1025">
        <v>10</v>
      </c>
      <c r="J1025">
        <v>50</v>
      </c>
      <c r="K1025">
        <v>50</v>
      </c>
      <c r="L1025">
        <v>1</v>
      </c>
    </row>
    <row r="1026">
      <c r="A1026" t="str">
        <v>庁</v>
      </c>
      <c r="B1026">
        <v>5</v>
      </c>
      <c r="C1026" t="b">
        <v>1</v>
      </c>
      <c r="D1026" t="str">
        <v>チョウ テイ</v>
      </c>
      <c r="E1026">
        <v>0</v>
      </c>
      <c r="F1026">
        <v>0</v>
      </c>
      <c r="G1026" t="str">
        <v>役所。公の仕事を行う場所。 部屋。客を通して応接する広間。</v>
      </c>
      <c r="I1026">
        <v>10</v>
      </c>
      <c r="J1026">
        <v>50</v>
      </c>
      <c r="K1026">
        <v>50</v>
      </c>
      <c r="L1026">
        <v>1</v>
      </c>
    </row>
    <row r="1027">
      <c r="A1027" t="str">
        <v>侶</v>
      </c>
      <c r="B1027">
        <v>9</v>
      </c>
      <c r="C1027" t="b">
        <v>1</v>
      </c>
      <c r="D1027" t="str">
        <v>リョ ロ</v>
      </c>
      <c r="E1027" t="str">
        <v>とも</v>
      </c>
      <c r="F1027">
        <v>0</v>
      </c>
      <c r="G1027" t="str">
        <v>とも。つれ。つれあい。仲間。 ともとする。仲間にする。ともに遊ぶ。</v>
      </c>
      <c r="H1027" t="str">
        <v>#調和</v>
      </c>
      <c r="I1027">
        <v>10</v>
      </c>
      <c r="J1027">
        <v>45</v>
      </c>
      <c r="K1027">
        <v>70</v>
      </c>
      <c r="L1027">
        <v>0</v>
      </c>
      <c r="M1027">
        <f>VLOOKUP(A1027,[1]kanji_data!$A:$N,14,FALSE)</f>
        <v>0</v>
      </c>
    </row>
    <row r="1028">
      <c r="A1028" t="str">
        <v>思</v>
      </c>
      <c r="B1028">
        <v>9</v>
      </c>
      <c r="C1028" t="b">
        <v>1</v>
      </c>
      <c r="D1028" t="str">
        <v>シ</v>
      </c>
      <c r="E1028" t="str">
        <v>おも（う） おぼ（しい）</v>
      </c>
      <c r="F1028">
        <v>0</v>
      </c>
      <c r="G1028" t="str">
        <v>おもう。考える。考えをもつ。 おもう。いとしくおもう。心にかける。 句中や句末に置いて、語調を整える助字。 おもい。気持ち。考え。 おぼしい。～と思われる。～のように見える。</v>
      </c>
      <c r="H1028" t="str">
        <v>#心・志</v>
      </c>
      <c r="I1028">
        <v>40</v>
      </c>
      <c r="J1028">
        <v>40</v>
      </c>
      <c r="K1028">
        <v>80</v>
      </c>
      <c r="L1028">
        <v>0</v>
      </c>
      <c r="M1028">
        <f>VLOOKUP(A1028,[1]kanji_data!$A:$N,14,FALSE)</f>
        <v>0</v>
      </c>
    </row>
    <row r="1029">
      <c r="A1029" t="str">
        <v>娃</v>
      </c>
      <c r="B1029">
        <v>9</v>
      </c>
      <c r="C1029" t="b">
        <v>0</v>
      </c>
      <c r="D1029" t="str">
        <v>ア アイ</v>
      </c>
      <c r="E1029" t="str">
        <v>うつく（しい）</v>
      </c>
      <c r="F1029">
        <v>0</v>
      </c>
      <c r="G1029" t="str">
        <v>うつくしい。顔立ちがうつくしい。 美女。うつくしい女性。</v>
      </c>
      <c r="H1029" t="str">
        <v>#花・彩</v>
      </c>
      <c r="I1029">
        <v>30</v>
      </c>
      <c r="J1029">
        <v>45</v>
      </c>
      <c r="K1029">
        <v>85</v>
      </c>
      <c r="L1029">
        <v>0</v>
      </c>
      <c r="M1029">
        <f>VLOOKUP(A1029,[1]kanji_data!$A:$N,14,FALSE)</f>
        <v>0</v>
      </c>
    </row>
    <row r="1030">
      <c r="A1030" t="str">
        <v>込</v>
      </c>
      <c r="B1030">
        <v>5</v>
      </c>
      <c r="C1030" t="b">
        <v>1</v>
      </c>
      <c r="D1030">
        <v>0</v>
      </c>
      <c r="E1030" t="str">
        <v>こ（む） こ（める）</v>
      </c>
      <c r="F1030">
        <v>0</v>
      </c>
      <c r="G1030" t="str">
        <v>こむ。入りこむ。集まる。 こめる。つめる。とじこめる。 細密。複雑。</v>
      </c>
      <c r="I1030">
        <v>10</v>
      </c>
      <c r="J1030">
        <v>50</v>
      </c>
      <c r="K1030">
        <v>50</v>
      </c>
      <c r="L1030">
        <v>1</v>
      </c>
    </row>
    <row r="1031">
      <c r="A1031" t="str">
        <v>郁</v>
      </c>
      <c r="B1031">
        <v>9</v>
      </c>
      <c r="C1031" t="b">
        <v>0</v>
      </c>
      <c r="D1031" t="str">
        <v>イク</v>
      </c>
      <c r="E1031" t="str">
        <v>かぐわ（しい） さか（ん） ふみ</v>
      </c>
      <c r="F1031" t="str">
        <v>あや か かおり かおる たかし ゆう</v>
      </c>
      <c r="G1031" t="str">
        <v>かぐわしい。香気のさかんなさま。 あたたかい。 文化のさかんなさま。</v>
      </c>
      <c r="H1031" t="str">
        <v>#繁栄</v>
      </c>
      <c r="I1031">
        <v>100</v>
      </c>
      <c r="J1031">
        <v>55</v>
      </c>
      <c r="K1031">
        <v>55</v>
      </c>
      <c r="L1031">
        <v>0</v>
      </c>
      <c r="M1031">
        <f>VLOOKUP(A1031,[1]kanji_data!$A:$N,14,FALSE)</f>
        <v>0</v>
      </c>
    </row>
    <row r="1032">
      <c r="A1032" t="str">
        <v>凸</v>
      </c>
      <c r="B1032">
        <v>5</v>
      </c>
      <c r="C1032" t="b">
        <v>1</v>
      </c>
      <c r="D1032" t="str">
        <v>トツ</v>
      </c>
      <c r="E1032" t="str">
        <v>でこ つばく（む）</v>
      </c>
      <c r="F1032">
        <v>0</v>
      </c>
      <c r="G1032" t="str">
        <v>つばくむ。突き出たさま。中央が高いさま。 でこ。突き出したひたい。</v>
      </c>
      <c r="I1032">
        <v>10</v>
      </c>
      <c r="J1032">
        <v>50</v>
      </c>
      <c r="K1032">
        <v>50</v>
      </c>
      <c r="L1032">
        <v>1</v>
      </c>
    </row>
    <row r="1033">
      <c r="A1033" t="str">
        <v>胡</v>
      </c>
      <c r="B1033">
        <v>9</v>
      </c>
      <c r="C1033" t="b">
        <v>0</v>
      </c>
      <c r="D1033" t="str">
        <v>ウ コ ゴ</v>
      </c>
      <c r="E1033" t="str">
        <v>いずく（んぞ） えびす でたらめ ながい（き） なん（ぞ） みだ（り）</v>
      </c>
      <c r="F1033" t="str">
        <v>ひさ</v>
      </c>
      <c r="G1033" t="str">
        <v>えびす。古代中国、北方または西方の異民族。 でたらめ。いいかげん。 なんぞ。なに。疑問を表す。 あごに垂れ下がった肉。転じてあごひげ。 長寿。長生き。</v>
      </c>
      <c r="H1033" t="str">
        <v>#健康</v>
      </c>
      <c r="I1033">
        <v>5</v>
      </c>
      <c r="J1033">
        <v>50</v>
      </c>
      <c r="K1033">
        <v>50</v>
      </c>
      <c r="L1033">
        <v>0</v>
      </c>
      <c r="M1033">
        <f>VLOOKUP(A1033,[1]kanji_data!$A:$N,14,FALSE)</f>
        <v>0</v>
      </c>
    </row>
    <row r="1034">
      <c r="A1034" t="str">
        <v>瓦</v>
      </c>
      <c r="B1034">
        <v>5</v>
      </c>
      <c r="C1034" t="b">
        <v>1</v>
      </c>
      <c r="D1034" t="str">
        <v>ガ</v>
      </c>
      <c r="E1034" t="str">
        <v>かわら かわらけ グラム</v>
      </c>
      <c r="F1034">
        <v>0</v>
      </c>
      <c r="G1034" t="str">
        <v>かわら。かわらけ。粘土を固め焼いたもの。また、素焼きの土器の総称。 グラム。重さの単位。</v>
      </c>
      <c r="I1034">
        <v>10</v>
      </c>
      <c r="J1034">
        <v>50</v>
      </c>
      <c r="K1034">
        <v>50</v>
      </c>
      <c r="L1034">
        <v>1</v>
      </c>
    </row>
    <row r="1035">
      <c r="A1035" t="str">
        <v>珂</v>
      </c>
      <c r="B1035">
        <v>9</v>
      </c>
      <c r="C1035" t="b">
        <v>0</v>
      </c>
      <c r="D1035" t="str">
        <v>カ</v>
      </c>
      <c r="E1035">
        <v>0</v>
      </c>
      <c r="F1035" t="str">
        <v>たま てる</v>
      </c>
      <c r="G1035" t="str">
        <v>宝石の一種。白瑪瑙（しろめのう）。 くつわ貝。また、くつわ貝の飾り。馬のくつわを飾るもの。</v>
      </c>
      <c r="H1035" t="str">
        <v>#花・彩</v>
      </c>
      <c r="I1035">
        <v>75</v>
      </c>
      <c r="J1035">
        <v>25</v>
      </c>
      <c r="K1035">
        <v>85</v>
      </c>
      <c r="L1035">
        <v>0</v>
      </c>
      <c r="M1035">
        <f>VLOOKUP(A1035,[1]kanji_data!$A:$N,14,FALSE)</f>
        <v>0</v>
      </c>
    </row>
    <row r="1036">
      <c r="A1036" t="str">
        <v>乎</v>
      </c>
      <c r="B1036">
        <v>5</v>
      </c>
      <c r="C1036" t="b">
        <v>0</v>
      </c>
      <c r="D1036" t="str">
        <v>コ</v>
      </c>
      <c r="E1036" t="str">
        <v>か かな や を</v>
      </c>
      <c r="F1036">
        <v>0</v>
      </c>
      <c r="G1036" t="str">
        <v>ああ。感嘆を表すことば。 「か」「や」と読み、「～であろうか」の意を表す。 「かな」「や」と読み、「～であるなあ」「～だなあ」など、詠嘆や感情の移入を表す。 「や」「よ」と読み、「～や」「～よ」など、呼びかけに用いる。 送りがなによって、「～に」「～を」「～より」など、場所・時間・対象・比較などの意を表す。</v>
      </c>
      <c r="I1036">
        <v>10</v>
      </c>
      <c r="J1036">
        <v>55</v>
      </c>
      <c r="K1036">
        <v>55</v>
      </c>
      <c r="L1036">
        <v>0</v>
      </c>
      <c r="M1036">
        <f>VLOOKUP(A1036,[1]kanji_data!$A:$N,14,FALSE)</f>
        <v>0</v>
      </c>
    </row>
    <row r="1037">
      <c r="A1037" t="str">
        <v>只</v>
      </c>
      <c r="B1037">
        <v>5</v>
      </c>
      <c r="C1037" t="b">
        <v>0</v>
      </c>
      <c r="D1037" t="str">
        <v>シ</v>
      </c>
      <c r="E1037" t="str">
        <v>ただ</v>
      </c>
      <c r="F1037">
        <v>0</v>
      </c>
      <c r="G1037" t="str">
        <v>「ただ・・・のみ」と読み、「ただ・・・だけ」の意を表す。 助字。句中や句末に置いて、語調を整える。普通は訓読では読まない。 ただ。無料。</v>
      </c>
      <c r="I1037">
        <v>10</v>
      </c>
      <c r="J1037">
        <v>50</v>
      </c>
      <c r="K1037">
        <v>50</v>
      </c>
      <c r="L1037">
        <v>1</v>
      </c>
    </row>
    <row r="1038">
      <c r="A1038" t="str">
        <v>疋</v>
      </c>
      <c r="B1038">
        <v>5</v>
      </c>
      <c r="C1038" t="b">
        <v>0</v>
      </c>
      <c r="D1038" t="str">
        <v>ショ ソ ヒツ</v>
      </c>
      <c r="E1038" t="str">
        <v>あし ひき</v>
      </c>
      <c r="F1038">
        <v>0</v>
      </c>
      <c r="G1038" t="str">
        <v>足。 ひき。匹。動物を数える助数詞。 布の長さの単位。織物の単位。 昔の金銭の単位。</v>
      </c>
      <c r="I1038">
        <v>10</v>
      </c>
      <c r="J1038">
        <v>50</v>
      </c>
      <c r="K1038">
        <v>50</v>
      </c>
      <c r="L1038">
        <v>1</v>
      </c>
    </row>
    <row r="1039">
      <c r="A1039" t="str">
        <v>恢</v>
      </c>
      <c r="B1039">
        <v>9</v>
      </c>
      <c r="C1039" t="b">
        <v>0</v>
      </c>
      <c r="D1039" t="str">
        <v>カイ</v>
      </c>
      <c r="E1039" t="str">
        <v>おお（きい） ひろ（い）</v>
      </c>
      <c r="F1039">
        <v>0</v>
      </c>
      <c r="G1039" t="str">
        <v>ひろい。おおきい。広くて大きいさま。 ひろめる。広くする。大きくする。 とりもどす。もとにもどる。</v>
      </c>
      <c r="H1039" t="str">
        <v>#繁栄</v>
      </c>
      <c r="I1039">
        <v>10</v>
      </c>
      <c r="J1039">
        <v>75</v>
      </c>
      <c r="K1039">
        <v>45</v>
      </c>
      <c r="L1039">
        <v>0</v>
      </c>
      <c r="M1039">
        <f>VLOOKUP(A1039,[1]kanji_data!$A:$N,14,FALSE)</f>
        <v>0</v>
      </c>
    </row>
    <row r="1040">
      <c r="A1040" t="str">
        <v>𠮟</v>
      </c>
      <c r="B1040">
        <v>5</v>
      </c>
      <c r="C1040" t="b">
        <v>1</v>
      </c>
      <c r="D1040">
        <v>0</v>
      </c>
      <c r="E1040" t="str">
        <v>じょ</v>
      </c>
      <c r="F1040">
        <v>0</v>
      </c>
      <c r="G1040" t="str">
        <v>じょ。数の単位。垓（がい）の一万倍（１０の２４乗）。</v>
      </c>
      <c r="I1040">
        <v>10</v>
      </c>
      <c r="J1040">
        <v>50</v>
      </c>
      <c r="K1040">
        <v>50</v>
      </c>
      <c r="L1040">
        <v>1</v>
      </c>
    </row>
    <row r="1041">
      <c r="A1041" t="str">
        <v>危</v>
      </c>
      <c r="B1041">
        <v>6</v>
      </c>
      <c r="C1041" t="b">
        <v>1</v>
      </c>
      <c r="D1041" t="str">
        <v>キ</v>
      </c>
      <c r="E1041" t="str">
        <v>あぶ（ない） あや（うい） あや（ぶむ） あや（める） たか（い）</v>
      </c>
      <c r="F1041">
        <v>0</v>
      </c>
      <c r="G1041" t="str">
        <v>あぶない。あやうい。安定しない。例：危険 あやぶむ。恐れる。心配する。 あやうくする。あぶなくする。そこなう。 高い。 正しい。正しくする。 二十八宿の一つ。うみやめぼし。 あやめる。害する。殺す。</v>
      </c>
      <c r="I1041">
        <v>10</v>
      </c>
      <c r="J1041">
        <v>50</v>
      </c>
      <c r="K1041">
        <v>50</v>
      </c>
      <c r="L1041">
        <v>1</v>
      </c>
    </row>
    <row r="1042">
      <c r="A1042" t="str">
        <v>竿</v>
      </c>
      <c r="B1042">
        <v>9</v>
      </c>
      <c r="C1042" t="b">
        <v>0</v>
      </c>
      <c r="D1042" t="str">
        <v>カン</v>
      </c>
      <c r="E1042" t="str">
        <v>さお ふだ</v>
      </c>
      <c r="F1042">
        <v>0</v>
      </c>
      <c r="G1042" t="str">
        <v>さお。たけざお。かけざお。 ふだ。竹の札。</v>
      </c>
      <c r="H1042" t="str">
        <v>#自然</v>
      </c>
      <c r="I1042">
        <v>10</v>
      </c>
      <c r="J1042">
        <v>65</v>
      </c>
      <c r="K1042">
        <v>45</v>
      </c>
      <c r="L1042">
        <v>1</v>
      </c>
    </row>
    <row r="1043">
      <c r="A1043" t="str">
        <v>叫</v>
      </c>
      <c r="B1043">
        <v>6</v>
      </c>
      <c r="C1043" t="b">
        <v>1</v>
      </c>
      <c r="D1043" t="str">
        <v>キョウ</v>
      </c>
      <c r="E1043" t="str">
        <v>さけ（ぶ）</v>
      </c>
      <c r="F1043">
        <v>0</v>
      </c>
      <c r="G1043" t="str">
        <v>さけぶ。大声をだす。 呼ぶ。呼びかける。また、命名する。・・・と呼ぶ。</v>
      </c>
      <c r="I1043">
        <v>10</v>
      </c>
      <c r="J1043">
        <v>50</v>
      </c>
      <c r="K1043">
        <v>50</v>
      </c>
      <c r="L1043">
        <v>1</v>
      </c>
    </row>
    <row r="1044">
      <c r="A1044" t="str">
        <v>忙</v>
      </c>
      <c r="B1044">
        <v>6</v>
      </c>
      <c r="C1044" t="b">
        <v>1</v>
      </c>
      <c r="D1044" t="str">
        <v>ボウ モウ</v>
      </c>
      <c r="E1044" t="str">
        <v>いそが（しい） せわ（しい）</v>
      </c>
      <c r="F1044">
        <v>0</v>
      </c>
      <c r="G1044" t="str">
        <v>いそがしい。せわしい。しなければならないことが多くて落ち着かない。せきたてられて休む暇がない。</v>
      </c>
      <c r="I1044">
        <v>10</v>
      </c>
      <c r="J1044">
        <v>50</v>
      </c>
      <c r="K1044">
        <v>50</v>
      </c>
      <c r="L1044">
        <v>1</v>
      </c>
    </row>
    <row r="1045">
      <c r="A1045" t="str">
        <v>頁</v>
      </c>
      <c r="B1045">
        <v>9</v>
      </c>
      <c r="C1045" t="b">
        <v>0</v>
      </c>
      <c r="D1045" t="str">
        <v>ケツ ヨウ</v>
      </c>
      <c r="E1045" t="str">
        <v>かしら ページ</v>
      </c>
      <c r="F1045">
        <v>0</v>
      </c>
      <c r="G1045" t="str">
        <v>かしら。こうべ。人間の頭。 ページ。書物の一枚の紙の片面。紙を数えるときに用いられる「葉（ヨウ）」と同音であることから。</v>
      </c>
      <c r="H1045" t="str">
        <v>#品格 #自然</v>
      </c>
      <c r="I1045">
        <v>10</v>
      </c>
      <c r="J1045">
        <v>50</v>
      </c>
      <c r="K1045">
        <v>50</v>
      </c>
      <c r="L1045">
        <v>1</v>
      </c>
    </row>
    <row r="1046">
      <c r="A1046" t="str">
        <v>彦</v>
      </c>
      <c r="B1046">
        <v>9</v>
      </c>
      <c r="C1046" t="b">
        <v>0</v>
      </c>
      <c r="D1046" t="str">
        <v>ゲン</v>
      </c>
      <c r="E1046" t="str">
        <v>ひこ</v>
      </c>
      <c r="F1046" t="str">
        <v>お さと ひろ やす よし</v>
      </c>
      <c r="G1046" t="str">
        <v>才知と人徳を兼ね備えている立派な男性。 ひこ。男性の美称。</v>
      </c>
      <c r="H1046" t="str">
        <v>#品格 #心・志</v>
      </c>
      <c r="I1046">
        <v>100</v>
      </c>
      <c r="J1046">
        <v>45</v>
      </c>
      <c r="K1046">
        <v>85</v>
      </c>
      <c r="L1046">
        <v>0</v>
      </c>
      <c r="M1046">
        <f>VLOOKUP(A1046,[1]kanji_data!$A:$N,14,FALSE)</f>
        <v>0</v>
      </c>
    </row>
    <row r="1047">
      <c r="A1047" t="str">
        <v>劣</v>
      </c>
      <c r="B1047">
        <v>6</v>
      </c>
      <c r="C1047" t="b">
        <v>1</v>
      </c>
      <c r="D1047" t="str">
        <v>レツ</v>
      </c>
      <c r="E1047" t="str">
        <v>おと（る） いや（しい）</v>
      </c>
      <c r="F1047">
        <v>0</v>
      </c>
      <c r="G1047" t="str">
        <v>おとる。力が弱い。他におよばない。 いやしい。質が低い。 わずか。わずかに。やっと。</v>
      </c>
      <c r="I1047">
        <v>10</v>
      </c>
      <c r="J1047">
        <v>50</v>
      </c>
      <c r="K1047">
        <v>50</v>
      </c>
      <c r="L1047">
        <v>1</v>
      </c>
    </row>
    <row r="1048">
      <c r="A1048" t="str">
        <v>哉</v>
      </c>
      <c r="B1048">
        <v>9</v>
      </c>
      <c r="C1048" t="b">
        <v>0</v>
      </c>
      <c r="D1048" t="str">
        <v>サイ</v>
      </c>
      <c r="E1048" t="str">
        <v>か かな や</v>
      </c>
      <c r="F1048" t="str">
        <v>えい き すけ ちか とし なり はじめ</v>
      </c>
      <c r="G1048" t="str">
        <v>「か」「や」と読み、「～か」「～であろうか」などの疑問・反語の意をあらわす。 「かな」と読み、「～だなあ」「～であるなあ」などの詠嘆の意をあらわす。 はじめ。はじまり。はじめて。はじめる。</v>
      </c>
      <c r="H1048" t="str">
        <v>#幸福</v>
      </c>
      <c r="I1048">
        <v>90</v>
      </c>
      <c r="J1048">
        <v>20</v>
      </c>
      <c r="K1048">
        <v>100</v>
      </c>
      <c r="L1048">
        <v>0</v>
      </c>
      <c r="M1048">
        <f>VLOOKUP(A1048,[1]kanji_data!$A:$N,14,FALSE)</f>
        <v>0</v>
      </c>
    </row>
    <row r="1049">
      <c r="A1049" t="str">
        <v>珊</v>
      </c>
      <c r="B1049">
        <v>9</v>
      </c>
      <c r="C1049" t="b">
        <v>0</v>
      </c>
      <c r="D1049" t="str">
        <v>サン</v>
      </c>
      <c r="E1049">
        <v>0</v>
      </c>
      <c r="F1049" t="str">
        <v>さぶ たま</v>
      </c>
      <c r="G1049" t="str">
        <v>「珊瑚（さんご）」は、刺胞動物門に属する動物のうち、固い骨格を発達させる種類の総称。 「珊珊（さんさん）」は、おび玉の鳴る音。</v>
      </c>
      <c r="H1049" t="str">
        <v>#海・水 #花・彩</v>
      </c>
      <c r="I1049">
        <v>85</v>
      </c>
      <c r="J1049">
        <v>30</v>
      </c>
      <c r="K1049">
        <v>90</v>
      </c>
      <c r="L1049">
        <v>0</v>
      </c>
      <c r="M1049">
        <f>VLOOKUP(A1049,[1]kanji_data!$A:$N,14,FALSE)</f>
        <v>0</v>
      </c>
    </row>
    <row r="1050">
      <c r="A1050" t="str">
        <v>柘</v>
      </c>
      <c r="B1050">
        <v>9</v>
      </c>
      <c r="C1050" t="b">
        <v>0</v>
      </c>
      <c r="D1050" t="str">
        <v>シャ</v>
      </c>
      <c r="E1050" t="str">
        <v>つげ やまぐわ</v>
      </c>
      <c r="F1050" t="str">
        <v>つ</v>
      </c>
      <c r="G1050" t="str">
        <v>やまぐわ。クワ科の落葉高木。 つげ。ツゲ科の常緑低木。</v>
      </c>
      <c r="H1050" t="str">
        <v>#自然</v>
      </c>
      <c r="I1050">
        <v>10</v>
      </c>
      <c r="J1050">
        <v>50</v>
      </c>
      <c r="K1050">
        <v>50</v>
      </c>
      <c r="L1050">
        <v>0</v>
      </c>
      <c r="M1050">
        <f>VLOOKUP(A1050,[1]kanji_data!$A:$N,14,FALSE)</f>
        <v>0</v>
      </c>
    </row>
    <row r="1051">
      <c r="A1051" t="str">
        <v>柊</v>
      </c>
      <c r="B1051">
        <v>9</v>
      </c>
      <c r="C1051" t="b">
        <v>0</v>
      </c>
      <c r="D1051" t="str">
        <v>シュウ</v>
      </c>
      <c r="E1051" t="str">
        <v>ひいらぎ</v>
      </c>
      <c r="F1051" t="str">
        <v>ひ</v>
      </c>
      <c r="G1051" t="str">
        <v>中国で芭蕉（ばしょう）に似た木の名。 ひいらぎ。モクセイ科の常緑高木。</v>
      </c>
      <c r="H1051" t="str">
        <v>#自然 #花・彩</v>
      </c>
      <c r="I1051">
        <v>80</v>
      </c>
      <c r="J1051">
        <v>75</v>
      </c>
      <c r="K1051">
        <v>40</v>
      </c>
      <c r="L1051">
        <v>0</v>
      </c>
      <c r="M1051">
        <f>VLOOKUP(A1051,[1]kanji_data!$A:$N,14,FALSE)</f>
        <v>0</v>
      </c>
    </row>
    <row r="1052">
      <c r="A1052" t="str">
        <v>洲</v>
      </c>
      <c r="B1052">
        <v>9</v>
      </c>
      <c r="C1052" t="b">
        <v>0</v>
      </c>
      <c r="D1052" t="str">
        <v>シュウ</v>
      </c>
      <c r="E1052" t="str">
        <v>しま す</v>
      </c>
      <c r="F1052" t="str">
        <v>くに</v>
      </c>
      <c r="G1052" t="str">
        <v>しま。す。なかす。川や湖の中の小島。 くに。大陸。五大洲（ごだいしゅう）。</v>
      </c>
      <c r="H1052" t="str">
        <v>#海・水 #自然</v>
      </c>
      <c r="I1052">
        <v>50</v>
      </c>
      <c r="J1052">
        <v>75</v>
      </c>
      <c r="K1052">
        <v>40</v>
      </c>
      <c r="L1052">
        <v>0</v>
      </c>
      <c r="M1052">
        <f>VLOOKUP(A1052,[1]kanji_data!$A:$N,14,FALSE)</f>
        <v>0</v>
      </c>
    </row>
    <row r="1053">
      <c r="A1053" t="str">
        <v>茸</v>
      </c>
      <c r="B1053">
        <v>9</v>
      </c>
      <c r="C1053" t="b">
        <v>0</v>
      </c>
      <c r="D1053" t="str">
        <v>ジョウ</v>
      </c>
      <c r="E1053" t="str">
        <v>きのこ しげ（る） たけ ふくろづの</v>
      </c>
      <c r="F1053">
        <v>0</v>
      </c>
      <c r="G1053" t="str">
        <v>しげる。草がおいしげるさま。 ふくろづの。生え変わった鹿のつの。 にこげ。細くやわらかい毛。 たけ。きのこ。きのこ類の総称。</v>
      </c>
      <c r="H1053" t="str">
        <v>#慈愛</v>
      </c>
      <c r="I1053">
        <v>10</v>
      </c>
      <c r="J1053">
        <v>50</v>
      </c>
      <c r="K1053">
        <v>50</v>
      </c>
      <c r="L1053">
        <v>1</v>
      </c>
    </row>
    <row r="1054">
      <c r="A1054" t="str">
        <v>穿</v>
      </c>
      <c r="B1054">
        <v>9</v>
      </c>
      <c r="C1054" t="b">
        <v>0</v>
      </c>
      <c r="D1054" t="str">
        <v>セン</v>
      </c>
      <c r="E1054" t="str">
        <v>うが（つ） つらぬ（く） は（く） ほじく（る） ほじ（る）</v>
      </c>
      <c r="F1054">
        <v>0</v>
      </c>
      <c r="G1054" t="str">
        <v>うがつ。ほる。穴をあける。つらぬく。 はく。ズボンをはく。衣服を身につける。 あな。つかあな。 つらぬく。貫通する。</v>
      </c>
      <c r="H1054" t="str">
        <v>#勇気</v>
      </c>
      <c r="I1054">
        <v>10</v>
      </c>
      <c r="J1054">
        <v>100</v>
      </c>
      <c r="K1054">
        <v>25</v>
      </c>
      <c r="L1054">
        <v>0</v>
      </c>
      <c r="M1054">
        <f>VLOOKUP(A1054,[1]kanji_data!$A:$N,14,FALSE)</f>
        <v>0</v>
      </c>
    </row>
    <row r="1055">
      <c r="A1055" t="str">
        <v>茜</v>
      </c>
      <c r="B1055">
        <v>9</v>
      </c>
      <c r="C1055" t="b">
        <v>0</v>
      </c>
      <c r="D1055" t="str">
        <v>セン</v>
      </c>
      <c r="E1055" t="str">
        <v>あかね</v>
      </c>
      <c r="F1055" t="str">
        <v>あか</v>
      </c>
      <c r="G1055" t="str">
        <v>あかね。あかねぐさ。赤色の染料に用いる。 あかね色。あか。</v>
      </c>
      <c r="H1055" t="str">
        <v>#花・彩</v>
      </c>
      <c r="I1055">
        <v>100</v>
      </c>
      <c r="J1055">
        <v>25</v>
      </c>
      <c r="K1055">
        <v>85</v>
      </c>
      <c r="L1055">
        <v>0</v>
      </c>
      <c r="M1055">
        <f>VLOOKUP(A1055,[1]kanji_data!$A:$N,14,FALSE)</f>
        <v>0</v>
      </c>
    </row>
    <row r="1056">
      <c r="A1056" t="str">
        <v>伐</v>
      </c>
      <c r="B1056">
        <v>6</v>
      </c>
      <c r="C1056" t="b">
        <v>1</v>
      </c>
      <c r="D1056" t="str">
        <v>バツ ハツ</v>
      </c>
      <c r="E1056" t="str">
        <v>う（つ） き（る） ほこ（る）</v>
      </c>
      <c r="F1056">
        <v>0</v>
      </c>
      <c r="G1056" t="str">
        <v>うつ。敵を討つ。敵を殺す。攻める。 うつ。楽器をたたいてならす。 きる。木を切る。木を切り倒す。 ほこる。自慢する。手柄をひけらかす。 いさお。手柄。功績。</v>
      </c>
      <c r="I1056">
        <v>10</v>
      </c>
      <c r="J1056">
        <v>50</v>
      </c>
      <c r="K1056">
        <v>50</v>
      </c>
      <c r="L1056">
        <v>1</v>
      </c>
    </row>
    <row r="1057">
      <c r="A1057" t="str">
        <v>祢</v>
      </c>
      <c r="B1057">
        <v>9</v>
      </c>
      <c r="C1057" t="b">
        <v>0</v>
      </c>
      <c r="D1057" t="str">
        <v>デイ ネ</v>
      </c>
      <c r="E1057" t="str">
        <v>かたしろ みたまや</v>
      </c>
      <c r="F1057">
        <v>0</v>
      </c>
      <c r="G1057" t="str">
        <v>父のおたまや。みたまや。父親の霊廟。 かたしろ。戦争に持っていく位牌。</v>
      </c>
      <c r="H1057" t="str">
        <v>#品格</v>
      </c>
      <c r="I1057">
        <v>10</v>
      </c>
      <c r="J1057">
        <v>45</v>
      </c>
      <c r="K1057">
        <v>70</v>
      </c>
      <c r="L1057">
        <v>1</v>
      </c>
    </row>
    <row r="1058">
      <c r="A1058" t="str">
        <v>肌</v>
      </c>
      <c r="B1058">
        <v>6</v>
      </c>
      <c r="C1058" t="b">
        <v>1</v>
      </c>
      <c r="D1058" t="str">
        <v>キ</v>
      </c>
      <c r="E1058" t="str">
        <v>はだ はだえ</v>
      </c>
      <c r="F1058">
        <v>0</v>
      </c>
      <c r="G1058" t="str">
        <v>はだ。はだえ。皮膚。人の身体の表面。 からだ。肉体。 はだ。気質。例：職人肌</v>
      </c>
      <c r="I1058">
        <v>10</v>
      </c>
      <c r="J1058">
        <v>50</v>
      </c>
      <c r="K1058">
        <v>50</v>
      </c>
      <c r="L1058">
        <v>1</v>
      </c>
    </row>
    <row r="1059">
      <c r="A1059" t="str">
        <v>妄</v>
      </c>
      <c r="B1059">
        <v>6</v>
      </c>
      <c r="C1059" t="b">
        <v>1</v>
      </c>
      <c r="D1059" t="str">
        <v>ボウ モウ</v>
      </c>
      <c r="E1059" t="str">
        <v>みだ（りに）</v>
      </c>
      <c r="F1059">
        <v>0</v>
      </c>
      <c r="G1059" t="str">
        <v>みだりに。むやみに。でたらめに。 みだり。うそ。いつわり。でたらめ。道理に合わないこと。</v>
      </c>
      <c r="I1059">
        <v>10</v>
      </c>
      <c r="J1059">
        <v>50</v>
      </c>
      <c r="K1059">
        <v>50</v>
      </c>
      <c r="L1059">
        <v>1</v>
      </c>
    </row>
    <row r="1060">
      <c r="A1060" t="str">
        <v>柏</v>
      </c>
      <c r="B1060">
        <v>9</v>
      </c>
      <c r="C1060" t="b">
        <v>0</v>
      </c>
      <c r="D1060" t="str">
        <v>ハク ヒャク ビャク</v>
      </c>
      <c r="E1060" t="str">
        <v>かしわ</v>
      </c>
      <c r="F1060">
        <v>0</v>
      </c>
      <c r="G1060" t="str">
        <v>ひのき・このてがしわなどのヒノキ科の常緑樹の総称。 かしわ。ブナ科の落葉高木。</v>
      </c>
      <c r="H1060" t="str">
        <v>#自然</v>
      </c>
      <c r="I1060">
        <v>10</v>
      </c>
      <c r="J1060">
        <v>50</v>
      </c>
      <c r="K1060">
        <v>50</v>
      </c>
      <c r="L1060">
        <v>0</v>
      </c>
      <c r="M1060">
        <f>VLOOKUP(A1060,[1]kanji_data!$A:$N,14,FALSE)</f>
        <v>0</v>
      </c>
    </row>
    <row r="1061">
      <c r="A1061" t="str">
        <v>毘</v>
      </c>
      <c r="B1061">
        <v>9</v>
      </c>
      <c r="C1061" t="b">
        <v>0</v>
      </c>
      <c r="D1061" t="str">
        <v>ヒ ビ</v>
      </c>
      <c r="E1061" t="str">
        <v>たす（ける）</v>
      </c>
      <c r="F1061" t="str">
        <v>すけ てる とも ひで まさ やす</v>
      </c>
      <c r="G1061" t="str">
        <v>たすける。そばについて助ける。 へそ。ほぞ。</v>
      </c>
      <c r="H1061" t="str">
        <v>#慈愛</v>
      </c>
      <c r="I1061">
        <v>30</v>
      </c>
      <c r="J1061">
        <v>70</v>
      </c>
      <c r="K1061">
        <v>60</v>
      </c>
      <c r="L1061">
        <v>0</v>
      </c>
      <c r="M1061">
        <f>VLOOKUP(A1061,[1]kanji_data!$A:$N,14,FALSE)</f>
        <v>0</v>
      </c>
    </row>
    <row r="1062">
      <c r="A1062" t="str">
        <v>弛</v>
      </c>
      <c r="B1062">
        <v>6</v>
      </c>
      <c r="C1062" t="b">
        <v>0</v>
      </c>
      <c r="D1062" t="str">
        <v>シ チ</v>
      </c>
      <c r="E1062" t="str">
        <v>たゆ（む） たる（む） ゆる（む）</v>
      </c>
      <c r="F1062">
        <v>0</v>
      </c>
      <c r="G1062" t="str">
        <v>ゆるむ。たるむ。たゆむ。張っていたものがゆるくなる。</v>
      </c>
      <c r="I1062">
        <v>10</v>
      </c>
      <c r="J1062">
        <v>50</v>
      </c>
      <c r="K1062">
        <v>50</v>
      </c>
      <c r="L1062">
        <v>1</v>
      </c>
    </row>
    <row r="1063">
      <c r="A1063" t="str">
        <v>此</v>
      </c>
      <c r="B1063">
        <v>6</v>
      </c>
      <c r="C1063" t="b">
        <v>0</v>
      </c>
      <c r="D1063" t="str">
        <v>シ</v>
      </c>
      <c r="E1063" t="str">
        <v>か（く） ここ こ（の） これ</v>
      </c>
      <c r="F1063" t="str">
        <v>この</v>
      </c>
      <c r="G1063" t="str">
        <v>これ。この。ここ。近くの人や物を指す。 かく。このような。このように。 ここに。そこで。それでこそ。</v>
      </c>
      <c r="I1063">
        <v>15</v>
      </c>
      <c r="J1063">
        <v>50</v>
      </c>
      <c r="K1063">
        <v>50</v>
      </c>
      <c r="L1063">
        <v>1</v>
      </c>
    </row>
    <row r="1064">
      <c r="A1064" t="str">
        <v>俣</v>
      </c>
      <c r="B1064">
        <v>9</v>
      </c>
      <c r="C1064" t="b">
        <v>0</v>
      </c>
      <c r="D1064">
        <v>0</v>
      </c>
      <c r="E1064" t="str">
        <v>また</v>
      </c>
      <c r="F1064">
        <v>0</v>
      </c>
      <c r="G1064" t="str">
        <v>また。わかれまた。わかれめ。川や道などのわかれる所。</v>
      </c>
      <c r="H1064" t="str">
        <v>#海・水</v>
      </c>
      <c r="I1064">
        <v>10</v>
      </c>
      <c r="J1064">
        <v>50</v>
      </c>
      <c r="K1064">
        <v>50</v>
      </c>
      <c r="L1064">
        <v>1</v>
      </c>
    </row>
    <row r="1065">
      <c r="A1065" t="str">
        <v>尖</v>
      </c>
      <c r="B1065">
        <v>6</v>
      </c>
      <c r="C1065" t="b">
        <v>0</v>
      </c>
      <c r="D1065" t="str">
        <v>セン</v>
      </c>
      <c r="E1065" t="str">
        <v>さき するど（い） とが（る）</v>
      </c>
      <c r="F1065">
        <v>0</v>
      </c>
      <c r="G1065" t="str">
        <v>とがる。するどい。先端が細く鋭い。 さき。はし。先端。</v>
      </c>
      <c r="I1065">
        <v>10</v>
      </c>
      <c r="J1065">
        <v>50</v>
      </c>
      <c r="K1065">
        <v>50</v>
      </c>
      <c r="L1065">
        <v>1</v>
      </c>
    </row>
    <row r="1066">
      <c r="A1066" t="str">
        <v>耶</v>
      </c>
      <c r="B1066">
        <v>9</v>
      </c>
      <c r="C1066" t="b">
        <v>0</v>
      </c>
      <c r="D1066" t="str">
        <v>ヤ</v>
      </c>
      <c r="E1066" t="str">
        <v>か</v>
      </c>
      <c r="F1066">
        <v>0</v>
      </c>
      <c r="G1066" t="str">
        <v>や。か。疑問・反語・詠嘆を表す助字。 父親のこと。 よこしま。＝邪 梵語（ボンゴ）の音訳に用いる字。</v>
      </c>
      <c r="H1066" t="str">
        <v>#調和</v>
      </c>
      <c r="I1066">
        <v>40</v>
      </c>
      <c r="J1066">
        <v>25</v>
      </c>
      <c r="K1066">
        <v>100</v>
      </c>
      <c r="L1066">
        <v>0</v>
      </c>
      <c r="M1066">
        <f>VLOOKUP(A1066,[1]kanji_data!$A:$N,14,FALSE)</f>
        <v>0</v>
      </c>
    </row>
    <row r="1067">
      <c r="A1067" t="str">
        <v>柚</v>
      </c>
      <c r="B1067">
        <v>9</v>
      </c>
      <c r="C1067" t="b">
        <v>0</v>
      </c>
      <c r="D1067" t="str">
        <v>ユ ユウ ジク チク</v>
      </c>
      <c r="E1067" t="str">
        <v>ゆず</v>
      </c>
      <c r="F1067">
        <v>0</v>
      </c>
      <c r="G1067" t="str">
        <v>ゆず。ミカン科の常緑小高木。 機織りのたて糸をまく道具。</v>
      </c>
      <c r="H1067" t="str">
        <v>#自然 #花・彩</v>
      </c>
      <c r="I1067">
        <v>90</v>
      </c>
      <c r="J1067">
        <v>85</v>
      </c>
      <c r="K1067">
        <v>30</v>
      </c>
      <c r="L1067">
        <v>0</v>
      </c>
      <c r="M1067">
        <f>VLOOKUP(A1067,[1]kanji_data!$A:$N,14,FALSE)</f>
        <v>0</v>
      </c>
    </row>
    <row r="1068">
      <c r="A1068" t="str">
        <v>宥</v>
      </c>
      <c r="B1068">
        <v>9</v>
      </c>
      <c r="C1068" t="b">
        <v>0</v>
      </c>
      <c r="D1068" t="str">
        <v>ユウ</v>
      </c>
      <c r="E1068" t="str">
        <v>なだ（める） ゆる（す）</v>
      </c>
      <c r="F1068" t="str">
        <v>すけ ひろ ゆ</v>
      </c>
      <c r="G1068" t="str">
        <v>ゆるす。責めない。とがめない。大目にみる。 なだめる。気持ちをやわらげ静める。</v>
      </c>
      <c r="H1068" t="str">
        <v>#心・志</v>
      </c>
      <c r="I1068">
        <v>90</v>
      </c>
      <c r="J1068">
        <v>35</v>
      </c>
      <c r="K1068">
        <v>75</v>
      </c>
      <c r="L1068">
        <v>0</v>
      </c>
      <c r="M1068">
        <f>VLOOKUP(A1068,[1]kanji_data!$A:$N,14,FALSE)</f>
        <v>0</v>
      </c>
    </row>
    <row r="1069">
      <c r="A1069" t="str">
        <v>祐</v>
      </c>
      <c r="B1069">
        <v>9</v>
      </c>
      <c r="C1069" t="b">
        <v>0</v>
      </c>
      <c r="D1069" t="str">
        <v>ユウ</v>
      </c>
      <c r="E1069" t="str">
        <v>たす（け） たす（ける）</v>
      </c>
      <c r="F1069" t="str">
        <v>さち すけ たすく ち まさ ます むら ゆ よし</v>
      </c>
      <c r="G1069" t="str">
        <v>たすけ。たすける。神の助け。神が助ける。 じょう。神祇官（しんぎかん）の第三位。</v>
      </c>
      <c r="H1069" t="str">
        <v>#慈愛</v>
      </c>
      <c r="I1069">
        <v>100</v>
      </c>
      <c r="J1069">
        <v>85</v>
      </c>
      <c r="K1069">
        <v>45</v>
      </c>
      <c r="L1069">
        <v>0</v>
      </c>
      <c r="M1069">
        <f>VLOOKUP(A1069,[1]kanji_data!$A:$N,14,FALSE)</f>
        <v>0</v>
      </c>
    </row>
    <row r="1070">
      <c r="A1070" t="str">
        <v>洛</v>
      </c>
      <c r="B1070">
        <v>9</v>
      </c>
      <c r="C1070" t="b">
        <v>0</v>
      </c>
      <c r="D1070" t="str">
        <v>ラク</v>
      </c>
      <c r="E1070" t="str">
        <v>つら（なる） みやこ</v>
      </c>
      <c r="F1070">
        <v>0</v>
      </c>
      <c r="G1070" t="str">
        <v>つながる。つらなる。続く。 中国の川の名。洛水（らくすい）。 中国の古都。洛陽（らくよう）。 みやこ。日本の古都の京都。</v>
      </c>
      <c r="H1070" t="str">
        <v>#海・水</v>
      </c>
      <c r="I1070">
        <v>50</v>
      </c>
      <c r="J1070">
        <v>55</v>
      </c>
      <c r="K1070">
        <v>55</v>
      </c>
      <c r="L1070">
        <v>0</v>
      </c>
      <c r="M1070">
        <f>VLOOKUP(A1070,[1]kanji_data!$A:$N,14,FALSE)</f>
        <v>0</v>
      </c>
    </row>
    <row r="1071">
      <c r="A1071" t="str">
        <v>亮</v>
      </c>
      <c r="B1071">
        <v>9</v>
      </c>
      <c r="C1071" t="b">
        <v>0</v>
      </c>
      <c r="D1071" t="str">
        <v>リョウ</v>
      </c>
      <c r="E1071" t="str">
        <v>あき（らか） すけ</v>
      </c>
      <c r="F1071" t="str">
        <v>あき あきら かつ きよし とおる まこと よし</v>
      </c>
      <c r="G1071" t="str">
        <v>あきらか。はっきりしている。明るい。 まこと。まとこに。誠実である。 たすける。補佐。 すけ。四等官（シトウカン）で、職の第二位。</v>
      </c>
      <c r="H1071" t="str">
        <v>#天空 #心・志 #慈愛 #知性</v>
      </c>
      <c r="I1071">
        <v>100</v>
      </c>
      <c r="J1071">
        <v>65</v>
      </c>
      <c r="K1071">
        <v>60</v>
      </c>
      <c r="L1071">
        <v>0</v>
      </c>
      <c r="M1071">
        <f>VLOOKUP(A1071,[1]kanji_data!$A:$N,14,FALSE)</f>
        <v>0</v>
      </c>
    </row>
    <row r="1072">
      <c r="A1072" t="str">
        <v>玲</v>
      </c>
      <c r="B1072">
        <v>9</v>
      </c>
      <c r="C1072" t="b">
        <v>0</v>
      </c>
      <c r="D1072" t="str">
        <v>レイ リョウ</v>
      </c>
      <c r="E1072">
        <v>0</v>
      </c>
      <c r="F1072" t="str">
        <v>あき あきら たま れ</v>
      </c>
      <c r="G1072" t="str">
        <v>玉や金属が触れ合って鳴る音。 鮮やかなさま。美しいさま。</v>
      </c>
      <c r="H1072" t="str">
        <v>#花・彩</v>
      </c>
      <c r="I1072">
        <v>100</v>
      </c>
      <c r="J1072">
        <v>30</v>
      </c>
      <c r="K1072">
        <v>90</v>
      </c>
      <c r="L1072">
        <v>0</v>
      </c>
      <c r="M1072">
        <f>VLOOKUP(A1072,[1]kanji_data!$A:$N,14,FALSE)</f>
        <v>0</v>
      </c>
    </row>
    <row r="1073">
      <c r="A1073" t="str">
        <v>俐</v>
      </c>
      <c r="B1073">
        <v>9</v>
      </c>
      <c r="C1073" t="b">
        <v>0</v>
      </c>
      <c r="D1073" t="str">
        <v>リ</v>
      </c>
      <c r="E1073" t="str">
        <v>かしこ（い） さか（しい）</v>
      </c>
      <c r="F1073" t="str">
        <v>さと さとし</v>
      </c>
      <c r="G1073" t="str">
        <v>かしこい。さかしい。頭がよく切れる。小利口。</v>
      </c>
      <c r="H1073" t="str">
        <v>#知性</v>
      </c>
      <c r="I1073">
        <v>85</v>
      </c>
      <c r="J1073">
        <v>55</v>
      </c>
      <c r="K1073">
        <v>55</v>
      </c>
      <c r="L1073">
        <v>0</v>
      </c>
      <c r="M1073">
        <f>VLOOKUP(A1073,[1]kanji_data!$A:$N,14,FALSE)</f>
        <v>0</v>
      </c>
    </row>
    <row r="1074">
      <c r="A1074" t="str">
        <v>勁</v>
      </c>
      <c r="B1074">
        <v>9</v>
      </c>
      <c r="C1074" t="b">
        <v>0</v>
      </c>
      <c r="D1074" t="str">
        <v>ケイ</v>
      </c>
      <c r="E1074" t="str">
        <v>つよ（い）</v>
      </c>
      <c r="F1074">
        <v>0</v>
      </c>
      <c r="G1074" t="str">
        <v>つよい。かたい。鋭い。力強い。たるむことなく強くまっすぐに張っているさま。 強い力。強く張った力。</v>
      </c>
      <c r="H1074" t="str">
        <v>#勇気</v>
      </c>
      <c r="I1074">
        <v>10</v>
      </c>
      <c r="J1074">
        <v>85</v>
      </c>
      <c r="K1074">
        <v>35</v>
      </c>
      <c r="L1074">
        <v>0</v>
      </c>
      <c r="M1074">
        <f>VLOOKUP(A1074,[1]kanji_data!$A:$N,14,FALSE)</f>
        <v>0</v>
      </c>
    </row>
    <row r="1075">
      <c r="A1075" t="str">
        <v>肋</v>
      </c>
      <c r="B1075">
        <v>6</v>
      </c>
      <c r="C1075" t="b">
        <v>0</v>
      </c>
      <c r="D1075" t="str">
        <v>ロク</v>
      </c>
      <c r="E1075" t="str">
        <v>あばら</v>
      </c>
      <c r="F1075">
        <v>0</v>
      </c>
      <c r="G1075" t="str">
        <v>あばら。あばらぼね。内臓を守るように囲む骨。</v>
      </c>
      <c r="I1075">
        <v>10</v>
      </c>
      <c r="J1075">
        <v>50</v>
      </c>
      <c r="K1075">
        <v>50</v>
      </c>
      <c r="L1075">
        <v>1</v>
      </c>
    </row>
    <row r="1076">
      <c r="A1076" t="str">
        <v>昴</v>
      </c>
      <c r="B1076">
        <v>9</v>
      </c>
      <c r="C1076" t="b">
        <v>0</v>
      </c>
      <c r="D1076" t="str">
        <v>ボウ</v>
      </c>
      <c r="E1076" t="str">
        <v>すばる</v>
      </c>
      <c r="F1076" t="str">
        <v>ほ</v>
      </c>
      <c r="G1076" t="str">
        <v>すばる。二十八宿の一つ。すばるぼし。</v>
      </c>
      <c r="H1076" t="str">
        <v>#天空</v>
      </c>
      <c r="I1076">
        <v>80</v>
      </c>
      <c r="J1076">
        <v>45</v>
      </c>
      <c r="K1076">
        <v>65</v>
      </c>
      <c r="L1076">
        <v>0</v>
      </c>
      <c r="M1076">
        <f>VLOOKUP(A1076,[1]kanji_data!$A:$N,14,FALSE)</f>
        <v>0</v>
      </c>
    </row>
    <row r="1077">
      <c r="A1077" t="str">
        <v>洸</v>
      </c>
      <c r="B1077">
        <v>9</v>
      </c>
      <c r="C1077" t="b">
        <v>0</v>
      </c>
      <c r="D1077" t="str">
        <v>コウ</v>
      </c>
      <c r="E1077" t="str">
        <v>ほの（か）</v>
      </c>
      <c r="F1077" t="str">
        <v>たけし ひろ ひろし ふかし</v>
      </c>
      <c r="G1077" t="str">
        <v>水が広がるさま。水が広く深いさま。 勇ましいさま。堂々としたさま。 ほのか。かすか。はっきりしないさま。</v>
      </c>
      <c r="H1077" t="str">
        <v>#勇気 #繁栄</v>
      </c>
      <c r="I1077">
        <v>95</v>
      </c>
      <c r="J1077">
        <v>75</v>
      </c>
      <c r="K1077">
        <v>55</v>
      </c>
      <c r="L1077">
        <v>0</v>
      </c>
      <c r="M1077">
        <f>VLOOKUP(A1077,[1]kanji_data!$A:$N,14,FALSE)</f>
        <v>0</v>
      </c>
    </row>
    <row r="1078">
      <c r="A1078" t="str">
        <v>洵</v>
      </c>
      <c r="B1078">
        <v>9</v>
      </c>
      <c r="C1078" t="b">
        <v>0</v>
      </c>
      <c r="D1078" t="str">
        <v>シュン ジュン</v>
      </c>
      <c r="E1078" t="str">
        <v>まこと まこと（に）</v>
      </c>
      <c r="F1078" t="str">
        <v>のぶ ひとし</v>
      </c>
      <c r="G1078" t="str">
        <v>まこと。まことに。本当に。</v>
      </c>
      <c r="H1078" t="str">
        <v>#心・志</v>
      </c>
      <c r="I1078">
        <v>40</v>
      </c>
      <c r="J1078">
        <v>60</v>
      </c>
      <c r="K1078">
        <v>50</v>
      </c>
      <c r="L1078">
        <v>0</v>
      </c>
      <c r="M1078">
        <f>VLOOKUP(A1078,[1]kanji_data!$A:$N,14,FALSE)</f>
        <v>0</v>
      </c>
    </row>
    <row r="1079">
      <c r="A1079" t="str">
        <v>珈</v>
      </c>
      <c r="B1079">
        <v>9</v>
      </c>
      <c r="C1079" t="b">
        <v>0</v>
      </c>
      <c r="D1079" t="str">
        <v>カ</v>
      </c>
      <c r="E1079" t="str">
        <v>かみかざ（り）</v>
      </c>
      <c r="F1079">
        <v>0</v>
      </c>
      <c r="G1079" t="str">
        <v>婦人のかみかざり。玉をたれ下げたかんざし。 英語の「coffee」の音訳に当てる「珈琲」に用いる字。</v>
      </c>
      <c r="H1079" t="str">
        <v>#天空</v>
      </c>
      <c r="I1079">
        <v>40</v>
      </c>
      <c r="J1079">
        <v>25</v>
      </c>
      <c r="K1079">
        <v>85</v>
      </c>
      <c r="L1079">
        <v>0</v>
      </c>
      <c r="M1079">
        <f>VLOOKUP(A1079,[1]kanji_data!$A:$N,14,FALSE)</f>
        <v>0</v>
      </c>
    </row>
    <row r="1080">
      <c r="A1080" t="str">
        <v>珀</v>
      </c>
      <c r="B1080">
        <v>9</v>
      </c>
      <c r="C1080" t="b">
        <v>0</v>
      </c>
      <c r="D1080" t="str">
        <v>ハク</v>
      </c>
      <c r="E1080">
        <v>0</v>
      </c>
      <c r="F1080" t="str">
        <v>たま</v>
      </c>
      <c r="G1080" t="str">
        <v>宝石の一種「琥珀（こはく）」に用いられる字。</v>
      </c>
      <c r="H1080" t="str">
        <v>#花・彩</v>
      </c>
      <c r="I1080">
        <v>98</v>
      </c>
      <c r="J1080">
        <v>20</v>
      </c>
      <c r="K1080">
        <v>95</v>
      </c>
      <c r="L1080">
        <v>0</v>
      </c>
      <c r="M1080">
        <f>VLOOKUP(A1080,[1]kanji_data!$A:$N,14,FALSE)</f>
        <v>0</v>
      </c>
    </row>
    <row r="1081">
      <c r="A1081" t="str">
        <v>收</v>
      </c>
      <c r="B1081">
        <v>6</v>
      </c>
      <c r="C1081" t="b">
        <v>0</v>
      </c>
      <c r="D1081" t="str">
        <v>シュウ</v>
      </c>
      <c r="E1081" t="str">
        <v>おさ（まる） おさ（める）</v>
      </c>
      <c r="F1081">
        <v>0</v>
      </c>
      <c r="G1081" t="str">
        <v>おさまる。ちぢむ。ちぢまる。まとまる。 おさめる。一ヶ所にまとめる。一つにまとめる。 おさめる。手に入れる。受け入れる。中に入れる。 おさめる。（国などが）取り上げる。</v>
      </c>
      <c r="I1081">
        <v>10</v>
      </c>
      <c r="J1081">
        <v>70</v>
      </c>
      <c r="K1081">
        <v>50</v>
      </c>
      <c r="L1081">
        <v>0</v>
      </c>
      <c r="M1081">
        <f>VLOOKUP(A1081,[1]kanji_data!$A:$N,14,FALSE)</f>
        <v>0</v>
      </c>
    </row>
    <row r="1082">
      <c r="A1082" t="str">
        <v>恆</v>
      </c>
      <c r="B1082">
        <v>9</v>
      </c>
      <c r="C1082" t="b">
        <v>0</v>
      </c>
      <c r="D1082" t="str">
        <v>コウ</v>
      </c>
      <c r="E1082" t="str">
        <v>つね つね（に）</v>
      </c>
      <c r="F1082">
        <v>0</v>
      </c>
      <c r="G1082" t="str">
        <v>つね。変わらない。一定している。 つねに。いつも。たえず。 易（エキ）の六十四卦の一つ。 弦を張った弓のような月の形。</v>
      </c>
      <c r="H1082" t="str">
        <v>#天空</v>
      </c>
      <c r="I1082">
        <v>50</v>
      </c>
      <c r="J1082">
        <v>55</v>
      </c>
      <c r="K1082">
        <v>55</v>
      </c>
      <c r="L1082">
        <v>0</v>
      </c>
      <c r="M1082">
        <f>VLOOKUP(A1082,[1]kanji_data!$A:$N,14,FALSE)</f>
        <v>0</v>
      </c>
    </row>
    <row r="1083">
      <c r="A1083" t="str">
        <v>村</v>
      </c>
      <c r="B1083">
        <v>7</v>
      </c>
      <c r="C1083" t="b">
        <v>1</v>
      </c>
      <c r="D1083" t="str">
        <v>ソン</v>
      </c>
      <c r="E1083" t="str">
        <v>むら</v>
      </c>
      <c r="F1083" t="str">
        <v>さと すえ つね</v>
      </c>
      <c r="G1083" t="str">
        <v>むら。むらざと。さと。 いなか。いなかめく。いなかじみた。ひなびた。 むら。地方行政区画の一つ。</v>
      </c>
      <c r="I1083">
        <v>15</v>
      </c>
      <c r="J1083">
        <v>50</v>
      </c>
      <c r="K1083">
        <v>50</v>
      </c>
      <c r="L1083">
        <v>0</v>
      </c>
      <c r="M1083">
        <f>VLOOKUP(A1083,[1]kanji_data!$A:$N,14,FALSE)</f>
        <v>0</v>
      </c>
    </row>
    <row r="1084">
      <c r="A1084" t="str">
        <v>勉</v>
      </c>
      <c r="B1084">
        <v>10</v>
      </c>
      <c r="C1084" t="b">
        <v>0</v>
      </c>
      <c r="D1084" t="str">
        <v>ベン</v>
      </c>
      <c r="E1084" t="str">
        <v>つと（める）</v>
      </c>
      <c r="F1084">
        <v>0</v>
      </c>
      <c r="G1084" t="str">
        <v>つとめる。はげむ。はげます。</v>
      </c>
      <c r="H1084" t="str">
        <v>#繁栄</v>
      </c>
      <c r="I1084">
        <v>50</v>
      </c>
      <c r="J1084">
        <v>65</v>
      </c>
      <c r="K1084">
        <v>45</v>
      </c>
      <c r="L1084">
        <v>0</v>
      </c>
      <c r="M1084">
        <f>VLOOKUP(A1084,[1]kanji_data!$A:$N,14,FALSE)</f>
        <v>0</v>
      </c>
    </row>
    <row r="1085">
      <c r="A1085" t="str">
        <v>祈</v>
      </c>
      <c r="B1085">
        <v>8</v>
      </c>
      <c r="C1085" t="b">
        <v>0</v>
      </c>
      <c r="D1085" t="str">
        <v>キ</v>
      </c>
      <c r="E1085" t="str">
        <v>いの（る）</v>
      </c>
      <c r="F1085">
        <v>0</v>
      </c>
      <c r="G1085" t="str">
        <v>いのる。いのり。神仏に願い求める。</v>
      </c>
      <c r="H1085" t="str">
        <v>#幸福</v>
      </c>
      <c r="I1085">
        <v>40</v>
      </c>
      <c r="J1085">
        <v>50</v>
      </c>
      <c r="K1085">
        <v>60</v>
      </c>
      <c r="L1085">
        <v>0</v>
      </c>
      <c r="M1085">
        <f>VLOOKUP(A1085,[1]kanji_data!$A:$N,14,FALSE)</f>
        <v>0</v>
      </c>
    </row>
    <row r="1086">
      <c r="A1086" t="str">
        <v>祉</v>
      </c>
      <c r="B1086">
        <v>8</v>
      </c>
      <c r="C1086" t="b">
        <v>0</v>
      </c>
      <c r="D1086" t="str">
        <v>シ</v>
      </c>
      <c r="E1086" t="str">
        <v>さいわ（い）</v>
      </c>
      <c r="F1086">
        <v>0</v>
      </c>
      <c r="G1086" t="str">
        <v>さいわい。めぐみ。しあわせ。神から与えられた幸福。</v>
      </c>
      <c r="H1086" t="str">
        <v>#幸福</v>
      </c>
      <c r="I1086">
        <v>40</v>
      </c>
      <c r="J1086">
        <v>60</v>
      </c>
      <c r="K1086">
        <v>65</v>
      </c>
      <c r="L1086">
        <v>0</v>
      </c>
      <c r="M1086">
        <f>VLOOKUP(A1086,[1]kanji_data!$A:$N,14,FALSE)</f>
        <v>0</v>
      </c>
    </row>
    <row r="1087">
      <c r="A1087" t="str">
        <v>突</v>
      </c>
      <c r="B1087">
        <v>8</v>
      </c>
      <c r="C1087" t="b">
        <v>0</v>
      </c>
      <c r="D1087" t="str">
        <v>トツ</v>
      </c>
      <c r="E1087" t="str">
        <v>つ（く）</v>
      </c>
      <c r="F1087">
        <v>0</v>
      </c>
      <c r="G1087" t="str">
        <v>つく。つきあたる。ぶつかる。つき出る。 にわかに。だしぬけに。思いがけず急に。 つき。剣術や相撲で相手をつく技。</v>
      </c>
      <c r="H1087" t="str">
        <v>#心・志</v>
      </c>
      <c r="I1087">
        <v>10</v>
      </c>
      <c r="J1087">
        <v>85</v>
      </c>
      <c r="K1087">
        <v>30</v>
      </c>
      <c r="L1087">
        <v>1</v>
      </c>
    </row>
    <row r="1088">
      <c r="A1088" t="str">
        <v>形</v>
      </c>
      <c r="B1088">
        <v>7</v>
      </c>
      <c r="C1088" t="b">
        <v>1</v>
      </c>
      <c r="D1088" t="str">
        <v>ギョウ ケイ</v>
      </c>
      <c r="E1088" t="str">
        <v>かた かたち なり</v>
      </c>
      <c r="F1088">
        <v>0</v>
      </c>
      <c r="G1088" t="str">
        <v>かたち。外からみたすがた。ありさま。 かたち。からだ。人間の肉体。 かた。基本的な形。もとになる形。＝型 あらわれる。形があらわれる。</v>
      </c>
      <c r="I1088">
        <v>10</v>
      </c>
      <c r="J1088">
        <v>40</v>
      </c>
      <c r="K1088">
        <v>75</v>
      </c>
      <c r="L1088">
        <v>0</v>
      </c>
      <c r="M1088">
        <f>VLOOKUP(A1088,[1]kanji_data!$A:$N,14,FALSE)</f>
        <v>0</v>
      </c>
    </row>
    <row r="1089">
      <c r="A1089" t="str">
        <v>売</v>
      </c>
      <c r="B1089">
        <v>7</v>
      </c>
      <c r="C1089" t="b">
        <v>1</v>
      </c>
      <c r="D1089" t="str">
        <v>バイ</v>
      </c>
      <c r="E1089" t="str">
        <v>う（る） う（れる）</v>
      </c>
      <c r="F1089">
        <v>0</v>
      </c>
      <c r="G1089" t="str">
        <v>うる。うれる。あきなう。品物をうる。 うる。だます。裏切る。 うる。広める。宣伝する。</v>
      </c>
      <c r="I1089">
        <v>10</v>
      </c>
      <c r="J1089">
        <v>65</v>
      </c>
      <c r="K1089">
        <v>45</v>
      </c>
      <c r="L1089">
        <v>1</v>
      </c>
    </row>
    <row r="1090">
      <c r="A1090" t="str">
        <v>医</v>
      </c>
      <c r="B1090">
        <v>7</v>
      </c>
      <c r="C1090" t="b">
        <v>1</v>
      </c>
      <c r="D1090" t="str">
        <v>イ</v>
      </c>
      <c r="E1090" t="str">
        <v>い（やす） くすし</v>
      </c>
      <c r="F1090" t="str">
        <v>おさむ</v>
      </c>
      <c r="G1090" t="str">
        <v>いやす。病気をなおす。 くすし。医者。病気をなおす人。 甘酒。</v>
      </c>
      <c r="I1090">
        <v>15</v>
      </c>
      <c r="J1090">
        <v>90</v>
      </c>
      <c r="K1090">
        <v>35</v>
      </c>
      <c r="L1090">
        <v>0</v>
      </c>
      <c r="M1090">
        <f>VLOOKUP(A1090,[1]kanji_data!$A:$N,14,FALSE)</f>
        <v>0</v>
      </c>
    </row>
    <row r="1091">
      <c r="A1091" t="str">
        <v>災</v>
      </c>
      <c r="B1091">
        <v>7</v>
      </c>
      <c r="C1091" t="b">
        <v>1</v>
      </c>
      <c r="D1091" t="str">
        <v>サイ</v>
      </c>
      <c r="E1091" t="str">
        <v>わざわ（い）</v>
      </c>
      <c r="F1091">
        <v>0</v>
      </c>
      <c r="G1091" t="str">
        <v>わざわい。よくない出来事。火事。自然界でおこるわざわい。洪水・地震など。</v>
      </c>
      <c r="I1091">
        <v>10</v>
      </c>
      <c r="J1091">
        <v>50</v>
      </c>
      <c r="K1091">
        <v>50</v>
      </c>
      <c r="L1091">
        <v>1</v>
      </c>
    </row>
    <row r="1092">
      <c r="A1092" t="str">
        <v>家</v>
      </c>
      <c r="B1092">
        <v>10</v>
      </c>
      <c r="C1092" t="b">
        <v>1</v>
      </c>
      <c r="D1092" t="str">
        <v>カ ケ</v>
      </c>
      <c r="E1092" t="str">
        <v>いえ や うち</v>
      </c>
      <c r="F1092">
        <v>0</v>
      </c>
      <c r="G1092" t="str">
        <v>いえ。うち。や。住居。人が居住する建物。 いえ。家族。家庭。 いえ。家がら。 一族。同じ血筋の人たち。 専門の学問や技芸の流派。また、それに属する人。 いえす。いえする。住む。居住する。</v>
      </c>
      <c r="H1092" t="str">
        <v>#知性</v>
      </c>
      <c r="I1092">
        <v>10</v>
      </c>
      <c r="J1092">
        <v>40</v>
      </c>
      <c r="K1092">
        <v>75</v>
      </c>
      <c r="L1092">
        <v>0</v>
      </c>
      <c r="M1092">
        <f>VLOOKUP(A1092,[1]kanji_data!$A:$N,14,FALSE)</f>
        <v>0</v>
      </c>
    </row>
    <row r="1093">
      <c r="A1093" t="str">
        <v>夏</v>
      </c>
      <c r="B1093">
        <v>10</v>
      </c>
      <c r="C1093" t="b">
        <v>1</v>
      </c>
      <c r="D1093" t="str">
        <v>カ ゲ</v>
      </c>
      <c r="E1093" t="str">
        <v>なつ</v>
      </c>
      <c r="F1093">
        <v>0</v>
      </c>
      <c r="G1093" t="str">
        <v>なつ。四季の一つ。立夏から立秋までの期間。六月から八月頃。陰暦では四月から六月。 漢民族が自国を称したことば。 中国最古とされる伝説上の王朝の名。 大きいさま。盛んなさま。</v>
      </c>
      <c r="H1093" t="str">
        <v>#天空</v>
      </c>
      <c r="I1093">
        <v>80</v>
      </c>
      <c r="J1093">
        <v>85</v>
      </c>
      <c r="K1093">
        <v>35</v>
      </c>
      <c r="L1093">
        <v>0</v>
      </c>
      <c r="M1093">
        <f>VLOOKUP(A1093,[1]kanji_data!$A:$N,14,FALSE)</f>
        <v>0</v>
      </c>
    </row>
    <row r="1094">
      <c r="A1094" t="str">
        <v>記</v>
      </c>
      <c r="B1094">
        <v>10</v>
      </c>
      <c r="C1094" t="b">
        <v>1</v>
      </c>
      <c r="D1094" t="str">
        <v>キ</v>
      </c>
      <c r="E1094" t="str">
        <v>しる（す）</v>
      </c>
      <c r="F1094" t="str">
        <v>とし なり のり ふさ ふみ よし</v>
      </c>
      <c r="G1094" t="str">
        <v>しるす。書きしるす。書きとめる。 しるす。おぼえる。心にとどめる。 ある事柄を書きしるしたもの。 しるし。記号。 「古事記」の略。</v>
      </c>
      <c r="H1094" t="str">
        <v>#知性 #伝統</v>
      </c>
      <c r="I1094">
        <v>40</v>
      </c>
      <c r="J1094">
        <v>40</v>
      </c>
      <c r="K1094">
        <v>40</v>
      </c>
      <c r="L1094">
        <v>0</v>
      </c>
      <c r="M1094">
        <f>VLOOKUP(A1094,[1]kanji_data!$A:$N,14,FALSE)</f>
        <v>0</v>
      </c>
    </row>
    <row r="1095">
      <c r="A1095" t="str">
        <v>状</v>
      </c>
      <c r="B1095">
        <v>7</v>
      </c>
      <c r="C1095" t="b">
        <v>1</v>
      </c>
      <c r="D1095" t="str">
        <v>ジョウ</v>
      </c>
      <c r="E1095" t="str">
        <v>かきつけ かたち</v>
      </c>
      <c r="F1095">
        <v>0</v>
      </c>
      <c r="G1095" t="str">
        <v>かたち。すがた。ありさま。様子。 あらわす。かたちをなす。かたちづくる。形容する。 文書。手紙。かきつけ。</v>
      </c>
      <c r="I1095">
        <v>10</v>
      </c>
      <c r="J1095">
        <v>50</v>
      </c>
      <c r="K1095">
        <v>50</v>
      </c>
      <c r="L1095">
        <v>1</v>
      </c>
    </row>
    <row r="1096">
      <c r="A1096" t="str">
        <v>原</v>
      </c>
      <c r="B1096">
        <v>10</v>
      </c>
      <c r="C1096" t="b">
        <v>1</v>
      </c>
      <c r="D1096" t="str">
        <v>ゲン</v>
      </c>
      <c r="E1096" t="str">
        <v>はら たず（ねる） もと ゆる（す）</v>
      </c>
      <c r="F1096" t="str">
        <v>はじめ</v>
      </c>
      <c r="G1096" t="str">
        <v>はら。広く平らな土地。 たずねる。もとにさかのぼる。 もと。おこり。みなもと。根本。 ゆるす。罪をとがめない。 慎み深いさま。生真面目なさま。素直なさま。</v>
      </c>
      <c r="H1096" t="str">
        <v>#繁栄 #自然</v>
      </c>
      <c r="I1096">
        <v>60</v>
      </c>
      <c r="J1096">
        <v>50</v>
      </c>
      <c r="K1096">
        <v>55</v>
      </c>
      <c r="L1096">
        <v>0</v>
      </c>
      <c r="M1096">
        <f>VLOOKUP(A1096,[1]kanji_data!$A:$N,14,FALSE)</f>
        <v>0</v>
      </c>
    </row>
    <row r="1097">
      <c r="A1097" t="str">
        <v>高</v>
      </c>
      <c r="B1097">
        <v>10</v>
      </c>
      <c r="C1097" t="b">
        <v>1</v>
      </c>
      <c r="D1097" t="str">
        <v>コウ</v>
      </c>
      <c r="E1097" t="str">
        <v>たか たか（い） たか（まる） たか（める）</v>
      </c>
      <c r="F1097" t="str">
        <v>あき あきら うえ すけ たかし たけ</v>
      </c>
      <c r="G1097" t="str">
        <v>たかい。人の身長がたかい。位置がたかい。地位や身分がたかい。 たかい。すぐれている。等級や程度がたかい。 たかい。名だかい。有名。 たかまる。たかめる。たかくなる。たかくする。 たかしとする。尊ぶ。敬う。 たかしとする。たかぶる。おごる。 相手の行動や言動を敬っていうことば。 たか。分量。程度。</v>
      </c>
      <c r="H1097" t="str">
        <v>#品格 #心・志 #繁栄</v>
      </c>
      <c r="I1097">
        <v>90</v>
      </c>
      <c r="J1097">
        <v>90</v>
      </c>
      <c r="K1097">
        <v>55</v>
      </c>
      <c r="L1097">
        <v>0</v>
      </c>
      <c r="M1097">
        <f>VLOOKUP(A1097,[1]kanji_data!$A:$N,14,FALSE)</f>
        <v>0</v>
      </c>
    </row>
    <row r="1098">
      <c r="A1098" t="str">
        <v>紙</v>
      </c>
      <c r="B1098">
        <v>10</v>
      </c>
      <c r="C1098" t="b">
        <v>1</v>
      </c>
      <c r="D1098" t="str">
        <v>シ</v>
      </c>
      <c r="E1098" t="str">
        <v>かみ</v>
      </c>
      <c r="F1098">
        <v>0</v>
      </c>
      <c r="G1098" t="str">
        <v>かみ。植物の繊維を材料として作られたもの。 「新聞紙」の略称。</v>
      </c>
      <c r="H1098" t="str">
        <v>#自然</v>
      </c>
      <c r="I1098">
        <v>10</v>
      </c>
      <c r="J1098">
        <v>50</v>
      </c>
      <c r="K1098">
        <v>50</v>
      </c>
      <c r="L1098">
        <v>1</v>
      </c>
    </row>
    <row r="1099">
      <c r="A1099" t="str">
        <v>時</v>
      </c>
      <c r="B1099">
        <v>10</v>
      </c>
      <c r="C1099" t="b">
        <v>1</v>
      </c>
      <c r="D1099" t="str">
        <v>ジ シ</v>
      </c>
      <c r="E1099" t="str">
        <v>とき</v>
      </c>
      <c r="F1099" t="str">
        <v>これ ちか はる もち ゆき よし より</v>
      </c>
      <c r="G1099" t="str">
        <v>とき。四季。四時は春・夏・秋・冬の四つの季節のこと。 とき。時間。一日を二十四分（昔は十二分）したもの。 とき。ときの流れ。月日の移り行き。 とき。機会。ちょうどよい時期。</v>
      </c>
      <c r="H1099" t="str">
        <v>#天空</v>
      </c>
      <c r="I1099">
        <v>85</v>
      </c>
      <c r="J1099">
        <v>55</v>
      </c>
      <c r="K1099">
        <v>55</v>
      </c>
      <c r="L1099">
        <v>0</v>
      </c>
      <c r="M1099">
        <f>VLOOKUP(A1099,[1]kanji_data!$A:$N,14,FALSE)</f>
        <v>0</v>
      </c>
    </row>
    <row r="1100">
      <c r="A1100" t="str">
        <v>弱</v>
      </c>
      <c r="B1100">
        <v>10</v>
      </c>
      <c r="C1100" t="b">
        <v>1</v>
      </c>
      <c r="D1100" t="str">
        <v>ジャク ニャク</v>
      </c>
      <c r="E1100" t="str">
        <v>よわ（い） よわ（まる） よわ（める） よわ（る）</v>
      </c>
      <c r="F1100">
        <v>0</v>
      </c>
      <c r="G1100" t="str">
        <v>よわい。力がない。 よわい。かよわい。しっかりしていない。 よわい。やわらかい。しなやか。 よわまる。よわめる。よわる。おとろえて力がなくなる。 わかい。年がわかい。 ある数に足りずに、端数を切り上げたことを示す。例：十メートル弱</v>
      </c>
      <c r="H1100" t="str">
        <v>#慈愛</v>
      </c>
      <c r="I1100">
        <v>10</v>
      </c>
      <c r="J1100">
        <v>50</v>
      </c>
      <c r="K1100">
        <v>50</v>
      </c>
      <c r="L1100">
        <v>1</v>
      </c>
    </row>
    <row r="1101">
      <c r="A1101" t="str">
        <v>困</v>
      </c>
      <c r="B1101">
        <v>7</v>
      </c>
      <c r="C1101" t="b">
        <v>1</v>
      </c>
      <c r="D1101" t="str">
        <v>コン</v>
      </c>
      <c r="E1101" t="str">
        <v>こま（る） くる（しむ）</v>
      </c>
      <c r="F1101">
        <v>0</v>
      </c>
      <c r="G1101" t="str">
        <v>こまる。くるしむ。なやむ。 貧しい。乏しい。 疲れる。疲労する。 易（エキ）の六十四卦の一つ。</v>
      </c>
      <c r="I1101">
        <v>10</v>
      </c>
      <c r="J1101">
        <v>50</v>
      </c>
      <c r="K1101">
        <v>50</v>
      </c>
      <c r="L1101">
        <v>1</v>
      </c>
    </row>
    <row r="1102">
      <c r="A1102" t="str">
        <v>通</v>
      </c>
      <c r="B1102">
        <v>10</v>
      </c>
      <c r="C1102" t="b">
        <v>1</v>
      </c>
      <c r="D1102" t="str">
        <v>ツウ ツ</v>
      </c>
      <c r="E1102" t="str">
        <v>かよ（う） とお（す） とお（る）</v>
      </c>
      <c r="F1102" t="str">
        <v>いたる とお とおる とし とる なお のぶ ひらく みち みつ やす ゆき</v>
      </c>
      <c r="G1102" t="str">
        <v>とおる。とおす。つらぬく。つきぬける。とどく。 かよう。行き来する。往来する。 男女がひそかに行き来する。 取り次ぎ。取り次ぐ。 広がる。行きわたる。広く行きわたる。 書類や文書を数える助数詞。つう。 世の中のことや遊芸などに詳しいこと。 とおり。道路。道筋。 ごとし。同じ状態。例：右の通り かよい。通帳。 かよう。似る。似ている。</v>
      </c>
      <c r="H1102" t="str">
        <v>#勇気 #心・志 #繁栄</v>
      </c>
      <c r="I1102">
        <v>60</v>
      </c>
      <c r="J1102">
        <v>75</v>
      </c>
      <c r="K1102">
        <v>55</v>
      </c>
      <c r="L1102">
        <v>0</v>
      </c>
      <c r="M1102">
        <f>VLOOKUP(A1102,[1]kanji_data!$A:$N,14,FALSE)</f>
        <v>0</v>
      </c>
    </row>
    <row r="1103">
      <c r="A1103" t="str">
        <v>否</v>
      </c>
      <c r="B1103">
        <v>7</v>
      </c>
      <c r="C1103" t="b">
        <v>1</v>
      </c>
      <c r="D1103" t="str">
        <v>ヒ フ</v>
      </c>
      <c r="E1103" t="str">
        <v>いな いや わる（い）</v>
      </c>
      <c r="F1103">
        <v>0</v>
      </c>
      <c r="G1103" t="str">
        <v>いな。いや。いいえ。同意しない、また認めないの意。 「いな」「しからず」と読み、「そうではない」の意を表す。 「いなや」と読み、「～か」「～でないか」と疑問の意を表す。 「しからずんば」「しからざれば」と読み、「もしそうでなければ」の意を表す。 わるい。よくない。 易（エキ）の六十四卦の一つ。 いなや。すぐに。ただちに。</v>
      </c>
      <c r="I1103">
        <v>10</v>
      </c>
      <c r="J1103">
        <v>50</v>
      </c>
      <c r="K1103">
        <v>50</v>
      </c>
      <c r="L1103">
        <v>1</v>
      </c>
    </row>
    <row r="1104">
      <c r="A1104" t="str">
        <v>院</v>
      </c>
      <c r="B1104">
        <v>10</v>
      </c>
      <c r="C1104" t="b">
        <v>1</v>
      </c>
      <c r="D1104" t="str">
        <v>イン</v>
      </c>
      <c r="E1104" t="str">
        <v>かき かこい</v>
      </c>
      <c r="F1104">
        <v>0</v>
      </c>
      <c r="G1104" t="str">
        <v>かき。かこい。垣根。 やしき。囲いのある建物。 役所や寺院、学校などの建物。 いん。法皇・上皇・女院の御所。また、法皇・上皇・女院を敬っていうことば。</v>
      </c>
      <c r="H1104" t="str">
        <v>#自然</v>
      </c>
      <c r="I1104">
        <v>10</v>
      </c>
      <c r="J1104">
        <v>50</v>
      </c>
      <c r="K1104">
        <v>50</v>
      </c>
      <c r="L1104">
        <v>1</v>
      </c>
    </row>
    <row r="1105">
      <c r="A1105" t="str">
        <v>却</v>
      </c>
      <c r="B1105">
        <v>7</v>
      </c>
      <c r="C1105" t="b">
        <v>1</v>
      </c>
      <c r="D1105" t="str">
        <v>キャク カク</v>
      </c>
      <c r="E1105" t="str">
        <v>かえ（って） しりぞ（く） しりぞ（ける）</v>
      </c>
      <c r="F1105">
        <v>0</v>
      </c>
      <c r="G1105" t="str">
        <v>かえって。逆に。反対に。 しりぞく。さがる。後ろに引く。 しりぞける。拒む。押し戻す。 動詞の後につけて「～してしまう」「～し終わる」の意を表す。</v>
      </c>
      <c r="I1105">
        <v>10</v>
      </c>
      <c r="J1105">
        <v>50</v>
      </c>
      <c r="K1105">
        <v>50</v>
      </c>
      <c r="L1105">
        <v>1</v>
      </c>
    </row>
    <row r="1106">
      <c r="A1106" t="str">
        <v>抗</v>
      </c>
      <c r="B1106">
        <v>7</v>
      </c>
      <c r="C1106" t="b">
        <v>1</v>
      </c>
      <c r="D1106" t="str">
        <v>コウ</v>
      </c>
      <c r="E1106" t="str">
        <v>あらが（う） こば（む） はりあ（う） ふせ（ぐ）</v>
      </c>
      <c r="F1106">
        <v>0</v>
      </c>
      <c r="G1106" t="str">
        <v>ふせぐ。こばむ。あらがう。 あげる。もちあげる。高くあげる。 はりあう。あたる。対等にはりあう。対等に接する。</v>
      </c>
      <c r="I1106">
        <v>10</v>
      </c>
      <c r="J1106">
        <v>50</v>
      </c>
      <c r="K1106">
        <v>50</v>
      </c>
      <c r="L1106">
        <v>1</v>
      </c>
    </row>
    <row r="1107">
      <c r="A1107" t="str">
        <v>起</v>
      </c>
      <c r="B1107">
        <v>10</v>
      </c>
      <c r="C1107" t="b">
        <v>1</v>
      </c>
      <c r="D1107" t="str">
        <v>キ</v>
      </c>
      <c r="E1107" t="str">
        <v>お（きる） お（こす） お（こる） た（つ）</v>
      </c>
      <c r="F1107" t="str">
        <v>おき かず たつ ゆき</v>
      </c>
      <c r="G1107" t="str">
        <v>たつ。立ち上がる。出発する。 おきる。おきあがる。 立てる。立たせる。立ち上がらせる。おこす。 盛んにする。活発にする。おこす。 始める。おこす。 始まる。おこる。</v>
      </c>
      <c r="H1107" t="str">
        <v>#天空 #繁栄</v>
      </c>
      <c r="I1107">
        <v>60</v>
      </c>
      <c r="J1107">
        <v>100</v>
      </c>
      <c r="K1107">
        <v>30</v>
      </c>
      <c r="L1107">
        <v>0</v>
      </c>
      <c r="M1107">
        <f>VLOOKUP(A1107,[1]kanji_data!$A:$N,14,FALSE)</f>
        <v>0</v>
      </c>
    </row>
    <row r="1108">
      <c r="A1108" t="str">
        <v>宮</v>
      </c>
      <c r="B1108">
        <v>10</v>
      </c>
      <c r="C1108" t="b">
        <v>1</v>
      </c>
      <c r="D1108" t="str">
        <v>キュウ グウ ク</v>
      </c>
      <c r="E1108" t="str">
        <v>みや いえ</v>
      </c>
      <c r="F1108">
        <v>0</v>
      </c>
      <c r="G1108" t="str">
        <v>みや。天子の住むところ。 いえ。大きな家屋。 皇族を呼ぶことば。 寺院や神殿などの建造物。 五音「宮・商・角・徴・羽」のひとつ。 五刑の一つ。生殖機能を取り除く重い刑罰。宮刑。 みや。神社。 みや。皇族。</v>
      </c>
      <c r="H1108" t="str">
        <v>#品格</v>
      </c>
      <c r="I1108">
        <v>50</v>
      </c>
      <c r="J1108">
        <v>45</v>
      </c>
      <c r="K1108">
        <v>65</v>
      </c>
      <c r="L1108">
        <v>0</v>
      </c>
      <c r="M1108">
        <f>VLOOKUP(A1108,[1]kanji_data!$A:$N,14,FALSE)</f>
        <v>0</v>
      </c>
    </row>
    <row r="1109">
      <c r="A1109" t="str">
        <v>庫</v>
      </c>
      <c r="B1109">
        <v>10</v>
      </c>
      <c r="C1109" t="b">
        <v>1</v>
      </c>
      <c r="D1109" t="str">
        <v>コ ク</v>
      </c>
      <c r="E1109" t="str">
        <v>くら</v>
      </c>
      <c r="F1109">
        <v>0</v>
      </c>
      <c r="G1109" t="str">
        <v>くら。兵車や武器をしまっておく建物。 くら。物品をしまっておく建物。</v>
      </c>
      <c r="H1109" t="str">
        <v>#勇気</v>
      </c>
      <c r="I1109">
        <v>10</v>
      </c>
      <c r="J1109">
        <v>55</v>
      </c>
      <c r="K1109">
        <v>55</v>
      </c>
      <c r="L1109">
        <v>1</v>
      </c>
    </row>
    <row r="1110">
      <c r="A1110" t="str">
        <v>根</v>
      </c>
      <c r="B1110">
        <v>10</v>
      </c>
      <c r="C1110" t="b">
        <v>1</v>
      </c>
      <c r="D1110" t="str">
        <v>コン</v>
      </c>
      <c r="E1110" t="str">
        <v>ね</v>
      </c>
      <c r="F1110">
        <v>0</v>
      </c>
      <c r="G1110" t="str">
        <v>ね。草や木のね。 ね。つけね。ねもと。 ね。もと。みなもと。よりどころ。 こん。一つの物事を長く続ける気力。 こん。数学で、ある数を何度かかけあわせた数に対して、そのもとの数。 こん。数学で、方程式を成立させる未知数（値の知られていない数）。</v>
      </c>
      <c r="H1110" t="str">
        <v>#健康</v>
      </c>
      <c r="I1110">
        <v>10</v>
      </c>
      <c r="J1110">
        <v>70</v>
      </c>
      <c r="K1110">
        <v>50</v>
      </c>
      <c r="L1110">
        <v>0</v>
      </c>
      <c r="M1110">
        <f>VLOOKUP(A1110,[1]kanji_data!$A:$N,14,FALSE)</f>
        <v>0</v>
      </c>
    </row>
    <row r="1111">
      <c r="A1111" t="str">
        <v>伺</v>
      </c>
      <c r="B1111">
        <v>7</v>
      </c>
      <c r="C1111" t="b">
        <v>1</v>
      </c>
      <c r="D1111" t="str">
        <v>シ</v>
      </c>
      <c r="E1111" t="str">
        <v>うかが（う）</v>
      </c>
      <c r="F1111">
        <v>0</v>
      </c>
      <c r="G1111" t="str">
        <v>うかがう。様子をさぐる。のぞき見る。 待つ。機会をうかがい待つ。 たずねる。訪問する。</v>
      </c>
      <c r="I1111">
        <v>10</v>
      </c>
      <c r="J1111">
        <v>50</v>
      </c>
      <c r="K1111">
        <v>50</v>
      </c>
      <c r="L1111">
        <v>1</v>
      </c>
    </row>
    <row r="1112">
      <c r="A1112" t="str">
        <v>即</v>
      </c>
      <c r="B1112">
        <v>7</v>
      </c>
      <c r="C1112" t="b">
        <v>1</v>
      </c>
      <c r="D1112" t="str">
        <v>ソク ショク</v>
      </c>
      <c r="E1112" t="str">
        <v>すなわ（ち） つ（く）</v>
      </c>
      <c r="F1112">
        <v>0</v>
      </c>
      <c r="G1112" t="str">
        <v>つく。位置につく。地位につく。 つく。近づく。くっつく。 「すなわち」と読み、「すぐに」「ただちに」の意を表す。 「すなわち」と読み、「つまり」「ほかでもなく」「とりもなおさず」の意を表す。 「すなわち」と読み、「～であれば～となる」の意を表す。 「もし」と読み、「もし～ならば」と仮定の意を表す。</v>
      </c>
      <c r="I1112">
        <v>10</v>
      </c>
      <c r="J1112">
        <v>85</v>
      </c>
      <c r="K1112">
        <v>30</v>
      </c>
      <c r="L1112">
        <v>0</v>
      </c>
      <c r="M1112">
        <f>VLOOKUP(A1112,[1]kanji_data!$A:$N,14,FALSE)</f>
        <v>0</v>
      </c>
    </row>
    <row r="1113">
      <c r="A1113" t="str">
        <v>真</v>
      </c>
      <c r="B1113">
        <v>10</v>
      </c>
      <c r="C1113" t="b">
        <v>1</v>
      </c>
      <c r="D1113" t="str">
        <v>シン</v>
      </c>
      <c r="E1113" t="str">
        <v>ま まこと</v>
      </c>
      <c r="F1113" t="str">
        <v>さだ さな さね ただ ちか なお まさ まな み</v>
      </c>
      <c r="G1113" t="str">
        <v>まこと。まことに。本当の。本当に。うそいつわりのない。 自然のままの。まったくそのままの。生まれたままの。 すがた。肖像。物の姿。 書体の一つ。 ま。まことの。本当の。正しい。完全な。</v>
      </c>
      <c r="H1113" t="str">
        <v>#品格 #幸福 #心・志</v>
      </c>
      <c r="I1113">
        <v>100</v>
      </c>
      <c r="J1113">
        <v>55</v>
      </c>
      <c r="K1113">
        <v>70</v>
      </c>
      <c r="L1113">
        <v>0</v>
      </c>
      <c r="M1113">
        <f>VLOOKUP(A1113,[1]kanji_data!$A:$N,14,FALSE)</f>
        <v>0</v>
      </c>
    </row>
    <row r="1114">
      <c r="A1114" t="str">
        <v>坊</v>
      </c>
      <c r="B1114">
        <v>7</v>
      </c>
      <c r="C1114" t="b">
        <v>1</v>
      </c>
      <c r="D1114" t="str">
        <v>ボウ ボッ ホウ</v>
      </c>
      <c r="E1114" t="str">
        <v>へや まち</v>
      </c>
      <c r="F1114">
        <v>0</v>
      </c>
      <c r="G1114" t="str">
        <v>まち。村や町などの区画の一つ。市街。 へや。いえ。住まい。 てら。寺院。僧の住まい。 ふせぐ。守る。＝防 僧。お坊さん。 男の子を親しみをこめて呼ぶことば。坊や。 他人を親しんで、またあざけっていうことば。</v>
      </c>
      <c r="I1114">
        <v>10</v>
      </c>
      <c r="J1114">
        <v>50</v>
      </c>
      <c r="K1114">
        <v>50</v>
      </c>
      <c r="L1114">
        <v>1</v>
      </c>
    </row>
    <row r="1115">
      <c r="A1115" t="str">
        <v>速</v>
      </c>
      <c r="B1115">
        <v>10</v>
      </c>
      <c r="C1115" t="b">
        <v>1</v>
      </c>
      <c r="D1115" t="str">
        <v>ソク</v>
      </c>
      <c r="E1115" t="str">
        <v>はや（い） はや（まる） はや（める） すみ（やか）</v>
      </c>
      <c r="F1115" t="str">
        <v>すすむ ちか ちかし つぎ とう とし はや はやし はやみ はやむ めす</v>
      </c>
      <c r="G1115" t="str">
        <v>はやい。すみやか。 はやく。すみやかに。 いそぐ。はやくする。はやめる。 つつしむ。 まねく。召す。呼び寄せる。</v>
      </c>
      <c r="H1115" t="str">
        <v>#勇気</v>
      </c>
      <c r="I1115">
        <v>95</v>
      </c>
      <c r="J1115">
        <v>100</v>
      </c>
      <c r="K1115">
        <v>30</v>
      </c>
      <c r="L1115">
        <v>0</v>
      </c>
      <c r="M1115">
        <f>VLOOKUP(A1115,[1]kanji_data!$A:$N,14,FALSE)</f>
        <v>0</v>
      </c>
    </row>
    <row r="1116">
      <c r="A1116" t="str">
        <v>庭</v>
      </c>
      <c r="B1116">
        <v>10</v>
      </c>
      <c r="C1116" t="b">
        <v>1</v>
      </c>
      <c r="D1116" t="str">
        <v>テイ</v>
      </c>
      <c r="E1116" t="str">
        <v>にわ</v>
      </c>
      <c r="F1116">
        <v>0</v>
      </c>
      <c r="G1116" t="str">
        <v>にわ。表座敷の前の平らな空き地。 にわ。屋敷内の土地に草木を植えたり池を造ったりした所。 朝廷。または、役所。</v>
      </c>
      <c r="H1116" t="str">
        <v>#天空 #海・水 #自然</v>
      </c>
      <c r="I1116">
        <v>10</v>
      </c>
      <c r="J1116">
        <v>40</v>
      </c>
      <c r="K1116">
        <v>75</v>
      </c>
      <c r="L1116">
        <v>0</v>
      </c>
      <c r="M1116">
        <f>VLOOKUP(A1116,[1]kanji_data!$A:$N,14,FALSE)</f>
        <v>0</v>
      </c>
    </row>
    <row r="1117">
      <c r="A1117" t="str">
        <v>島</v>
      </c>
      <c r="B1117">
        <v>10</v>
      </c>
      <c r="C1117" t="b">
        <v>1</v>
      </c>
      <c r="D1117" t="str">
        <v>トウ</v>
      </c>
      <c r="E1117" t="str">
        <v>しま</v>
      </c>
      <c r="F1117">
        <v>0</v>
      </c>
      <c r="G1117" t="str">
        <v>しま。四方が海や湖で囲まれた陸地。</v>
      </c>
      <c r="H1117" t="str">
        <v>#海・水</v>
      </c>
      <c r="I1117">
        <v>10</v>
      </c>
      <c r="J1117">
        <v>80</v>
      </c>
      <c r="K1117">
        <v>45</v>
      </c>
      <c r="L1117">
        <v>0</v>
      </c>
      <c r="M1117">
        <f>VLOOKUP(A1117,[1]kanji_data!$A:$N,14,FALSE)</f>
        <v>0</v>
      </c>
    </row>
    <row r="1118">
      <c r="A1118" t="str">
        <v>配</v>
      </c>
      <c r="B1118">
        <v>10</v>
      </c>
      <c r="C1118" t="b">
        <v>1</v>
      </c>
      <c r="D1118" t="str">
        <v>ハイ</v>
      </c>
      <c r="E1118" t="str">
        <v>くば（る） つれあい なが（す） なら（ぶ）</v>
      </c>
      <c r="F1118" t="str">
        <v>あつ とも</v>
      </c>
      <c r="G1118" t="str">
        <v>くばる。割り当てる。分ける。 つれあい。夫婦。 ならべる。ならぶ。 したがえる。したがわせる。 島流しにする。</v>
      </c>
      <c r="H1118" t="str">
        <v>#天空</v>
      </c>
      <c r="I1118">
        <v>5</v>
      </c>
      <c r="J1118">
        <v>65</v>
      </c>
      <c r="K1118">
        <v>55</v>
      </c>
      <c r="L1118">
        <v>1</v>
      </c>
    </row>
    <row r="1119">
      <c r="A1119" t="str">
        <v>忌</v>
      </c>
      <c r="B1119">
        <v>7</v>
      </c>
      <c r="C1119" t="b">
        <v>1</v>
      </c>
      <c r="D1119" t="str">
        <v>キ</v>
      </c>
      <c r="E1119" t="str">
        <v>い（まわしい） い（む）</v>
      </c>
      <c r="F1119">
        <v>0</v>
      </c>
      <c r="G1119" t="str">
        <v>いむ。いまわしい。にくむ。きらう。 いむ。いやがってさける。 故人が命を落とした日と同じ日付の日。命日。</v>
      </c>
      <c r="I1119">
        <v>10</v>
      </c>
      <c r="J1119">
        <v>50</v>
      </c>
      <c r="K1119">
        <v>50</v>
      </c>
      <c r="L1119">
        <v>1</v>
      </c>
    </row>
    <row r="1120">
      <c r="A1120" t="str">
        <v>坑</v>
      </c>
      <c r="B1120">
        <v>7</v>
      </c>
      <c r="C1120" t="b">
        <v>1</v>
      </c>
      <c r="D1120" t="str">
        <v>コウ</v>
      </c>
      <c r="E1120" t="str">
        <v>あな</v>
      </c>
      <c r="F1120">
        <v>0</v>
      </c>
      <c r="G1120" t="str">
        <v>あな。地面のくぼんだところ。 あなにする。穴に落とす。穴に埋める。</v>
      </c>
      <c r="I1120">
        <v>10</v>
      </c>
      <c r="J1120">
        <v>50</v>
      </c>
      <c r="K1120">
        <v>50</v>
      </c>
      <c r="L1120">
        <v>1</v>
      </c>
    </row>
    <row r="1121">
      <c r="A1121" t="str">
        <v>勉</v>
      </c>
      <c r="B1121">
        <v>10</v>
      </c>
      <c r="C1121" t="b">
        <v>1</v>
      </c>
      <c r="D1121" t="str">
        <v>ベン</v>
      </c>
      <c r="E1121" t="str">
        <v>つと（める）</v>
      </c>
      <c r="F1121" t="str">
        <v>かつ すすむ たけ つとむ まさる</v>
      </c>
      <c r="G1121" t="str">
        <v>つとめる。はげむ。はげます。</v>
      </c>
      <c r="H1121" t="str">
        <v>#勇気 #繁栄</v>
      </c>
      <c r="I1121">
        <v>90</v>
      </c>
      <c r="J1121">
        <v>75</v>
      </c>
      <c r="K1121">
        <v>45</v>
      </c>
      <c r="L1121">
        <v>0</v>
      </c>
      <c r="M1121">
        <f>VLOOKUP(A1121,[1]kanji_data!$A:$N,14,FALSE)</f>
        <v>0</v>
      </c>
    </row>
    <row r="1122">
      <c r="A1122" t="str">
        <v>尿</v>
      </c>
      <c r="B1122">
        <v>7</v>
      </c>
      <c r="C1122" t="b">
        <v>1</v>
      </c>
      <c r="D1122" t="str">
        <v>ニョウ</v>
      </c>
      <c r="E1122" t="str">
        <v>いばり しと ゆばり</v>
      </c>
      <c r="F1122">
        <v>0</v>
      </c>
      <c r="G1122" t="str">
        <v>いばり。ゆばり。しと。小便。小用。</v>
      </c>
      <c r="I1122">
        <v>10</v>
      </c>
      <c r="J1122">
        <v>50</v>
      </c>
      <c r="K1122">
        <v>50</v>
      </c>
      <c r="L1122">
        <v>1</v>
      </c>
    </row>
    <row r="1123">
      <c r="A1123" t="str">
        <v>流</v>
      </c>
      <c r="B1123">
        <v>10</v>
      </c>
      <c r="C1123" t="b">
        <v>1</v>
      </c>
      <c r="D1123" t="str">
        <v>リュウ ル</v>
      </c>
      <c r="E1123" t="str">
        <v>なが（す） なが（れる）</v>
      </c>
      <c r="F1123" t="str">
        <v>しく とも はる</v>
      </c>
      <c r="G1123" t="str">
        <v>ながす。ながれる。水がながれる。ただよう。さまよう。 ながす。広める。伝える。 ながす。罰として遠地に追いやる。 ながれ。ながれる川。移りゆくさま。 仲間。血筋。同類。例：流派 品等。階級。身分。例：一流 二流 根拠のないこと。いいかげんなこと。確かでない。 りゅう。ながれ。旗や放棄を数えることば。 ながし。客を求めて歩き回ること。</v>
      </c>
      <c r="H1123" t="str">
        <v>#海・水 #自然 #調和</v>
      </c>
      <c r="I1123">
        <v>95</v>
      </c>
      <c r="J1123">
        <v>50</v>
      </c>
      <c r="K1123">
        <v>70</v>
      </c>
      <c r="L1123">
        <v>0</v>
      </c>
      <c r="M1123">
        <f>VLOOKUP(A1123,[1]kanji_data!$A:$N,14,FALSE)</f>
        <v>0</v>
      </c>
    </row>
    <row r="1124">
      <c r="A1124" t="str">
        <v>妨</v>
      </c>
      <c r="B1124">
        <v>7</v>
      </c>
      <c r="C1124" t="b">
        <v>1</v>
      </c>
      <c r="D1124" t="str">
        <v>ボウ ホウ</v>
      </c>
      <c r="E1124" t="str">
        <v>さまた（げる）</v>
      </c>
      <c r="F1124">
        <v>0</v>
      </c>
      <c r="G1124" t="str">
        <v>さまたげる。邪魔をする。 さまたげ。邪魔。差し支え。</v>
      </c>
      <c r="I1124">
        <v>10</v>
      </c>
      <c r="J1124">
        <v>50</v>
      </c>
      <c r="K1124">
        <v>50</v>
      </c>
      <c r="L1124">
        <v>1</v>
      </c>
    </row>
    <row r="1125">
      <c r="A1125" t="str">
        <v>没</v>
      </c>
      <c r="B1125">
        <v>7</v>
      </c>
      <c r="C1125" t="b">
        <v>1</v>
      </c>
      <c r="D1125" t="str">
        <v>ボツ モツ</v>
      </c>
      <c r="E1125" t="str">
        <v>おぼ（れる） しず（む） し（ぬ） な（い）</v>
      </c>
      <c r="F1125">
        <v>0</v>
      </c>
      <c r="G1125" t="str">
        <v>しずむ。水中にしずむ。 なくなる。なくす。隠れる。隠す。 しぬ。終わる。 ない。なくなる。存在しない。</v>
      </c>
      <c r="I1125">
        <v>10</v>
      </c>
      <c r="J1125">
        <v>50</v>
      </c>
      <c r="K1125">
        <v>50</v>
      </c>
      <c r="L1125">
        <v>1</v>
      </c>
    </row>
    <row r="1126">
      <c r="A1126" t="str">
        <v>妊</v>
      </c>
      <c r="B1126">
        <v>7</v>
      </c>
      <c r="C1126" t="b">
        <v>1</v>
      </c>
      <c r="D1126" t="str">
        <v>ニン ジン</v>
      </c>
      <c r="E1126" t="str">
        <v>はら（む） みごも（る）</v>
      </c>
      <c r="F1126">
        <v>0</v>
      </c>
      <c r="G1126" t="str">
        <v>はらむ。みごもる。子をやどす。</v>
      </c>
      <c r="I1126">
        <v>10</v>
      </c>
      <c r="J1126">
        <v>50</v>
      </c>
      <c r="K1126">
        <v>50</v>
      </c>
      <c r="L1126">
        <v>1</v>
      </c>
    </row>
    <row r="1127">
      <c r="A1127" t="str">
        <v>汰</v>
      </c>
      <c r="B1127">
        <v>7</v>
      </c>
      <c r="C1127" t="b">
        <v>1</v>
      </c>
      <c r="D1127" t="str">
        <v>タ タイ</v>
      </c>
      <c r="E1127" t="str">
        <v>おご（る） にご（る） よな（げる）</v>
      </c>
      <c r="F1127">
        <v>0</v>
      </c>
      <c r="G1127" t="str">
        <v>おごる。多すぎる。分をこえる。 にごる。清潔でないさま。 よなげる。水で洗って、良いものと悪いものをよりわける。</v>
      </c>
      <c r="I1127">
        <v>10</v>
      </c>
      <c r="J1127">
        <v>50</v>
      </c>
      <c r="K1127">
        <v>50</v>
      </c>
      <c r="L1127">
        <v>1</v>
      </c>
    </row>
    <row r="1128">
      <c r="A1128" t="str">
        <v>肘</v>
      </c>
      <c r="B1128">
        <v>7</v>
      </c>
      <c r="C1128" t="b">
        <v>1</v>
      </c>
      <c r="D1128" t="str">
        <v>チュウ</v>
      </c>
      <c r="E1128" t="str">
        <v>ひじ</v>
      </c>
      <c r="F1128">
        <v>0</v>
      </c>
      <c r="G1128" t="str">
        <v>ひじ。腕の関節、またその上下の部分。 「掣肘」は、ひじをおさえて止める。</v>
      </c>
      <c r="I1128">
        <v>10</v>
      </c>
      <c r="J1128">
        <v>50</v>
      </c>
      <c r="K1128">
        <v>50</v>
      </c>
      <c r="L1128">
        <v>1</v>
      </c>
    </row>
    <row r="1129">
      <c r="A1129" t="str">
        <v>迂</v>
      </c>
      <c r="B1129">
        <v>7</v>
      </c>
      <c r="C1129" t="b">
        <v>0</v>
      </c>
      <c r="D1129" t="str">
        <v>ウ</v>
      </c>
      <c r="E1129" t="str">
        <v>とお（い） まが（る）</v>
      </c>
      <c r="F1129" t="str">
        <v>すすむ とお ゆき</v>
      </c>
      <c r="G1129" t="str">
        <v>とおい。遠い道。回り遠い道。 まがる。曲げる。ねじける。くねる。 遠回りする。曲がりくねる。また、まわりくどい。 うとい。にぶい。世間の物事にうとく、実際的でない。 でたらめ。うそをつく。</v>
      </c>
      <c r="I1129">
        <v>15</v>
      </c>
      <c r="J1129">
        <v>50</v>
      </c>
      <c r="K1129">
        <v>50</v>
      </c>
      <c r="L1129">
        <v>1</v>
      </c>
    </row>
    <row r="1130">
      <c r="A1130" t="str">
        <v>航</v>
      </c>
      <c r="B1130">
        <v>10</v>
      </c>
      <c r="C1130" t="b">
        <v>1</v>
      </c>
      <c r="D1130" t="str">
        <v>コウ</v>
      </c>
      <c r="E1130" t="str">
        <v>わた（る）</v>
      </c>
      <c r="F1130" t="str">
        <v>かず つら わたる</v>
      </c>
      <c r="G1130" t="str">
        <v>舟。 わたる。舟で水上を移動する。 ふなばし。舟をならべて造られた橋。</v>
      </c>
      <c r="H1130" t="str">
        <v>#勇気 #海・水</v>
      </c>
      <c r="I1130">
        <v>100</v>
      </c>
      <c r="J1130">
        <v>80</v>
      </c>
      <c r="K1130">
        <v>50</v>
      </c>
      <c r="L1130">
        <v>0</v>
      </c>
      <c r="M1130">
        <f>VLOOKUP(A1130,[1]kanji_data!$A:$N,14,FALSE)</f>
        <v>0</v>
      </c>
    </row>
    <row r="1131">
      <c r="A1131" t="str">
        <v>迄</v>
      </c>
      <c r="B1131">
        <v>7</v>
      </c>
      <c r="C1131" t="b">
        <v>0</v>
      </c>
      <c r="D1131" t="str">
        <v>キツ</v>
      </c>
      <c r="E1131" t="str">
        <v>いた（る） およ（ぶ） まで</v>
      </c>
      <c r="F1131">
        <v>0</v>
      </c>
      <c r="G1131" t="str">
        <v>いたる。およぶ。 ついに。とうとう。 まで。</v>
      </c>
      <c r="I1131">
        <v>10</v>
      </c>
      <c r="J1131">
        <v>50</v>
      </c>
      <c r="K1131">
        <v>50</v>
      </c>
      <c r="L1131">
        <v>1</v>
      </c>
    </row>
    <row r="1132">
      <c r="A1132" t="str">
        <v>灸</v>
      </c>
      <c r="B1132">
        <v>7</v>
      </c>
      <c r="C1132" t="b">
        <v>0</v>
      </c>
      <c r="D1132" t="str">
        <v>キュウ</v>
      </c>
      <c r="E1132" t="str">
        <v>やいと</v>
      </c>
      <c r="F1132">
        <v>0</v>
      </c>
      <c r="G1132" t="str">
        <v>やいと。きゅう。肌にもぐさをおいて火をつけ、その熱の刺激で病気を治す方法。</v>
      </c>
      <c r="I1132">
        <v>10</v>
      </c>
      <c r="J1132">
        <v>50</v>
      </c>
      <c r="K1132">
        <v>50</v>
      </c>
      <c r="L1132">
        <v>1</v>
      </c>
    </row>
    <row r="1133">
      <c r="A1133" t="str">
        <v>沌</v>
      </c>
      <c r="B1133">
        <v>7</v>
      </c>
      <c r="C1133" t="b">
        <v>0</v>
      </c>
      <c r="D1133" t="str">
        <v>トン</v>
      </c>
      <c r="E1133" t="str">
        <v>ふさ（がる）</v>
      </c>
      <c r="F1133">
        <v>0</v>
      </c>
      <c r="G1133" t="str">
        <v>ふさがる。開通しない。水が流れない。 万物が形をなしていない状態のこと。区別がつかないようす。例：混沌（こんとん）</v>
      </c>
      <c r="I1133">
        <v>10</v>
      </c>
      <c r="J1133">
        <v>50</v>
      </c>
      <c r="K1133">
        <v>50</v>
      </c>
      <c r="L1133">
        <v>1</v>
      </c>
    </row>
    <row r="1134">
      <c r="A1134" t="str">
        <v>吻</v>
      </c>
      <c r="B1134">
        <v>7</v>
      </c>
      <c r="C1134" t="b">
        <v>0</v>
      </c>
      <c r="D1134" t="str">
        <v>フン</v>
      </c>
      <c r="E1134" t="str">
        <v>くちさき くちびる</v>
      </c>
      <c r="F1134">
        <v>0</v>
      </c>
      <c r="G1134" t="str">
        <v>くちさき。くちびる。くちもと。 くちぶり。ことばつき。ものの言い方。</v>
      </c>
      <c r="I1134">
        <v>10</v>
      </c>
      <c r="J1134">
        <v>50</v>
      </c>
      <c r="K1134">
        <v>50</v>
      </c>
      <c r="L1134">
        <v>1</v>
      </c>
    </row>
    <row r="1135">
      <c r="A1135" t="str">
        <v>笑</v>
      </c>
      <c r="B1135">
        <v>10</v>
      </c>
      <c r="C1135" t="b">
        <v>1</v>
      </c>
      <c r="D1135" t="str">
        <v>ショウ</v>
      </c>
      <c r="E1135" t="str">
        <v>わら（う） え（む）</v>
      </c>
      <c r="F1135" t="str">
        <v>え えみ ふさ</v>
      </c>
      <c r="G1135" t="str">
        <v>わらう。えむ。ほほえむ。あざわらう。うれしがる。 わらい。えみ。ほほえみ。</v>
      </c>
      <c r="H1135" t="str">
        <v>#幸福</v>
      </c>
      <c r="I1135">
        <v>100</v>
      </c>
      <c r="J1135">
        <v>20</v>
      </c>
      <c r="K1135">
        <v>100</v>
      </c>
      <c r="L1135">
        <v>0</v>
      </c>
      <c r="M1135">
        <f>VLOOKUP(A1135,[1]kanji_data!$A:$N,14,FALSE)</f>
        <v>0</v>
      </c>
    </row>
    <row r="1136">
      <c r="A1136" t="str">
        <v>席</v>
      </c>
      <c r="B1136">
        <v>10</v>
      </c>
      <c r="C1136" t="b">
        <v>1</v>
      </c>
      <c r="D1136" t="str">
        <v>セキ</v>
      </c>
      <c r="E1136" t="str">
        <v>むしろ</v>
      </c>
      <c r="F1136">
        <v>0</v>
      </c>
      <c r="G1136" t="str">
        <v>むしろ。竹や草などを編んで作った敷物。 人がすわる場所。 しく。敷物をしく。 「寄席」（落語や講談などの演芸を客に見せる場所）のこと。</v>
      </c>
      <c r="H1136" t="str">
        <v>#自然</v>
      </c>
      <c r="I1136">
        <v>10</v>
      </c>
      <c r="J1136">
        <v>50</v>
      </c>
      <c r="K1136">
        <v>50</v>
      </c>
      <c r="L1136">
        <v>1</v>
      </c>
    </row>
    <row r="1137">
      <c r="A1137" t="str">
        <v>倉</v>
      </c>
      <c r="B1137">
        <v>10</v>
      </c>
      <c r="C1137" t="b">
        <v>1</v>
      </c>
      <c r="D1137" t="str">
        <v>ソウ</v>
      </c>
      <c r="E1137" t="str">
        <v>くら にわ（か）</v>
      </c>
      <c r="F1137">
        <v>0</v>
      </c>
      <c r="G1137" t="str">
        <v>くら。納屋。物をしまっておく所。 にわか。あわただしい。あわてるさま。 青い。＝蒼</v>
      </c>
      <c r="H1137" t="str">
        <v>#品格 #天空</v>
      </c>
      <c r="I1137">
        <v>10</v>
      </c>
      <c r="J1137">
        <v>55</v>
      </c>
      <c r="K1137">
        <v>55</v>
      </c>
      <c r="L1137">
        <v>0</v>
      </c>
      <c r="M1137">
        <f>VLOOKUP(A1137,[1]kanji_data!$A:$N,14,FALSE)</f>
        <v>0</v>
      </c>
    </row>
    <row r="1138">
      <c r="A1138" t="str">
        <v>孫</v>
      </c>
      <c r="B1138">
        <v>10</v>
      </c>
      <c r="C1138" t="b">
        <v>1</v>
      </c>
      <c r="D1138" t="str">
        <v>ソン</v>
      </c>
      <c r="E1138" t="str">
        <v>まご</v>
      </c>
      <c r="F1138">
        <v>0</v>
      </c>
      <c r="G1138" t="str">
        <v>まご。子の子。 同じ血を引く孫以降の世代の者。 ひこばえ。切り株から生えた植物。 のがれる。ゆずる。へりくだる。＝遜</v>
      </c>
      <c r="H1138" t="str">
        <v>#自然</v>
      </c>
      <c r="I1138">
        <v>10</v>
      </c>
      <c r="J1138">
        <v>55</v>
      </c>
      <c r="K1138">
        <v>55</v>
      </c>
      <c r="L1138">
        <v>1</v>
      </c>
    </row>
    <row r="1139">
      <c r="A1139" t="str">
        <v>味</v>
      </c>
      <c r="B1139">
        <v>8</v>
      </c>
      <c r="C1139" t="b">
        <v>1</v>
      </c>
      <c r="D1139" t="str">
        <v>ミ ビ</v>
      </c>
      <c r="E1139" t="str">
        <v>あじ あじ（わう）</v>
      </c>
      <c r="F1139">
        <v>0</v>
      </c>
      <c r="G1139" t="str">
        <v>あじ。あじわい。飲食したときに舌にうける感覚。 あじ。あじわい。おもむき。面白み。意義。 あじわう。飲食物を舌で感じる。あじを知る。 あじわう。物事の意味や深みを感じとる。理解する。体得する。 におい。鼻で感じとる感覚。例：臭味（しゅうみ） 香味（こうみ） 料理の品数を数えることば。 あじ。気のきいているさま。</v>
      </c>
      <c r="I1139">
        <v>10</v>
      </c>
      <c r="J1139">
        <v>25</v>
      </c>
      <c r="K1139">
        <v>100</v>
      </c>
      <c r="L1139">
        <v>0</v>
      </c>
      <c r="M1139">
        <f>VLOOKUP(A1139,[1]kanji_data!$A:$N,14,FALSE)</f>
        <v>0</v>
      </c>
    </row>
    <row r="1140">
      <c r="A1140" t="str">
        <v>徒</v>
      </c>
      <c r="B1140">
        <v>10</v>
      </c>
      <c r="C1140" t="b">
        <v>1</v>
      </c>
      <c r="D1140" t="str">
        <v>ト ズ</v>
      </c>
      <c r="E1140" t="str">
        <v>あだ いたずら（に） かち ただ ともがら むだ</v>
      </c>
      <c r="F1140">
        <v>0</v>
      </c>
      <c r="G1140" t="str">
        <v>かち。乗り物に乗らないで歩く。 なにもない。なにも持たない。から。 ともがら。仲間。 弟子。門下の人。 「ただ」と読み、限定の意を表す。 「いたずらに」と読み、「むだに」「むなしく」と無駄、無益の意を表す。 五刑の一つ。強制的に労役に服させる刑罰。徒刑（ずけい）。 あだ。無駄。無益。</v>
      </c>
      <c r="H1140" t="str">
        <v>#調和</v>
      </c>
      <c r="I1140">
        <v>10</v>
      </c>
      <c r="J1140">
        <v>50</v>
      </c>
      <c r="K1140">
        <v>50</v>
      </c>
      <c r="L1140">
        <v>1</v>
      </c>
    </row>
    <row r="1141">
      <c r="A1141" t="str">
        <v>特</v>
      </c>
      <c r="B1141">
        <v>10</v>
      </c>
      <c r="C1141" t="b">
        <v>1</v>
      </c>
      <c r="D1141" t="str">
        <v>トク ドク</v>
      </c>
      <c r="E1141" t="str">
        <v>おうし とりわ（け） ひと（つ） ひと（り）</v>
      </c>
      <c r="F1141">
        <v>0</v>
      </c>
      <c r="G1141" t="str">
        <v>おうし。雄の牛。たね牛。また、家畜の雄のこと。 とくに。ことに。とりわけ。抜きん出ている。 ひとつ。ひとり。ただひとつの。 「ただ・・・のみ」と読み、「ただ・・・だけ」の意。</v>
      </c>
      <c r="H1141" t="str">
        <v>#勇気</v>
      </c>
      <c r="I1141">
        <v>10</v>
      </c>
      <c r="J1141">
        <v>100</v>
      </c>
      <c r="K1141">
        <v>20</v>
      </c>
      <c r="L1141">
        <v>0</v>
      </c>
      <c r="M1141">
        <f>VLOOKUP(A1141,[1]kanji_data!$A:$N,14,FALSE)</f>
        <v>0</v>
      </c>
    </row>
    <row r="1142">
      <c r="A1142" t="str">
        <v>梅</v>
      </c>
      <c r="B1142">
        <v>10</v>
      </c>
      <c r="C1142" t="b">
        <v>1</v>
      </c>
      <c r="D1142" t="str">
        <v>バイ</v>
      </c>
      <c r="E1142" t="str">
        <v>うめ</v>
      </c>
      <c r="F1142" t="str">
        <v>め</v>
      </c>
      <c r="G1142" t="str">
        <v>うめ。バラ科の落葉高木。</v>
      </c>
      <c r="H1142" t="str">
        <v>#自然 #花・彩</v>
      </c>
      <c r="I1142">
        <v>90</v>
      </c>
      <c r="J1142">
        <v>50</v>
      </c>
      <c r="K1142">
        <v>55</v>
      </c>
      <c r="L1142">
        <v>0</v>
      </c>
      <c r="M1142">
        <f>VLOOKUP(A1142,[1]kanji_data!$A:$N,14,FALSE)</f>
        <v>0</v>
      </c>
    </row>
    <row r="1143">
      <c r="A1143" t="str">
        <v>泣</v>
      </c>
      <c r="B1143">
        <v>8</v>
      </c>
      <c r="C1143" t="b">
        <v>1</v>
      </c>
      <c r="D1143" t="str">
        <v>キュウ</v>
      </c>
      <c r="E1143" t="str">
        <v>な（く）</v>
      </c>
      <c r="F1143">
        <v>0</v>
      </c>
      <c r="G1143" t="str">
        <v>なく。涙を流してなく。声を立てずになく。 なみだ。</v>
      </c>
      <c r="I1143">
        <v>10</v>
      </c>
      <c r="J1143">
        <v>50</v>
      </c>
      <c r="K1143">
        <v>50</v>
      </c>
      <c r="L1143">
        <v>1</v>
      </c>
    </row>
    <row r="1144">
      <c r="A1144" t="str">
        <v>脈</v>
      </c>
      <c r="B1144">
        <v>10</v>
      </c>
      <c r="C1144" t="b">
        <v>1</v>
      </c>
      <c r="D1144" t="str">
        <v>ミャク バク</v>
      </c>
      <c r="E1144" t="str">
        <v>すじ</v>
      </c>
      <c r="F1144">
        <v>0</v>
      </c>
      <c r="G1144" t="str">
        <v>みゃく。血管。血のすじ。 すじになって長く続いているもの。例：水脈 山脈 血管の規則的な鼓動。 みゃく。物事に関する見込み。</v>
      </c>
      <c r="H1144" t="str">
        <v>#健康</v>
      </c>
      <c r="I1144">
        <v>10</v>
      </c>
      <c r="J1144">
        <v>50</v>
      </c>
      <c r="K1144">
        <v>50</v>
      </c>
      <c r="L1144">
        <v>1</v>
      </c>
    </row>
    <row r="1145">
      <c r="A1145" t="str">
        <v>卒</v>
      </c>
      <c r="B1145">
        <v>8</v>
      </c>
      <c r="C1145" t="b">
        <v>1</v>
      </c>
      <c r="D1145" t="str">
        <v>ソツ シュツ</v>
      </c>
      <c r="E1145" t="str">
        <v>お（える） お（わる） しもべ つい（に） にわ（かに）</v>
      </c>
      <c r="F1145" t="str">
        <v>たか</v>
      </c>
      <c r="G1145" t="str">
        <v>しもべ。召し使い。 にわか。突然。にわかに。急に。 等級の低い兵士。 百人の軍隊。 終える。終わる。 ついに。結局は。最後には。行きつくところは。 死ぬ。高い身分の人が死ぬ。</v>
      </c>
      <c r="I1145">
        <v>15</v>
      </c>
      <c r="J1145">
        <v>50</v>
      </c>
      <c r="K1145">
        <v>50</v>
      </c>
      <c r="L1145">
        <v>1</v>
      </c>
    </row>
    <row r="1146">
      <c r="A1146" t="str">
        <v>底</v>
      </c>
      <c r="B1146">
        <v>8</v>
      </c>
      <c r="C1146" t="b">
        <v>1</v>
      </c>
      <c r="D1146" t="str">
        <v>テイ</v>
      </c>
      <c r="E1146" t="str">
        <v>そこ</v>
      </c>
      <c r="F1146">
        <v>0</v>
      </c>
      <c r="G1146" t="str">
        <v>そこ。物の一番下の部分。 そこ。奥そこ。 とどまる。いたりとどまる。 なに。なんぞ。「どんな」「どうして」の意。唐・宋代の俗語。</v>
      </c>
      <c r="I1146">
        <v>10</v>
      </c>
      <c r="J1146">
        <v>50</v>
      </c>
      <c r="K1146">
        <v>50</v>
      </c>
      <c r="L1146">
        <v>1</v>
      </c>
    </row>
    <row r="1147">
      <c r="A1147" t="str">
        <v>連</v>
      </c>
      <c r="B1147">
        <v>10</v>
      </c>
      <c r="C1147" t="b">
        <v>1</v>
      </c>
      <c r="D1147" t="str">
        <v>レン</v>
      </c>
      <c r="E1147" t="str">
        <v>つら（なる） つら（ねる） つ（れる） しき（りに）</v>
      </c>
      <c r="F1147" t="str">
        <v>つぎ まさ やす れ</v>
      </c>
      <c r="G1147" t="str">
        <v>つらなる。引き続く。 つらねる。一列に続く。 つれる。ひきつれる。伴う。 かかりあいになる。まきぞえ。 しきりに。ひき続いて。 つれ。同伴者。仲間。 洋紙を数える単位。</v>
      </c>
      <c r="H1147" t="str">
        <v>#調和</v>
      </c>
      <c r="I1147">
        <v>85</v>
      </c>
      <c r="J1147">
        <v>50</v>
      </c>
      <c r="K1147">
        <v>75</v>
      </c>
      <c r="L1147">
        <v>0</v>
      </c>
      <c r="M1147">
        <f>VLOOKUP(A1147,[1]kanji_data!$A:$N,14,FALSE)</f>
        <v>0</v>
      </c>
    </row>
    <row r="1148">
      <c r="A1148" t="str">
        <v>益</v>
      </c>
      <c r="B1148">
        <v>10</v>
      </c>
      <c r="C1148" t="b">
        <v>1</v>
      </c>
      <c r="D1148" t="str">
        <v>エキ ヤク</v>
      </c>
      <c r="E1148" t="str">
        <v>ま（す） ますます</v>
      </c>
      <c r="F1148" t="str">
        <v>あり すすむ のり まし みつる やす よし</v>
      </c>
      <c r="G1148" t="str">
        <v>ます。ふえる。加える。ふやす。加わる。 ためになる。役に立つ。 もうけ。利益。利点。 ますます。いよいよ。 易（エキ）の六十四卦の一つ。</v>
      </c>
      <c r="H1148" t="str">
        <v>#繁栄</v>
      </c>
      <c r="I1148">
        <v>85</v>
      </c>
      <c r="J1148">
        <v>100</v>
      </c>
      <c r="K1148">
        <v>25</v>
      </c>
      <c r="L1148">
        <v>0</v>
      </c>
      <c r="M1148">
        <f>VLOOKUP(A1148,[1]kanji_data!$A:$N,14,FALSE)</f>
        <v>0</v>
      </c>
    </row>
    <row r="1149">
      <c r="A1149" t="str">
        <v>桜</v>
      </c>
      <c r="B1149">
        <v>10</v>
      </c>
      <c r="C1149" t="b">
        <v>1</v>
      </c>
      <c r="D1149" t="str">
        <v>オウ</v>
      </c>
      <c r="E1149" t="str">
        <v>さくら</v>
      </c>
      <c r="F1149" t="str">
        <v>お さ</v>
      </c>
      <c r="G1149" t="str">
        <v>しなみざくら。バラ科の落葉小高木。また、ゆすらうめ（バラ科の落葉低木）を指すこともある。 さくら。バラ科の落葉高木。</v>
      </c>
      <c r="H1149" t="str">
        <v>#自然 #花・彩</v>
      </c>
      <c r="I1149">
        <v>100</v>
      </c>
      <c r="J1149">
        <v>25</v>
      </c>
      <c r="K1149">
        <v>85</v>
      </c>
      <c r="L1149">
        <v>0</v>
      </c>
      <c r="M1149">
        <f>VLOOKUP(A1149,[1]kanji_data!$A:$N,14,FALSE)</f>
        <v>0</v>
      </c>
    </row>
    <row r="1150">
      <c r="A1150" t="str">
        <v>恩</v>
      </c>
      <c r="B1150">
        <v>10</v>
      </c>
      <c r="C1150" t="b">
        <v>1</v>
      </c>
      <c r="D1150" t="str">
        <v>オン</v>
      </c>
      <c r="E1150" t="str">
        <v>めぐ（み）</v>
      </c>
      <c r="F1150" t="str">
        <v>おき めぐみ</v>
      </c>
      <c r="G1150" t="str">
        <v>めぐみ。いつくしみ。なさけ。</v>
      </c>
      <c r="H1150" t="str">
        <v>#慈愛</v>
      </c>
      <c r="I1150">
        <v>95</v>
      </c>
      <c r="J1150">
        <v>45</v>
      </c>
      <c r="K1150">
        <v>70</v>
      </c>
      <c r="L1150">
        <v>0</v>
      </c>
      <c r="M1150">
        <f>VLOOKUP(A1150,[1]kanji_data!$A:$N,14,FALSE)</f>
        <v>0</v>
      </c>
    </row>
    <row r="1151">
      <c r="A1151" t="str">
        <v>格</v>
      </c>
      <c r="B1151">
        <v>10</v>
      </c>
      <c r="C1151" t="b">
        <v>1</v>
      </c>
      <c r="D1151" t="str">
        <v>カク コウ キャク ゴウ</v>
      </c>
      <c r="E1151" t="str">
        <v>いた（る） う（つ） ただ（す）</v>
      </c>
      <c r="F1151" t="str">
        <v>ただし のり まさ</v>
      </c>
      <c r="G1151" t="str">
        <v>きまり。おきて。のり。法則。基準。 身分。地位。また、おもむき。ようす。 木や竹などを間をすかして方形に組んだもの。 いたる。きわめる。行きつく。 ただす。ただしくする。改める。 うつ。たたく。なぐる。 はばむ。そむく。ふせぐ。 文法用語。文中のある語が他の語に対する関係を示す。</v>
      </c>
      <c r="H1151" t="str">
        <v>#自然</v>
      </c>
      <c r="I1151">
        <v>30</v>
      </c>
      <c r="J1151">
        <v>60</v>
      </c>
      <c r="K1151">
        <v>70</v>
      </c>
      <c r="L1151">
        <v>0</v>
      </c>
      <c r="M1151">
        <f>VLOOKUP(A1151,[1]kanji_data!$A:$N,14,FALSE)</f>
        <v>0</v>
      </c>
    </row>
    <row r="1152">
      <c r="A1152" t="str">
        <v>的</v>
      </c>
      <c r="B1152">
        <v>8</v>
      </c>
      <c r="C1152" t="b">
        <v>0</v>
      </c>
      <c r="D1152" t="str">
        <v>テキ</v>
      </c>
      <c r="E1152" t="str">
        <v>まと あき（らか）</v>
      </c>
      <c r="F1152">
        <v>0</v>
      </c>
      <c r="G1152" t="str">
        <v>まと。ねらい。目当て。 あきらかな。あざやかな。はっきりとした。 明らかに。確かに。はっきりと。 英語の「～tic」の音訳字。「～のような性質」という意味。</v>
      </c>
      <c r="I1152">
        <v>10</v>
      </c>
      <c r="J1152">
        <v>50</v>
      </c>
      <c r="K1152">
        <v>50</v>
      </c>
      <c r="L1152">
        <v>1</v>
      </c>
    </row>
    <row r="1153">
      <c r="A1153" t="str">
        <v>耕</v>
      </c>
      <c r="B1153">
        <v>10</v>
      </c>
      <c r="C1153" t="b">
        <v>1</v>
      </c>
      <c r="D1153" t="str">
        <v>コウ</v>
      </c>
      <c r="E1153" t="str">
        <v>たがや（す）</v>
      </c>
      <c r="F1153" t="str">
        <v>おさむ つとむ やす</v>
      </c>
      <c r="G1153" t="str">
        <v>たがやす。田畑をととのえる。 農事につとめる。 働いて生計をたてる。</v>
      </c>
      <c r="H1153" t="str">
        <v>#天空</v>
      </c>
      <c r="I1153">
        <v>90</v>
      </c>
      <c r="J1153">
        <v>70</v>
      </c>
      <c r="K1153">
        <v>50</v>
      </c>
      <c r="L1153">
        <v>0</v>
      </c>
      <c r="M1153">
        <f>VLOOKUP(A1153,[1]kanji_data!$A:$N,14,FALSE)</f>
        <v>0</v>
      </c>
    </row>
    <row r="1154">
      <c r="A1154" t="str">
        <v>財</v>
      </c>
      <c r="B1154">
        <v>10</v>
      </c>
      <c r="C1154" t="b">
        <v>1</v>
      </c>
      <c r="D1154" t="str">
        <v>ザイ サイ</v>
      </c>
      <c r="E1154" t="str">
        <v>たから</v>
      </c>
      <c r="F1154">
        <v>0</v>
      </c>
      <c r="G1154" t="str">
        <v>たから。金銭。価値があるもの。 才能。才知。知能のはたらき。 たつ。さばく。きりもりする。 わずか。わずかに。</v>
      </c>
      <c r="H1154" t="str">
        <v>#知性</v>
      </c>
      <c r="I1154">
        <v>10</v>
      </c>
      <c r="J1154">
        <v>65</v>
      </c>
      <c r="K1154">
        <v>50</v>
      </c>
      <c r="L1154">
        <v>1</v>
      </c>
    </row>
    <row r="1155">
      <c r="A1155" t="str">
        <v>師</v>
      </c>
      <c r="B1155">
        <v>10</v>
      </c>
      <c r="C1155" t="b">
        <v>1</v>
      </c>
      <c r="D1155" t="str">
        <v>シ</v>
      </c>
      <c r="E1155" t="str">
        <v>いくさ みやこ</v>
      </c>
      <c r="F1155">
        <v>0</v>
      </c>
      <c r="G1155" t="str">
        <v>いくさ。軍隊。周代では、二千五百人の兵。 手本となる人。教え導く人。 みやこ。多くの人が集まる所。また、多くの人。 ある専門の技術をもつ人。また、技芸のすぐれた人。 易（エキ）の六十四卦の一つ。</v>
      </c>
      <c r="H1155" t="str">
        <v>#品格 #知性</v>
      </c>
      <c r="I1155">
        <v>10</v>
      </c>
      <c r="J1155">
        <v>80</v>
      </c>
      <c r="K1155">
        <v>45</v>
      </c>
      <c r="L1155">
        <v>0</v>
      </c>
      <c r="M1155">
        <f>VLOOKUP(A1155,[1]kanji_data!$A:$N,14,FALSE)</f>
        <v>0</v>
      </c>
    </row>
    <row r="1156">
      <c r="A1156" t="str">
        <v>修</v>
      </c>
      <c r="B1156">
        <v>10</v>
      </c>
      <c r="C1156" t="b">
        <v>1</v>
      </c>
      <c r="D1156" t="str">
        <v>シュウ シュ</v>
      </c>
      <c r="E1156" t="str">
        <v>おさ（まる） おさ（める） かざ（る） なが（い）</v>
      </c>
      <c r="F1156" t="str">
        <v>あつむ おさ おさむ とも なお のぶ のり まさ みち やす よし</v>
      </c>
      <c r="G1156" t="str">
        <v>おさまる。正しくなる。形が整う。備わる。 おさめる。正す。形を整える。 おさめる。学ぶ。身につける。 飾る。 長い。 書物を編む。書物にまとめる。 よい。美しい。立派。</v>
      </c>
      <c r="H1156" t="str">
        <v>#品格 #知性 #花・彩</v>
      </c>
      <c r="I1156">
        <v>95</v>
      </c>
      <c r="J1156">
        <v>80</v>
      </c>
      <c r="K1156">
        <v>50</v>
      </c>
      <c r="L1156">
        <v>0</v>
      </c>
      <c r="M1156">
        <f>VLOOKUP(A1156,[1]kanji_data!$A:$N,14,FALSE)</f>
        <v>0</v>
      </c>
    </row>
    <row r="1157">
      <c r="A1157" t="str">
        <v>素</v>
      </c>
      <c r="B1157">
        <v>10</v>
      </c>
      <c r="C1157" t="b">
        <v>1</v>
      </c>
      <c r="D1157" t="str">
        <v>ソ ス</v>
      </c>
      <c r="E1157" t="str">
        <v>しろ（い） もと もと（より）</v>
      </c>
      <c r="F1157" t="str">
        <v>しろし すなお はじめ</v>
      </c>
      <c r="G1157" t="str">
        <v>白絹。白糸。 しろ。白い。 もと。はじめ。もととなるもの。根元。 もとより。つね。つねづね。普段。 とぼしい。むなしい。粗末な。実質の伴わない。 す。混じりけのない。何も加わっていない。</v>
      </c>
      <c r="H1157" t="str">
        <v>#自然</v>
      </c>
      <c r="I1157">
        <v>90</v>
      </c>
      <c r="J1157">
        <v>60</v>
      </c>
      <c r="K1157">
        <v>55</v>
      </c>
      <c r="L1157">
        <v>0</v>
      </c>
      <c r="M1157">
        <f>VLOOKUP(A1157,[1]kanji_data!$A:$N,14,FALSE)</f>
        <v>0</v>
      </c>
    </row>
    <row r="1158">
      <c r="A1158" t="str">
        <v>造</v>
      </c>
      <c r="B1158">
        <v>10</v>
      </c>
      <c r="C1158" t="b">
        <v>1</v>
      </c>
      <c r="D1158" t="str">
        <v>ゾウ</v>
      </c>
      <c r="E1158" t="str">
        <v>つく（る） いた（る） な（る） はじ（める） みやつこ</v>
      </c>
      <c r="F1158" t="str">
        <v>いたる なり はじめ</v>
      </c>
      <c r="G1158" t="str">
        <v>つくる。こしらえる。たてる。なす。 いたる。行く。到達する。 なる。出来上がる。 はじめる。初め。最初。 にわか。あわただしい。 みやつこ。国守。</v>
      </c>
      <c r="H1158" t="str">
        <v>#品格 #天空 #繁栄</v>
      </c>
      <c r="I1158">
        <v>40</v>
      </c>
      <c r="J1158">
        <v>55</v>
      </c>
      <c r="K1158">
        <v>60</v>
      </c>
      <c r="L1158">
        <v>0</v>
      </c>
      <c r="M1158">
        <f>VLOOKUP(A1158,[1]kanji_data!$A:$N,14,FALSE)</f>
        <v>0</v>
      </c>
    </row>
    <row r="1159">
      <c r="A1159" t="str">
        <v>能</v>
      </c>
      <c r="B1159">
        <v>10</v>
      </c>
      <c r="C1159" t="b">
        <v>1</v>
      </c>
      <c r="D1159" t="str">
        <v>ノウ ドウ ダイ</v>
      </c>
      <c r="E1159" t="str">
        <v>あた（う） はたら（き） よ（く） よ（くする）</v>
      </c>
      <c r="F1159" t="str">
        <v>たか ちから とう の のり ひさ よし</v>
      </c>
      <c r="G1159" t="str">
        <v>よくする。できる。うまくできる。 はたらき。力。例：才能 能力 ききめ。 すぐれた才能。また、それを持つ人。 たえる。たえしのぶ。我慢する。 のう。能楽の略。</v>
      </c>
      <c r="H1159" t="str">
        <v>#知性</v>
      </c>
      <c r="I1159">
        <v>85</v>
      </c>
      <c r="J1159">
        <v>70</v>
      </c>
      <c r="K1159">
        <v>50</v>
      </c>
      <c r="L1159">
        <v>0</v>
      </c>
      <c r="M1159">
        <f>VLOOKUP(A1159,[1]kanji_data!$A:$N,14,FALSE)</f>
        <v>0</v>
      </c>
    </row>
    <row r="1160">
      <c r="A1160" t="str">
        <v>破</v>
      </c>
      <c r="B1160">
        <v>10</v>
      </c>
      <c r="C1160" t="b">
        <v>1</v>
      </c>
      <c r="D1160" t="str">
        <v>ハ</v>
      </c>
      <c r="E1160" t="str">
        <v>やぶ（る） やぶ（れる） わ（れる）</v>
      </c>
      <c r="F1160">
        <v>0</v>
      </c>
      <c r="G1160" t="str">
        <v>やぶる。やぶれる。こわす。こわれる。だめになる。われる。 敵を負かす。うちやぶる。打ち負かす。 やり抜く。なしとげる。果たす。例：踏破 楽曲のうち曲調が激しく変化する部分。</v>
      </c>
      <c r="H1160" t="str">
        <v>#繁栄</v>
      </c>
      <c r="I1160">
        <v>10</v>
      </c>
      <c r="J1160">
        <v>50</v>
      </c>
      <c r="K1160">
        <v>50</v>
      </c>
      <c r="L1160">
        <v>1</v>
      </c>
    </row>
    <row r="1161">
      <c r="A1161" t="str">
        <v>券</v>
      </c>
      <c r="B1161">
        <v>8</v>
      </c>
      <c r="C1161" t="b">
        <v>1</v>
      </c>
      <c r="D1161" t="str">
        <v>ケン</v>
      </c>
      <c r="E1161" t="str">
        <v>てがた わりふ</v>
      </c>
      <c r="F1161">
        <v>0</v>
      </c>
      <c r="G1161" t="str">
        <v>手形。割符。契約や取引などの証拠としたもの。 切手・印紙・切符などの類。</v>
      </c>
      <c r="I1161">
        <v>10</v>
      </c>
      <c r="J1161">
        <v>50</v>
      </c>
      <c r="K1161">
        <v>50</v>
      </c>
      <c r="L1161">
        <v>1</v>
      </c>
    </row>
    <row r="1162">
      <c r="A1162" t="str">
        <v>容</v>
      </c>
      <c r="B1162">
        <v>10</v>
      </c>
      <c r="C1162" t="b">
        <v>1</v>
      </c>
      <c r="D1162" t="str">
        <v>ヨウ</v>
      </c>
      <c r="E1162" t="str">
        <v>い（れる） かたち ゆる（す）</v>
      </c>
      <c r="F1162" t="str">
        <v>かた ひろ まさ もり やす よ</v>
      </c>
      <c r="G1162" t="str">
        <v>いれる。器などにいれる。盛る。 いれる。おおう。つつむ。 いれる。ゆるす。聞きいれる。受け入れる。 かたち。すがた。ありさま。 なかみ。中にはいっているもの。 かたちづくる。かたちを整える。飾りつける。 たやすい。やさしい。簡単。 「まさに～べし」と読み、「～するべきである」の意を表す。</v>
      </c>
      <c r="H1162" t="str">
        <v>#慈愛</v>
      </c>
      <c r="I1162">
        <v>80</v>
      </c>
      <c r="J1162">
        <v>5</v>
      </c>
      <c r="K1162">
        <v>100</v>
      </c>
      <c r="L1162">
        <v>0</v>
      </c>
      <c r="M1162">
        <f>VLOOKUP(A1162,[1]kanji_data!$A:$N,14,FALSE)</f>
        <v>0</v>
      </c>
    </row>
    <row r="1163">
      <c r="A1163" t="str">
        <v>留</v>
      </c>
      <c r="B1163">
        <v>10</v>
      </c>
      <c r="C1163" t="b">
        <v>1</v>
      </c>
      <c r="D1163" t="str">
        <v>リュウ ル</v>
      </c>
      <c r="E1163" t="str">
        <v>と（まる） と（める） とど（まる） とど（める）</v>
      </c>
      <c r="F1163" t="str">
        <v>たね と とめ ひさ</v>
      </c>
      <c r="G1163" t="str">
        <v>とまる。とどまる。じっと動かない。とどこおる。 とめる。とどめる。動かないようにする。引き止める。 ルーブル。ロシアの通貨単位。 すばる。星座の名。</v>
      </c>
      <c r="H1163" t="str">
        <v>#天空</v>
      </c>
      <c r="I1163">
        <v>5</v>
      </c>
      <c r="J1163">
        <v>55</v>
      </c>
      <c r="K1163">
        <v>55</v>
      </c>
      <c r="L1163">
        <v>1</v>
      </c>
    </row>
    <row r="1164">
      <c r="A1164" t="str">
        <v>株</v>
      </c>
      <c r="B1164">
        <v>10</v>
      </c>
      <c r="C1164" t="b">
        <v>1</v>
      </c>
      <c r="D1164" t="str">
        <v>シュ</v>
      </c>
      <c r="E1164" t="str">
        <v>かぶ</v>
      </c>
      <c r="F1164">
        <v>0</v>
      </c>
      <c r="G1164" t="str">
        <v>かぶ。きりかぶ。くいぜ。木を切ったあとに残る部分。 かぶ。草木をかぞえることば。 身分。地位。評価。 株式、または株券の略。 その人の得意とすること。特技。</v>
      </c>
      <c r="H1164" t="str">
        <v>#自然</v>
      </c>
      <c r="I1164">
        <v>10</v>
      </c>
      <c r="J1164">
        <v>50</v>
      </c>
      <c r="K1164">
        <v>50</v>
      </c>
      <c r="L1164">
        <v>1</v>
      </c>
    </row>
    <row r="1165">
      <c r="A1165" t="str">
        <v>胸</v>
      </c>
      <c r="B1165">
        <v>10</v>
      </c>
      <c r="C1165" t="b">
        <v>1</v>
      </c>
      <c r="D1165" t="str">
        <v>キョウ</v>
      </c>
      <c r="E1165" t="str">
        <v>むね むな こころ</v>
      </c>
      <c r="F1165">
        <v>0</v>
      </c>
      <c r="G1165" t="str">
        <v>むね。身体の首と胸の間の部分。 こころ。思い。心のうち。むねのうち。</v>
      </c>
      <c r="H1165" t="str">
        <v>#心・志</v>
      </c>
      <c r="I1165">
        <v>10</v>
      </c>
      <c r="J1165">
        <v>50</v>
      </c>
      <c r="K1165">
        <v>55</v>
      </c>
      <c r="L1165">
        <v>1</v>
      </c>
    </row>
    <row r="1166">
      <c r="A1166" t="str">
        <v>降</v>
      </c>
      <c r="B1166">
        <v>10</v>
      </c>
      <c r="C1166" t="b">
        <v>1</v>
      </c>
      <c r="D1166" t="str">
        <v>コウ ゴウ</v>
      </c>
      <c r="E1166" t="str">
        <v>お（りる） お（ろす） ふ（る） くだ（す） くだ（る）</v>
      </c>
      <c r="F1166">
        <v>0</v>
      </c>
      <c r="G1166" t="str">
        <v>おりる。くだる。上から下におりる。 くだす。おろす。さげる。 ふる。雨や雪などがふる。 くだる。くだす。負けて敵に従う。また、敵を負かして従える。</v>
      </c>
      <c r="H1166" t="str">
        <v>#海・水</v>
      </c>
      <c r="I1166">
        <v>10</v>
      </c>
      <c r="J1166">
        <v>50</v>
      </c>
      <c r="K1166">
        <v>50</v>
      </c>
      <c r="L1166">
        <v>1</v>
      </c>
    </row>
    <row r="1167">
      <c r="A1167" t="str">
        <v>骨</v>
      </c>
      <c r="B1167">
        <v>10</v>
      </c>
      <c r="C1167" t="b">
        <v>1</v>
      </c>
      <c r="D1167" t="str">
        <v>コツ</v>
      </c>
      <c r="E1167" t="str">
        <v>ほね</v>
      </c>
      <c r="F1167">
        <v>0</v>
      </c>
      <c r="G1167" t="str">
        <v>ほね。人や動物の体内にあるほね。 ほね。ものごとの中心となるもの。 からだ。からだつき。 ひとがら。気質。品格。 ほね。苦労。面倒。 こつ。火葬した骨。 こつ。要領。</v>
      </c>
      <c r="H1167" t="str">
        <v>#品格</v>
      </c>
      <c r="I1167">
        <v>10</v>
      </c>
      <c r="J1167">
        <v>50</v>
      </c>
      <c r="K1167">
        <v>50</v>
      </c>
      <c r="L1167">
        <v>1</v>
      </c>
    </row>
    <row r="1168">
      <c r="A1168" t="str">
        <v>座</v>
      </c>
      <c r="B1168">
        <v>10</v>
      </c>
      <c r="C1168" t="b">
        <v>1</v>
      </c>
      <c r="D1168" t="str">
        <v>ザ</v>
      </c>
      <c r="E1168" t="str">
        <v>すわ（る） いま（す）</v>
      </c>
      <c r="F1168">
        <v>0</v>
      </c>
      <c r="G1168" t="str">
        <v>すわる所。席。 物をのせておく台。 くらい。地位。身分。 星の集まり。星の宿り。星座。 すわる。腰をおろしてすわる。席につく。＝坐 仏像、建物、山などを数えることば。 ざ。昔の商工業の同業者組合。 ざ。江戸時代に貨幣を製造した公設の機関。 ざ。劇団、劇場などの名の下につけることば。 います。「ある」「いる」の尊敬語。</v>
      </c>
      <c r="H1168" t="str">
        <v>#品格 #天空 #海・水</v>
      </c>
      <c r="I1168">
        <v>10</v>
      </c>
      <c r="J1168">
        <v>50</v>
      </c>
      <c r="K1168">
        <v>50</v>
      </c>
      <c r="L1168">
        <v>1</v>
      </c>
    </row>
    <row r="1169">
      <c r="A1169" t="str">
        <v>蚕</v>
      </c>
      <c r="B1169">
        <v>10</v>
      </c>
      <c r="C1169" t="b">
        <v>1</v>
      </c>
      <c r="D1169" t="str">
        <v>サン テン</v>
      </c>
      <c r="E1169" t="str">
        <v>かいこ こ</v>
      </c>
      <c r="F1169">
        <v>0</v>
      </c>
      <c r="G1169" t="str">
        <v>かいこ。クワの葉をたべ、まゆをつくる。 かいこを飼う。 みみず。</v>
      </c>
      <c r="H1169" t="str">
        <v>#自然</v>
      </c>
      <c r="I1169">
        <v>10</v>
      </c>
      <c r="J1169">
        <v>50</v>
      </c>
      <c r="K1169">
        <v>50</v>
      </c>
      <c r="L1169">
        <v>1</v>
      </c>
    </row>
    <row r="1170">
      <c r="A1170" t="str">
        <v>射</v>
      </c>
      <c r="B1170">
        <v>10</v>
      </c>
      <c r="C1170" t="b">
        <v>1</v>
      </c>
      <c r="D1170" t="str">
        <v>シャ エキ セキ ヤ</v>
      </c>
      <c r="E1170" t="str">
        <v>い（る） あ（てる） う（つ） さ（す）</v>
      </c>
      <c r="F1170">
        <v>0</v>
      </c>
      <c r="G1170" t="str">
        <v>いる。弓で矢を放つ。 うつ。銃で弾をうつ。 さす。光が入りこむ。光があたる。 あてる。ねらいあてる。 「僕射」は官名。 あきる。いやになる。</v>
      </c>
      <c r="H1170" t="str">
        <v>#天空</v>
      </c>
      <c r="I1170">
        <v>10</v>
      </c>
      <c r="J1170">
        <v>85</v>
      </c>
      <c r="K1170">
        <v>30</v>
      </c>
      <c r="L1170">
        <v>1</v>
      </c>
    </row>
    <row r="1171">
      <c r="A1171" t="str">
        <v>効</v>
      </c>
      <c r="B1171">
        <v>8</v>
      </c>
      <c r="C1171" t="b">
        <v>1</v>
      </c>
      <c r="D1171" t="str">
        <v>コウ</v>
      </c>
      <c r="E1171" t="str">
        <v>き（く） いた（す） かい なら（う）</v>
      </c>
      <c r="F1171">
        <v>0</v>
      </c>
      <c r="G1171" t="str">
        <v>きく。ききめがある。 いたす。尽力する。 かい。しるし。ききめ。例：効果 ならう。まねる。まねをする。</v>
      </c>
      <c r="I1171">
        <v>10</v>
      </c>
      <c r="J1171">
        <v>65</v>
      </c>
      <c r="K1171">
        <v>55</v>
      </c>
      <c r="L1171">
        <v>0</v>
      </c>
      <c r="M1171">
        <f>VLOOKUP(A1171,[1]kanji_data!$A:$N,14,FALSE)</f>
        <v>0</v>
      </c>
    </row>
    <row r="1172">
      <c r="A1172" t="str">
        <v>純</v>
      </c>
      <c r="B1172">
        <v>10</v>
      </c>
      <c r="C1172" t="b">
        <v>1</v>
      </c>
      <c r="D1172" t="str">
        <v>ジュン トン</v>
      </c>
      <c r="E1172" t="str">
        <v>きいと</v>
      </c>
      <c r="F1172" t="str">
        <v>あつ あつし あや いと きよし すなお すみ まこと よし</v>
      </c>
      <c r="G1172" t="str">
        <v>いと。生糸。まじり物のない糸。 混じり気がない。かざらない。偽りのない。けがれない。 もっぱら。専一であること。 立派。美しい。よい。 大きい。 へり。ふち。 つつむ。つかねる。束ねる。</v>
      </c>
      <c r="H1172" t="str">
        <v>#品格 #花・彩</v>
      </c>
      <c r="I1172">
        <v>100</v>
      </c>
      <c r="J1172">
        <v>35</v>
      </c>
      <c r="K1172">
        <v>90</v>
      </c>
      <c r="L1172">
        <v>0</v>
      </c>
      <c r="M1172">
        <f>VLOOKUP(A1172,[1]kanji_data!$A:$N,14,FALSE)</f>
        <v>0</v>
      </c>
    </row>
    <row r="1173">
      <c r="A1173" t="str">
        <v>招</v>
      </c>
      <c r="B1173">
        <v>8</v>
      </c>
      <c r="C1173" t="b">
        <v>1</v>
      </c>
      <c r="D1173" t="str">
        <v>ショウ</v>
      </c>
      <c r="E1173" t="str">
        <v>まね（く）</v>
      </c>
      <c r="F1173">
        <v>0</v>
      </c>
      <c r="G1173" t="str">
        <v>まねく。手まねきをする。 まねく。接待の用意をして客を呼ぶ。 まねく。呼び寄せる。引き起こす。</v>
      </c>
      <c r="I1173">
        <v>10</v>
      </c>
      <c r="J1173">
        <v>75</v>
      </c>
      <c r="K1173">
        <v>45</v>
      </c>
      <c r="L1173">
        <v>0</v>
      </c>
      <c r="M1173">
        <f>VLOOKUP(A1173,[1]kanji_data!$A:$N,14,FALSE)</f>
        <v>0</v>
      </c>
    </row>
    <row r="1174">
      <c r="A1174" t="str">
        <v>将</v>
      </c>
      <c r="B1174">
        <v>10</v>
      </c>
      <c r="C1174" t="b">
        <v>1</v>
      </c>
      <c r="D1174" t="str">
        <v>ショウ</v>
      </c>
      <c r="E1174" t="str">
        <v>はた ひき（いる） まさ（に）</v>
      </c>
      <c r="F1174" t="str">
        <v>すけ すすむ ただし もち ゆき</v>
      </c>
      <c r="G1174" t="str">
        <v>ひきいる。兵をひきいる。軍をひきいる。また、その人。 たすける。救う。支える。 すすむ。前進する。 おこなう。 「まさに～す」と読み、「今にも～しそうだ」「やがて～になりそうだ」と今より先のことについての推量の意を表す。 「まさに～す」と読み、「～しようとする」「～したい」と今より先のことについての意志の意を表す。 「まさに～す」と読み、「ほぼ～である」「ほぼ～に近い」と程度が近いことを表す。 「はた」と読み、「それとも」「または」「あるいは」と選択の意を表す。 「もって」と読み、「～によって」「～をもちいて」と方法や手段などを表す。</v>
      </c>
      <c r="H1174" t="str">
        <v>#心・志 #慈愛</v>
      </c>
      <c r="I1174">
        <v>95</v>
      </c>
      <c r="J1174">
        <v>90</v>
      </c>
      <c r="K1174">
        <v>40</v>
      </c>
      <c r="L1174">
        <v>0</v>
      </c>
      <c r="M1174">
        <f>VLOOKUP(A1174,[1]kanji_data!$A:$N,14,FALSE)</f>
        <v>0</v>
      </c>
    </row>
    <row r="1175">
      <c r="A1175" t="str">
        <v>針</v>
      </c>
      <c r="B1175">
        <v>10</v>
      </c>
      <c r="C1175" t="b">
        <v>1</v>
      </c>
      <c r="D1175" t="str">
        <v>シン</v>
      </c>
      <c r="E1175" t="str">
        <v>はり</v>
      </c>
      <c r="F1175">
        <v>0</v>
      </c>
      <c r="G1175" t="str">
        <v>はり。ぬいばり。布などを縫うはり。 はり。医療に用いられるはり。また、それを用いた治療。 はり。はり状のもの。はりのように細長く、先のとがったもの。 縫う。 刺す。</v>
      </c>
      <c r="H1175" t="str">
        <v>#健康</v>
      </c>
      <c r="I1175">
        <v>10</v>
      </c>
      <c r="J1175">
        <v>50</v>
      </c>
      <c r="K1175">
        <v>50</v>
      </c>
      <c r="L1175">
        <v>1</v>
      </c>
    </row>
    <row r="1176">
      <c r="A1176" t="str">
        <v>刺</v>
      </c>
      <c r="B1176">
        <v>8</v>
      </c>
      <c r="C1176" t="b">
        <v>1</v>
      </c>
      <c r="D1176" t="str">
        <v>シ セキ</v>
      </c>
      <c r="E1176" t="str">
        <v>さ（さる） さ（す） そし（る） とげ なふだ</v>
      </c>
      <c r="F1176">
        <v>0</v>
      </c>
      <c r="G1176" t="str">
        <v>ささる。さす。とがったもので突きさす。 そしる。なじる。責める。 とげ。はり。細くとがったもの。 なふだ。自分の名を知らせるもの。例：名刺 さぐる。様子をうかがう。</v>
      </c>
      <c r="I1176">
        <v>10</v>
      </c>
      <c r="J1176">
        <v>50</v>
      </c>
      <c r="K1176">
        <v>50</v>
      </c>
      <c r="L1176">
        <v>1</v>
      </c>
    </row>
    <row r="1177">
      <c r="A1177" t="str">
        <v>抵</v>
      </c>
      <c r="B1177">
        <v>8</v>
      </c>
      <c r="C1177" t="b">
        <v>1</v>
      </c>
      <c r="D1177" t="str">
        <v>テイ シ</v>
      </c>
      <c r="E1177" t="str">
        <v>あ（たる） う（つ） ふ（れる）</v>
      </c>
      <c r="F1177">
        <v>0</v>
      </c>
      <c r="G1177" t="str">
        <v>おす。おしのける。 あたる。ふれる。さわる。 あたる。相当する。釣り合う。 こばむ。さからう。てむかう。 いたる。届く。達する。 うつ。たたく。</v>
      </c>
      <c r="I1177">
        <v>10</v>
      </c>
      <c r="J1177">
        <v>50</v>
      </c>
      <c r="K1177">
        <v>50</v>
      </c>
      <c r="L1177">
        <v>1</v>
      </c>
    </row>
    <row r="1178">
      <c r="A1178" t="str">
        <v>党</v>
      </c>
      <c r="B1178">
        <v>10</v>
      </c>
      <c r="C1178" t="b">
        <v>1</v>
      </c>
      <c r="D1178" t="str">
        <v>トウ</v>
      </c>
      <c r="E1178" t="str">
        <v>なかま むら</v>
      </c>
      <c r="F1178">
        <v>0</v>
      </c>
      <c r="G1178" t="str">
        <v>なかま。ともがら。同志の集まり。 むら。同じ村里に住む人々。 助け合って悪事をかくす。</v>
      </c>
      <c r="H1178" t="str">
        <v>#心・志</v>
      </c>
      <c r="I1178">
        <v>10</v>
      </c>
      <c r="J1178">
        <v>50</v>
      </c>
      <c r="K1178">
        <v>50</v>
      </c>
      <c r="L1178">
        <v>1</v>
      </c>
    </row>
    <row r="1179">
      <c r="A1179" t="str">
        <v>迫</v>
      </c>
      <c r="B1179">
        <v>8</v>
      </c>
      <c r="C1179" t="b">
        <v>1</v>
      </c>
      <c r="D1179" t="str">
        <v>ハク</v>
      </c>
      <c r="E1179" t="str">
        <v>せま（る） せ（る）</v>
      </c>
      <c r="F1179" t="str">
        <v>とお</v>
      </c>
      <c r="G1179" t="str">
        <v>せまる。せる。近づく。せばまる。 追い詰める。おしつける。強制する。 さしせまる。ゆきづまる。せっぱつまる。</v>
      </c>
      <c r="I1179">
        <v>15</v>
      </c>
      <c r="J1179">
        <v>50</v>
      </c>
      <c r="K1179">
        <v>50</v>
      </c>
      <c r="L1179">
        <v>1</v>
      </c>
    </row>
    <row r="1180">
      <c r="A1180" t="str">
        <v>肢</v>
      </c>
      <c r="B1180">
        <v>8</v>
      </c>
      <c r="C1180" t="b">
        <v>1</v>
      </c>
      <c r="D1180" t="str">
        <v>シ</v>
      </c>
      <c r="E1180" t="str">
        <v>てあし</v>
      </c>
      <c r="F1180">
        <v>0</v>
      </c>
      <c r="G1180" t="str">
        <v>てあし。人間や動物の手足。 本体から分かれ出た部分。</v>
      </c>
      <c r="I1180">
        <v>10</v>
      </c>
      <c r="J1180">
        <v>50</v>
      </c>
      <c r="K1180">
        <v>50</v>
      </c>
      <c r="L1180">
        <v>1</v>
      </c>
    </row>
    <row r="1181">
      <c r="A1181" t="str">
        <v>坪</v>
      </c>
      <c r="B1181">
        <v>8</v>
      </c>
      <c r="C1181" t="b">
        <v>1</v>
      </c>
      <c r="D1181" t="str">
        <v>ヘイ</v>
      </c>
      <c r="E1181" t="str">
        <v>つぼ</v>
      </c>
      <c r="F1181">
        <v>0</v>
      </c>
      <c r="G1181" t="str">
        <v>平地。平らな土地。 つぼ。土地の面積の単位。六尺平方。約三・三平方メートル。 つぼ。土砂などの体積の単位。六尺立方。 つぼ。印刷製版などの単位。一寸平方。</v>
      </c>
      <c r="I1181">
        <v>10</v>
      </c>
      <c r="J1181">
        <v>50</v>
      </c>
      <c r="K1181">
        <v>50</v>
      </c>
      <c r="L1181">
        <v>1</v>
      </c>
    </row>
    <row r="1182">
      <c r="A1182" t="str">
        <v>迭</v>
      </c>
      <c r="B1182">
        <v>8</v>
      </c>
      <c r="C1182" t="b">
        <v>1</v>
      </c>
      <c r="D1182" t="str">
        <v>テツ</v>
      </c>
      <c r="E1182" t="str">
        <v>か（わる） たが（いに）</v>
      </c>
      <c r="F1182">
        <v>0</v>
      </c>
      <c r="G1182" t="str">
        <v>かわる。いれかわる。 たがいに。かわるがわる。 何度も。しばしば。 過ぎる。通り過ぎる。 にげる。</v>
      </c>
      <c r="I1182">
        <v>10</v>
      </c>
      <c r="J1182">
        <v>50</v>
      </c>
      <c r="K1182">
        <v>50</v>
      </c>
      <c r="L1182">
        <v>1</v>
      </c>
    </row>
    <row r="1183">
      <c r="A1183" t="str">
        <v>侮</v>
      </c>
      <c r="B1183">
        <v>8</v>
      </c>
      <c r="C1183" t="b">
        <v>1</v>
      </c>
      <c r="D1183" t="str">
        <v>ブ</v>
      </c>
      <c r="E1183" t="str">
        <v>あなど（る）</v>
      </c>
      <c r="F1183">
        <v>0</v>
      </c>
      <c r="G1183" t="str">
        <v>あなどる。軽視する。ばかにする。 あなどり。人をばかにした行動。</v>
      </c>
      <c r="I1183">
        <v>10</v>
      </c>
      <c r="J1183">
        <v>50</v>
      </c>
      <c r="K1183">
        <v>50</v>
      </c>
      <c r="L1183">
        <v>1</v>
      </c>
    </row>
    <row r="1184">
      <c r="A1184" t="str">
        <v>抹</v>
      </c>
      <c r="B1184">
        <v>8</v>
      </c>
      <c r="C1184" t="b">
        <v>1</v>
      </c>
      <c r="D1184" t="str">
        <v>マツ バツ</v>
      </c>
      <c r="E1184" t="str">
        <v>け（す） こな す（る）</v>
      </c>
      <c r="F1184">
        <v>0</v>
      </c>
      <c r="G1184" t="str">
        <v>する。こする。こすりつける。 けす。こすって消す。塗りつぶして消す。 こな。粉末。また、粉末にする。</v>
      </c>
      <c r="I1184">
        <v>10</v>
      </c>
      <c r="J1184">
        <v>50</v>
      </c>
      <c r="K1184">
        <v>50</v>
      </c>
      <c r="L1184">
        <v>1</v>
      </c>
    </row>
    <row r="1185">
      <c r="A1185" t="str">
        <v>鬼</v>
      </c>
      <c r="B1185">
        <v>10</v>
      </c>
      <c r="C1185" t="b">
        <v>1</v>
      </c>
      <c r="D1185" t="str">
        <v>キ</v>
      </c>
      <c r="E1185" t="str">
        <v>おに</v>
      </c>
      <c r="F1185">
        <v>0</v>
      </c>
      <c r="G1185" t="str">
        <v>おに。死者のたましい。亡霊。霊魂。 おに。もののけ。化け物。妖怪。 おに。計り知れない力を持つもの。不思議な力を持つもの。 すぐれている。人間わざをこえている。 おに。想像上の生物。人の姿をして、二本の角がある。 おに。むごい。残酷。 おに。勇ましい。強い。 おに。大きい。桁外れに大きい。</v>
      </c>
      <c r="H1185" t="str">
        <v>#勇気 #品格 #心・志</v>
      </c>
      <c r="I1185">
        <v>0</v>
      </c>
      <c r="J1185">
        <v>50</v>
      </c>
      <c r="K1185">
        <v>50</v>
      </c>
      <c r="L1185">
        <v>1</v>
      </c>
    </row>
    <row r="1186">
      <c r="A1186" t="str">
        <v>盲</v>
      </c>
      <c r="B1186">
        <v>8</v>
      </c>
      <c r="C1186" t="b">
        <v>1</v>
      </c>
      <c r="D1186" t="str">
        <v>モウ ボウ</v>
      </c>
      <c r="E1186" t="str">
        <v>くら（い）</v>
      </c>
      <c r="F1186">
        <v>0</v>
      </c>
      <c r="G1186" t="str">
        <v>目が見えないこと。また、その人。 くらい。光がない。道理にくらい。道理の分からぬ人。 はやい。はげしい。</v>
      </c>
      <c r="I1186">
        <v>10</v>
      </c>
      <c r="J1186">
        <v>50</v>
      </c>
      <c r="K1186">
        <v>50</v>
      </c>
      <c r="L1186">
        <v>1</v>
      </c>
    </row>
    <row r="1187">
      <c r="A1187" t="str">
        <v>恵</v>
      </c>
      <c r="B1187">
        <v>10</v>
      </c>
      <c r="C1187" t="b">
        <v>1</v>
      </c>
      <c r="D1187" t="str">
        <v>エ ケイ</v>
      </c>
      <c r="E1187" t="str">
        <v>めぐ（む）</v>
      </c>
      <c r="F1187" t="str">
        <v>あや さと さとし めぐみ めぐむ やす よし</v>
      </c>
      <c r="G1187" t="str">
        <v>めぐむ。めぐみ。情けをかける。あわれんで親切にする。物を与える。 おだやか。おだやかなさま。 さとい。かしこい。気がきく。＝慧</v>
      </c>
      <c r="H1187" t="str">
        <v>#幸福 #慈愛 #知性</v>
      </c>
      <c r="I1187">
        <v>100</v>
      </c>
      <c r="J1187">
        <v>40</v>
      </c>
      <c r="K1187">
        <v>80</v>
      </c>
      <c r="L1187">
        <v>0</v>
      </c>
      <c r="M1187">
        <f>VLOOKUP(A1187,[1]kanji_data!$A:$N,14,FALSE)</f>
        <v>0</v>
      </c>
    </row>
    <row r="1188">
      <c r="A1188" t="str">
        <v>兼</v>
      </c>
      <c r="B1188">
        <v>10</v>
      </c>
      <c r="C1188" t="b">
        <v>1</v>
      </c>
      <c r="D1188" t="str">
        <v>ケン</v>
      </c>
      <c r="E1188" t="str">
        <v>か（ねる） あわ（せる）</v>
      </c>
      <c r="F1188" t="str">
        <v>かず かた かね とも</v>
      </c>
      <c r="G1188" t="str">
        <v>かねる。あわせる。複数のものをあわせる。 かねて。あわせて。一緒に。 かねる。～しかねる。できない。できそうにない。「し兼ねる」のように、否定の形で用いる。 かねて。あらかじめ。前もって。</v>
      </c>
      <c r="H1188" t="str">
        <v>#繁栄</v>
      </c>
      <c r="I1188">
        <v>85</v>
      </c>
      <c r="J1188">
        <v>75</v>
      </c>
      <c r="K1188">
        <v>55</v>
      </c>
      <c r="L1188">
        <v>0</v>
      </c>
      <c r="M1188">
        <f>VLOOKUP(A1188,[1]kanji_data!$A:$N,14,FALSE)</f>
        <v>0</v>
      </c>
    </row>
    <row r="1189">
      <c r="A1189" t="str">
        <v>軒</v>
      </c>
      <c r="B1189">
        <v>10</v>
      </c>
      <c r="C1189" t="b">
        <v>1</v>
      </c>
      <c r="D1189" t="str">
        <v>ケン</v>
      </c>
      <c r="E1189" t="str">
        <v>のき くるま たか（い） てすり と（ぶ）</v>
      </c>
      <c r="F1189">
        <v>0</v>
      </c>
      <c r="G1189" t="str">
        <v>のき。ひさし。 貴人の乗る車。 車の前部が高い。 長い廊下。回廊。 欄干。手すり。おばしま。 高く上がる。とぶ。あがる。 家を数える助数詞。</v>
      </c>
      <c r="H1189" t="str">
        <v>#健康 #繁栄</v>
      </c>
      <c r="I1189">
        <v>10</v>
      </c>
      <c r="J1189">
        <v>100</v>
      </c>
      <c r="K1189">
        <v>45</v>
      </c>
      <c r="L1189">
        <v>0</v>
      </c>
      <c r="M1189">
        <f>VLOOKUP(A1189,[1]kanji_data!$A:$N,14,FALSE)</f>
        <v>0</v>
      </c>
    </row>
    <row r="1190">
      <c r="A1190" t="str">
        <v>剣</v>
      </c>
      <c r="B1190">
        <v>10</v>
      </c>
      <c r="C1190" t="b">
        <v>1</v>
      </c>
      <c r="D1190" t="str">
        <v>ケン</v>
      </c>
      <c r="E1190" t="str">
        <v>つるぎ</v>
      </c>
      <c r="F1190" t="str">
        <v>あきら つとむ はや</v>
      </c>
      <c r="G1190" t="str">
        <v>つるぎ。両側に刃のついたかたな。 つるぎや刀を用いる武術。</v>
      </c>
      <c r="H1190" t="str">
        <v>#勇気</v>
      </c>
      <c r="I1190">
        <v>90</v>
      </c>
      <c r="J1190">
        <v>85</v>
      </c>
      <c r="K1190">
        <v>30</v>
      </c>
      <c r="L1190">
        <v>0</v>
      </c>
      <c r="M1190">
        <f>VLOOKUP(A1190,[1]kanji_data!$A:$N,14,FALSE)</f>
        <v>0</v>
      </c>
    </row>
    <row r="1191">
      <c r="A1191" t="str">
        <v>狙</v>
      </c>
      <c r="B1191">
        <v>8</v>
      </c>
      <c r="C1191" t="b">
        <v>1</v>
      </c>
      <c r="D1191" t="str">
        <v>ソ</v>
      </c>
      <c r="E1191" t="str">
        <v>ねら（う） さる</v>
      </c>
      <c r="F1191">
        <v>0</v>
      </c>
      <c r="G1191" t="str">
        <v>さる。てながざる。猿の一種。 ねらう。すきをうかがう。</v>
      </c>
      <c r="I1191">
        <v>10</v>
      </c>
      <c r="J1191">
        <v>85</v>
      </c>
      <c r="K1191">
        <v>30</v>
      </c>
      <c r="L1191">
        <v>1</v>
      </c>
    </row>
    <row r="1192">
      <c r="A1192" t="str">
        <v>脂</v>
      </c>
      <c r="B1192">
        <v>10</v>
      </c>
      <c r="C1192" t="b">
        <v>1</v>
      </c>
      <c r="D1192" t="str">
        <v>シ</v>
      </c>
      <c r="E1192" t="str">
        <v>あぶら べに やに</v>
      </c>
      <c r="F1192">
        <v>0</v>
      </c>
      <c r="G1192" t="str">
        <v>あぶら。肉のあぶら。動物性のあぶら。 化粧用のあぶら。例：脂粉 あぶらをさす。あぶらを塗りなめらかにする。 やに。樹木からでる液。 べに。くちべに。</v>
      </c>
      <c r="H1192" t="str">
        <v>#自然</v>
      </c>
      <c r="I1192">
        <v>10</v>
      </c>
      <c r="J1192">
        <v>50</v>
      </c>
      <c r="K1192">
        <v>50</v>
      </c>
      <c r="L1192">
        <v>1</v>
      </c>
    </row>
    <row r="1193">
      <c r="A1193" t="str">
        <v>妬</v>
      </c>
      <c r="B1193">
        <v>8</v>
      </c>
      <c r="C1193" t="b">
        <v>1</v>
      </c>
      <c r="D1193" t="str">
        <v>ト ツ</v>
      </c>
      <c r="E1193" t="str">
        <v>ねた（む） そね（む） や（く）</v>
      </c>
      <c r="F1193">
        <v>0</v>
      </c>
      <c r="G1193" t="str">
        <v>ねたむ。そねむ。やく。やきもちをやく。また、他人の幸せをうらやみ憎む。</v>
      </c>
      <c r="I1193">
        <v>10</v>
      </c>
      <c r="J1193">
        <v>50</v>
      </c>
      <c r="K1193">
        <v>50</v>
      </c>
      <c r="L1193">
        <v>1</v>
      </c>
    </row>
    <row r="1194">
      <c r="A1194" t="str">
        <v>枕</v>
      </c>
      <c r="B1194">
        <v>8</v>
      </c>
      <c r="C1194" t="b">
        <v>1</v>
      </c>
      <c r="D1194" t="str">
        <v>シン チン</v>
      </c>
      <c r="E1194" t="str">
        <v>まくら</v>
      </c>
      <c r="F1194">
        <v>0</v>
      </c>
      <c r="G1194" t="str">
        <v>まくら。寝るときに頭をのせるもの。 まくらにする。あるものをまくらとして用いる。 まくら。落語などで、前置きとして話す短い話。</v>
      </c>
      <c r="I1194">
        <v>10</v>
      </c>
      <c r="J1194">
        <v>50</v>
      </c>
      <c r="K1194">
        <v>50</v>
      </c>
      <c r="L1194">
        <v>1</v>
      </c>
    </row>
    <row r="1195">
      <c r="A1195" t="str">
        <v>振</v>
      </c>
      <c r="B1195">
        <v>10</v>
      </c>
      <c r="C1195" t="b">
        <v>1</v>
      </c>
      <c r="D1195" t="str">
        <v>シン</v>
      </c>
      <c r="E1195" t="str">
        <v>ふ（る） ふ（るう） ふ（れる） すく（う）</v>
      </c>
      <c r="F1195">
        <v>0</v>
      </c>
      <c r="G1195" t="str">
        <v>ふる。ふるう。ゆり動かす。ふり動かす。 ふるう。ふるいたつ。ふるいおこす。 すくう。たすける。 「振振」は、さかんなさま。また、鳥などが群れをなして飛ぶさま。 ふり。ふるまい。動作。 ふり。刀剣を数えることば。 ふる。わりふる。わりあてる。</v>
      </c>
      <c r="H1195" t="str">
        <v>#天空 #慈愛 #繁栄</v>
      </c>
      <c r="I1195">
        <v>10</v>
      </c>
      <c r="J1195">
        <v>100</v>
      </c>
      <c r="K1195">
        <v>25</v>
      </c>
      <c r="L1195">
        <v>0</v>
      </c>
      <c r="M1195">
        <f>VLOOKUP(A1195,[1]kanji_data!$A:$N,14,FALSE)</f>
        <v>0</v>
      </c>
    </row>
    <row r="1196">
      <c r="A1196" t="str">
        <v>拉</v>
      </c>
      <c r="B1196">
        <v>8</v>
      </c>
      <c r="C1196" t="b">
        <v>1</v>
      </c>
      <c r="D1196" t="str">
        <v>ラ ラツ ロウ</v>
      </c>
      <c r="E1196" t="str">
        <v>くじ（く） ひ（く） ひし（ぐ） ひしゃ（げる）</v>
      </c>
      <c r="F1196">
        <v>0</v>
      </c>
      <c r="G1196" t="str">
        <v>ひしぐ。くじく。くだく。おしつけてつぶす。 ひく。ひっぱる。</v>
      </c>
      <c r="I1196">
        <v>10</v>
      </c>
      <c r="J1196">
        <v>50</v>
      </c>
      <c r="K1196">
        <v>50</v>
      </c>
      <c r="L1196">
        <v>1</v>
      </c>
    </row>
    <row r="1197">
      <c r="A1197" t="str">
        <v>扇</v>
      </c>
      <c r="B1197">
        <v>10</v>
      </c>
      <c r="C1197" t="b">
        <v>1</v>
      </c>
      <c r="D1197" t="str">
        <v>セン</v>
      </c>
      <c r="E1197" t="str">
        <v>おうぎ あお（ぐ） おだ（てる）</v>
      </c>
      <c r="F1197">
        <v>0</v>
      </c>
      <c r="G1197" t="str">
        <v>おうぎ。うちわ。あおいで風をおこす道具。 とびら。門のとびら。 あおぐ。おうぎやうちわなどで風をおこす。 おだてる。あおる。＝煽</v>
      </c>
      <c r="H1197" t="str">
        <v>#天空</v>
      </c>
      <c r="I1197">
        <v>10</v>
      </c>
      <c r="J1197">
        <v>20</v>
      </c>
      <c r="K1197">
        <v>100</v>
      </c>
      <c r="L1197">
        <v>0</v>
      </c>
      <c r="M1197">
        <f>VLOOKUP(A1197,[1]kanji_data!$A:$N,14,FALSE)</f>
        <v>0</v>
      </c>
    </row>
    <row r="1198">
      <c r="A1198" t="str">
        <v>恥</v>
      </c>
      <c r="B1198">
        <v>10</v>
      </c>
      <c r="C1198" t="b">
        <v>1</v>
      </c>
      <c r="D1198" t="str">
        <v>チ</v>
      </c>
      <c r="E1198" t="str">
        <v>はじ は（じらう） は（じる） は（ずかしい）</v>
      </c>
      <c r="F1198">
        <v>0</v>
      </c>
      <c r="G1198" t="str">
        <v>はじる。はじらう。やましく感じる。 はじ。はずかしく思う気持ち。 はずかしめる。相手にはじをかかせる。 はずかしい。はじに思う。</v>
      </c>
      <c r="H1198" t="str">
        <v>#心・志</v>
      </c>
      <c r="I1198">
        <v>10</v>
      </c>
      <c r="J1198">
        <v>50</v>
      </c>
      <c r="K1198">
        <v>50</v>
      </c>
      <c r="L1198">
        <v>1</v>
      </c>
    </row>
    <row r="1199">
      <c r="A1199" t="str">
        <v>奄</v>
      </c>
      <c r="B1199">
        <v>8</v>
      </c>
      <c r="C1199" t="b">
        <v>0</v>
      </c>
      <c r="D1199" t="str">
        <v>エン</v>
      </c>
      <c r="E1199" t="str">
        <v>おお（う） たちま（ち） ふさ（がる）</v>
      </c>
      <c r="F1199">
        <v>0</v>
      </c>
      <c r="G1199" t="str">
        <v>おおう。かぶせる。 たちまち。にわかに。突然。 ふさがる。とぎれる。 久しい。 古代中国の国名。現在の山東省曲阜市の東方。＝䣍</v>
      </c>
      <c r="I1199">
        <v>10</v>
      </c>
      <c r="J1199">
        <v>50</v>
      </c>
      <c r="K1199">
        <v>50</v>
      </c>
      <c r="L1199">
        <v>1</v>
      </c>
    </row>
    <row r="1200">
      <c r="A1200" t="str">
        <v>途</v>
      </c>
      <c r="B1200">
        <v>10</v>
      </c>
      <c r="C1200" t="b">
        <v>1</v>
      </c>
      <c r="D1200" t="str">
        <v>ト ズ</v>
      </c>
      <c r="E1200" t="str">
        <v>みち</v>
      </c>
      <c r="F1200" t="str">
        <v>とう とお</v>
      </c>
      <c r="G1200" t="str">
        <v>みちすじ。みちのり。みち。道路。</v>
      </c>
      <c r="H1200" t="str">
        <v>#繁栄</v>
      </c>
      <c r="I1200">
        <v>90</v>
      </c>
      <c r="J1200">
        <v>65</v>
      </c>
      <c r="K1200">
        <v>50</v>
      </c>
      <c r="L1200">
        <v>0</v>
      </c>
      <c r="M1200">
        <f>VLOOKUP(A1200,[1]kanji_data!$A:$N,14,FALSE)</f>
        <v>0</v>
      </c>
    </row>
    <row r="1201">
      <c r="A1201" t="str">
        <v>透</v>
      </c>
      <c r="B1201">
        <v>10</v>
      </c>
      <c r="C1201" t="b">
        <v>1</v>
      </c>
      <c r="D1201" t="str">
        <v>トウ</v>
      </c>
      <c r="E1201" t="str">
        <v>す（かす） す（く） す（ける） とお（る）</v>
      </c>
      <c r="F1201" t="str">
        <v>すき すみ とおる ゆき</v>
      </c>
      <c r="G1201" t="str">
        <v>とおる。とおす。 すける。すかす。すきとおる。 跳ぶ。はねる。</v>
      </c>
      <c r="H1201" t="str">
        <v>#天空 #心・志 #海・水</v>
      </c>
      <c r="I1201">
        <v>100</v>
      </c>
      <c r="J1201">
        <v>65</v>
      </c>
      <c r="K1201">
        <v>60</v>
      </c>
      <c r="L1201">
        <v>0</v>
      </c>
      <c r="M1201">
        <f>VLOOKUP(A1201,[1]kanji_data!$A:$N,14,FALSE)</f>
        <v>0</v>
      </c>
    </row>
    <row r="1202">
      <c r="A1202" t="str">
        <v>唐</v>
      </c>
      <c r="B1202">
        <v>10</v>
      </c>
      <c r="C1202" t="b">
        <v>1</v>
      </c>
      <c r="D1202" t="str">
        <v>トウ</v>
      </c>
      <c r="E1202" t="str">
        <v>から もろこし</v>
      </c>
      <c r="F1202">
        <v>0</v>
      </c>
      <c r="G1202" t="str">
        <v>古代中国の王朝の名。 ほら。大言。でたらめ。大げさな言葉。 中身がなく空っぽなさま。うつろなさま。むなしいさま。 広い。大きい。 つつみ。土手。盛土の道。 にわかに。突然。 堂の下から門へ続く通路。 から。もろこし。中国の意。また、外国の意。</v>
      </c>
      <c r="H1202" t="str">
        <v>#天空 #繁栄 #自然</v>
      </c>
      <c r="I1202">
        <v>10</v>
      </c>
      <c r="J1202">
        <v>75</v>
      </c>
      <c r="K1202">
        <v>40</v>
      </c>
      <c r="L1202">
        <v>1</v>
      </c>
    </row>
    <row r="1203">
      <c r="A1203" t="str">
        <v>桃</v>
      </c>
      <c r="B1203">
        <v>10</v>
      </c>
      <c r="C1203" t="b">
        <v>1</v>
      </c>
      <c r="D1203" t="str">
        <v>トウ</v>
      </c>
      <c r="E1203" t="str">
        <v>もも</v>
      </c>
      <c r="F1203">
        <v>0</v>
      </c>
      <c r="G1203" t="str">
        <v>もも。バラ科の落葉小高木。夏に果実を実らせる。</v>
      </c>
      <c r="H1203" t="str">
        <v>#自然</v>
      </c>
      <c r="I1203">
        <v>90</v>
      </c>
      <c r="J1203">
        <v>55</v>
      </c>
      <c r="K1203">
        <v>55</v>
      </c>
      <c r="L1203">
        <v>0</v>
      </c>
      <c r="M1203">
        <f>VLOOKUP(A1203,[1]kanji_data!$A:$N,14,FALSE)</f>
        <v>0</v>
      </c>
    </row>
    <row r="1204">
      <c r="A1204" t="str">
        <v>其</v>
      </c>
      <c r="B1204">
        <v>8</v>
      </c>
      <c r="C1204" t="b">
        <v>0</v>
      </c>
      <c r="D1204" t="str">
        <v>キ</v>
      </c>
      <c r="E1204" t="str">
        <v>そ（の） それ</v>
      </c>
      <c r="F1204" t="str">
        <v>その とき もと</v>
      </c>
      <c r="G1204" t="str">
        <v>その。それ。人や物事を指し示す語。 それ。語意を強める助字。 それ。疑問や反語をあらわすことば。 語調をととのえる助字。</v>
      </c>
      <c r="I1204">
        <v>15</v>
      </c>
      <c r="J1204">
        <v>50</v>
      </c>
      <c r="K1204">
        <v>50</v>
      </c>
      <c r="L1204">
        <v>1</v>
      </c>
    </row>
    <row r="1205">
      <c r="A1205" t="str">
        <v>杭</v>
      </c>
      <c r="B1205">
        <v>8</v>
      </c>
      <c r="C1205" t="b">
        <v>0</v>
      </c>
      <c r="D1205" t="str">
        <v>コウ</v>
      </c>
      <c r="E1205" t="str">
        <v>くい わた（る）</v>
      </c>
      <c r="F1205">
        <v>0</v>
      </c>
      <c r="G1205" t="str">
        <v>わたる。船でわたる。船で移動する。 都市の名。杭州の略。 くい。地中に打ちこむ棒ぐい。</v>
      </c>
      <c r="I1205">
        <v>10</v>
      </c>
      <c r="J1205">
        <v>50</v>
      </c>
      <c r="K1205">
        <v>50</v>
      </c>
      <c r="L1205">
        <v>1</v>
      </c>
    </row>
    <row r="1206">
      <c r="A1206" t="str">
        <v>悩</v>
      </c>
      <c r="B1206">
        <v>10</v>
      </c>
      <c r="C1206" t="b">
        <v>1</v>
      </c>
      <c r="D1206" t="str">
        <v>ノウ ドウ</v>
      </c>
      <c r="E1206" t="str">
        <v>なや（ます） なや（む）</v>
      </c>
      <c r="F1206">
        <v>0</v>
      </c>
      <c r="G1206" t="str">
        <v>なやむ。なやます。思いわずらう。あれこれと心をなやます。</v>
      </c>
      <c r="H1206" t="str">
        <v>#心・志</v>
      </c>
      <c r="I1206">
        <v>10</v>
      </c>
      <c r="J1206">
        <v>50</v>
      </c>
      <c r="K1206">
        <v>50</v>
      </c>
      <c r="L1206">
        <v>1</v>
      </c>
    </row>
    <row r="1207">
      <c r="A1207" t="str">
        <v>般</v>
      </c>
      <c r="B1207">
        <v>10</v>
      </c>
      <c r="C1207" t="b">
        <v>1</v>
      </c>
      <c r="D1207" t="str">
        <v>ハン</v>
      </c>
      <c r="E1207" t="str">
        <v>たぐい めぐ（る）</v>
      </c>
      <c r="F1207">
        <v>0</v>
      </c>
      <c r="G1207" t="str">
        <v>めぐる。めぐらす。まわる。まわす。 運ぶ。移す。 楽しむ。遊ぶ。 大きい。 かえす。 わける。 しく。しきおよぼす。分布する。 種類。たぐい。区別。 まだら。ぶち。入り乱れる。</v>
      </c>
      <c r="H1207" t="str">
        <v>#幸福</v>
      </c>
      <c r="I1207">
        <v>10</v>
      </c>
      <c r="J1207">
        <v>50</v>
      </c>
      <c r="K1207">
        <v>50</v>
      </c>
      <c r="L1207">
        <v>1</v>
      </c>
    </row>
    <row r="1208">
      <c r="A1208" t="str">
        <v>肴</v>
      </c>
      <c r="B1208">
        <v>8</v>
      </c>
      <c r="C1208" t="b">
        <v>0</v>
      </c>
      <c r="D1208" t="str">
        <v>コウ</v>
      </c>
      <c r="E1208" t="str">
        <v>さかな</v>
      </c>
      <c r="F1208">
        <v>0</v>
      </c>
      <c r="G1208" t="str">
        <v>さかな。火をかけて調理した鳥・獣・魚などの肉。 乱す。乱れる。 さかな。飲酒するときに、一緒に食べる料理。</v>
      </c>
      <c r="I1208">
        <v>10</v>
      </c>
      <c r="J1208">
        <v>50</v>
      </c>
      <c r="K1208">
        <v>50</v>
      </c>
      <c r="L1208">
        <v>1</v>
      </c>
    </row>
    <row r="1209">
      <c r="A1209" t="str">
        <v>忽</v>
      </c>
      <c r="B1209">
        <v>8</v>
      </c>
      <c r="C1209" t="b">
        <v>0</v>
      </c>
      <c r="D1209" t="str">
        <v>コツ</v>
      </c>
      <c r="E1209" t="str">
        <v>たちま（ち） ゆるが（せ）</v>
      </c>
      <c r="F1209">
        <v>0</v>
      </c>
      <c r="G1209" t="str">
        <v>たちまち。にわかに。突然。 ゆるがせ。ゆるがせにする。いいかげんにする。おろそかにする。 こつ。数の単位。一の十万分の一。</v>
      </c>
      <c r="I1209">
        <v>10</v>
      </c>
      <c r="J1209">
        <v>50</v>
      </c>
      <c r="K1209">
        <v>50</v>
      </c>
      <c r="L1209">
        <v>1</v>
      </c>
    </row>
    <row r="1210">
      <c r="A1210" t="str">
        <v>浜</v>
      </c>
      <c r="B1210">
        <v>10</v>
      </c>
      <c r="C1210" t="b">
        <v>1</v>
      </c>
      <c r="D1210" t="str">
        <v>ヒン ヒョウ ホウ</v>
      </c>
      <c r="E1210" t="str">
        <v>はま</v>
      </c>
      <c r="F1210">
        <v>0</v>
      </c>
      <c r="G1210" t="str">
        <v>はま。みぎわ。なぎさ。ほとり。水ぎわ。 かぎり。辺境の地。地の果て。 ぎりぎりまでせまる。接する。近づく。 そう。水辺にそう。 「横浜（よこはま）」の略。 船を通行させるための水溝。</v>
      </c>
      <c r="H1210" t="str">
        <v>#海・水 #自然</v>
      </c>
      <c r="I1210">
        <v>40</v>
      </c>
      <c r="J1210">
        <v>80</v>
      </c>
      <c r="K1210">
        <v>45</v>
      </c>
      <c r="L1210">
        <v>0</v>
      </c>
      <c r="M1210">
        <f>VLOOKUP(A1210,[1]kanji_data!$A:$N,14,FALSE)</f>
        <v>0</v>
      </c>
    </row>
    <row r="1211">
      <c r="A1211" t="str">
        <v>敏</v>
      </c>
      <c r="B1211">
        <v>10</v>
      </c>
      <c r="C1211" t="b">
        <v>1</v>
      </c>
      <c r="D1211" t="str">
        <v>ビン</v>
      </c>
      <c r="E1211" t="str">
        <v>さと（い） と（し）</v>
      </c>
      <c r="F1211" t="str">
        <v>あきら さとし とし はや はる ゆき よし</v>
      </c>
      <c r="G1211" t="str">
        <v>とし。はやい。動きがすばやい。 さとい。かしこい。頭のはたらきがよい。</v>
      </c>
      <c r="H1211" t="str">
        <v>#勇気 #知性</v>
      </c>
      <c r="I1211">
        <v>100</v>
      </c>
      <c r="J1211">
        <v>90</v>
      </c>
      <c r="K1211">
        <v>35</v>
      </c>
      <c r="L1211">
        <v>0</v>
      </c>
      <c r="M1211">
        <f>VLOOKUP(A1211,[1]kanji_data!$A:$N,14,FALSE)</f>
        <v>0</v>
      </c>
    </row>
    <row r="1212">
      <c r="A1212" t="str">
        <v>浮</v>
      </c>
      <c r="B1212">
        <v>10</v>
      </c>
      <c r="C1212" t="b">
        <v>1</v>
      </c>
      <c r="D1212" t="str">
        <v>フ ブ フウ</v>
      </c>
      <c r="E1212" t="str">
        <v>う（かぶ） う（かべる） う（かれる） う（く）</v>
      </c>
      <c r="F1212">
        <v>0</v>
      </c>
      <c r="G1212" t="str">
        <v>うく。うかぶ。うかべる。水面や空中にただよう。船をうかべて水上を進む。 うわつく。落ち着きがない。よりどころがない。定まっていない。 すぎる。度をすぎる。限度をこえる。 うわついた。軽々しい。うわべだけの。 うく。うかぶ。余りが出る。 うかれる。陽気になる。</v>
      </c>
      <c r="H1212" t="str">
        <v>#天空</v>
      </c>
      <c r="I1212">
        <v>10</v>
      </c>
      <c r="J1212">
        <v>50</v>
      </c>
      <c r="K1212">
        <v>50</v>
      </c>
      <c r="L1212">
        <v>1</v>
      </c>
    </row>
    <row r="1213">
      <c r="A1213" t="str">
        <v>些</v>
      </c>
      <c r="B1213">
        <v>8</v>
      </c>
      <c r="C1213" t="b">
        <v>0</v>
      </c>
      <c r="D1213" t="str">
        <v>サ</v>
      </c>
      <c r="E1213" t="str">
        <v>いささ（か） すこ（し）</v>
      </c>
      <c r="F1213">
        <v>0</v>
      </c>
      <c r="G1213" t="str">
        <v>わずか。すこし。いささか。 文末に置く助詞。語気・語声を強める。</v>
      </c>
      <c r="I1213">
        <v>10</v>
      </c>
      <c r="J1213">
        <v>50</v>
      </c>
      <c r="K1213">
        <v>50</v>
      </c>
      <c r="L1213">
        <v>1</v>
      </c>
    </row>
    <row r="1214">
      <c r="A1214" t="str">
        <v>峰</v>
      </c>
      <c r="B1214">
        <v>10</v>
      </c>
      <c r="C1214" t="b">
        <v>1</v>
      </c>
      <c r="D1214" t="str">
        <v>ホウ フ</v>
      </c>
      <c r="E1214" t="str">
        <v>みね</v>
      </c>
      <c r="F1214" t="str">
        <v>お たか たかし ね</v>
      </c>
      <c r="G1214" t="str">
        <v>みね。山のいただき。また、大きい山。 みね。刀の背面。</v>
      </c>
      <c r="H1214" t="str">
        <v>#自然</v>
      </c>
      <c r="I1214">
        <v>95</v>
      </c>
      <c r="J1214">
        <v>95</v>
      </c>
      <c r="K1214">
        <v>40</v>
      </c>
      <c r="L1214">
        <v>0</v>
      </c>
      <c r="M1214">
        <f>VLOOKUP(A1214,[1]kanji_data!$A:$N,14,FALSE)</f>
        <v>0</v>
      </c>
    </row>
    <row r="1215">
      <c r="A1215" t="str">
        <v>砲</v>
      </c>
      <c r="B1215">
        <v>10</v>
      </c>
      <c r="C1215" t="b">
        <v>1</v>
      </c>
      <c r="D1215" t="str">
        <v>ホウ</v>
      </c>
      <c r="E1215" t="str">
        <v>おおづつ つつ</v>
      </c>
      <c r="F1215">
        <v>0</v>
      </c>
      <c r="G1215" t="str">
        <v>いしゆみ。石をはじき飛ばす武器。 つつ。大筒。火薬を用いて弾丸を打ち出す武器。例：鉄砲 大砲</v>
      </c>
      <c r="H1215" t="str">
        <v>#勇気</v>
      </c>
      <c r="I1215">
        <v>10</v>
      </c>
      <c r="J1215">
        <v>50</v>
      </c>
      <c r="K1215">
        <v>50</v>
      </c>
      <c r="L1215">
        <v>1</v>
      </c>
    </row>
    <row r="1216">
      <c r="A1216" t="str">
        <v>沓</v>
      </c>
      <c r="B1216">
        <v>8</v>
      </c>
      <c r="C1216" t="b">
        <v>0</v>
      </c>
      <c r="D1216" t="str">
        <v>トウ</v>
      </c>
      <c r="E1216" t="str">
        <v>かさ（なる） くつ むさぼ（る）</v>
      </c>
      <c r="F1216">
        <v>0</v>
      </c>
      <c r="G1216" t="str">
        <v>すらすらとしゃべる。流暢に話す。 あふれる。水がわきでるさま。 かさなる。かさねる。こみあう。 むさぼる。 靴。はきもの。足にはくもの。</v>
      </c>
      <c r="I1216">
        <v>10</v>
      </c>
      <c r="J1216">
        <v>50</v>
      </c>
      <c r="K1216">
        <v>50</v>
      </c>
      <c r="L1216">
        <v>1</v>
      </c>
    </row>
    <row r="1217">
      <c r="A1217" t="str">
        <v>斧</v>
      </c>
      <c r="B1217">
        <v>8</v>
      </c>
      <c r="C1217" t="b">
        <v>0</v>
      </c>
      <c r="D1217" t="str">
        <v>フ</v>
      </c>
      <c r="E1217" t="str">
        <v>おの</v>
      </c>
      <c r="F1217">
        <v>0</v>
      </c>
      <c r="G1217" t="str">
        <v>おの。まさかり。木を切ったり、戦いや処刑に用いたりする道具。</v>
      </c>
      <c r="I1217">
        <v>10</v>
      </c>
      <c r="J1217">
        <v>50</v>
      </c>
      <c r="K1217">
        <v>50</v>
      </c>
      <c r="L1217">
        <v>1</v>
      </c>
    </row>
    <row r="1218">
      <c r="A1218" t="str">
        <v>狀</v>
      </c>
      <c r="B1218">
        <v>8</v>
      </c>
      <c r="C1218" t="b">
        <v>0</v>
      </c>
      <c r="D1218" t="str">
        <v>ジョウ</v>
      </c>
      <c r="E1218" t="str">
        <v>かきつけ かたち</v>
      </c>
      <c r="F1218">
        <v>0</v>
      </c>
      <c r="G1218" t="str">
        <v>かたち。すがた。ありさま。様子。 あらわす。かたちをなす。かたちづくる。形容する。 文書。手紙。かきつけ。</v>
      </c>
      <c r="I1218">
        <v>10</v>
      </c>
      <c r="J1218">
        <v>50</v>
      </c>
      <c r="K1218">
        <v>50</v>
      </c>
      <c r="L1218">
        <v>1</v>
      </c>
    </row>
    <row r="1219">
      <c r="A1219" t="str">
        <v>級</v>
      </c>
      <c r="B1219">
        <v>9</v>
      </c>
      <c r="C1219" t="b">
        <v>1</v>
      </c>
      <c r="D1219" t="str">
        <v>キュウ</v>
      </c>
      <c r="E1219" t="str">
        <v>くび しな</v>
      </c>
      <c r="F1219">
        <v>0</v>
      </c>
      <c r="G1219" t="str">
        <v>しな。くらい。順序。段階。次第。ランク。 きざはし。だん。階段。 くび。討ち取った敵の首。しるし。</v>
      </c>
      <c r="I1219">
        <v>10</v>
      </c>
      <c r="J1219">
        <v>50</v>
      </c>
      <c r="K1219">
        <v>50</v>
      </c>
      <c r="L1219">
        <v>1</v>
      </c>
    </row>
    <row r="1220">
      <c r="A1220" t="str">
        <v>烈</v>
      </c>
      <c r="B1220">
        <v>10</v>
      </c>
      <c r="C1220" t="b">
        <v>1</v>
      </c>
      <c r="D1220" t="str">
        <v>レツ</v>
      </c>
      <c r="E1220" t="str">
        <v>はげ（しい）</v>
      </c>
      <c r="F1220" t="str">
        <v>あき あきら あつし いさお たけ たけし つよ つら やす よし</v>
      </c>
      <c r="G1220" t="str">
        <v>はげしい。猛々しい。きびしい。勢いが強い。特に、火の勢いが強いこと。 気性が強い。正義感が強い。道義心にあつい。 明るい。明らか。美しい。輝かしい。 てがら。すぐれた功績。いさお。</v>
      </c>
      <c r="H1220" t="str">
        <v>#勇気 #天空 #花・彩</v>
      </c>
      <c r="I1220">
        <v>5</v>
      </c>
      <c r="J1220">
        <v>100</v>
      </c>
      <c r="K1220">
        <v>25</v>
      </c>
      <c r="L1220">
        <v>1</v>
      </c>
    </row>
    <row r="1221">
      <c r="A1221" t="str">
        <v>恋</v>
      </c>
      <c r="B1221">
        <v>10</v>
      </c>
      <c r="C1221" t="b">
        <v>1</v>
      </c>
      <c r="D1221" t="str">
        <v>レン</v>
      </c>
      <c r="E1221" t="str">
        <v>こい こい（しい） こ（う）</v>
      </c>
      <c r="F1221">
        <v>0</v>
      </c>
      <c r="G1221" t="str">
        <v>こう。こいしい。強く心を引かれる。いつまでも心からはなれない。 こい。こいしいと思う気持ち。</v>
      </c>
      <c r="H1221" t="str">
        <v>#心・志</v>
      </c>
      <c r="I1221">
        <v>50</v>
      </c>
      <c r="J1221">
        <v>5</v>
      </c>
      <c r="K1221">
        <v>100</v>
      </c>
      <c r="L1221">
        <v>0</v>
      </c>
      <c r="M1221">
        <f>VLOOKUP(A1221,[1]kanji_data!$A:$N,14,FALSE)</f>
        <v>0</v>
      </c>
    </row>
    <row r="1222">
      <c r="A1222" t="str">
        <v>朗</v>
      </c>
      <c r="B1222">
        <v>10</v>
      </c>
      <c r="C1222" t="b">
        <v>1</v>
      </c>
      <c r="D1222" t="str">
        <v>ロウ</v>
      </c>
      <c r="E1222" t="str">
        <v>ほが（らか） あき（らか） たか（らか）</v>
      </c>
      <c r="F1222" t="str">
        <v>あきら お さえ とき ほがら</v>
      </c>
      <c r="G1222" t="str">
        <v>ほがらか。晴れ晴れとして明るい。 あきらか。はっきりしている。 たからか。声が高くてはっきりしている。</v>
      </c>
      <c r="H1222" t="str">
        <v>#天空 #知性</v>
      </c>
      <c r="I1222">
        <v>100</v>
      </c>
      <c r="J1222">
        <v>40</v>
      </c>
      <c r="K1222">
        <v>80</v>
      </c>
      <c r="L1222">
        <v>0</v>
      </c>
      <c r="M1222">
        <f>VLOOKUP(A1222,[1]kanji_data!$A:$N,14,FALSE)</f>
        <v>0</v>
      </c>
    </row>
    <row r="1223">
      <c r="A1223" t="str">
        <v>悦</v>
      </c>
      <c r="B1223">
        <v>10</v>
      </c>
      <c r="C1223" t="b">
        <v>1</v>
      </c>
      <c r="D1223" t="str">
        <v>エツ</v>
      </c>
      <c r="E1223" t="str">
        <v>よろこ（ぶ）</v>
      </c>
      <c r="F1223" t="str">
        <v>のぶ よし</v>
      </c>
      <c r="G1223" t="str">
        <v>よろこぶ。楽しむ。</v>
      </c>
      <c r="H1223" t="str">
        <v>#幸福</v>
      </c>
      <c r="I1223">
        <v>85</v>
      </c>
      <c r="J1223">
        <v>55</v>
      </c>
      <c r="K1223">
        <v>65</v>
      </c>
      <c r="L1223">
        <v>0</v>
      </c>
      <c r="M1223">
        <f>VLOOKUP(A1223,[1]kanji_data!$A:$N,14,FALSE)</f>
        <v>0</v>
      </c>
    </row>
    <row r="1224">
      <c r="A1224" t="str">
        <v>宴</v>
      </c>
      <c r="B1224">
        <v>10</v>
      </c>
      <c r="C1224" t="b">
        <v>1</v>
      </c>
      <c r="D1224" t="str">
        <v>エン</v>
      </c>
      <c r="E1224" t="str">
        <v>うたげ たの（しむ）</v>
      </c>
      <c r="F1224">
        <v>0</v>
      </c>
      <c r="G1224" t="str">
        <v>うたげ。さかもり。客人や仲間などと酒食を共にして楽しむ。 たのしむ。あそびたのしむ。 くつろぐ。やすらぐ。落ち着く。</v>
      </c>
      <c r="H1224" t="str">
        <v>#幸福 #調和</v>
      </c>
      <c r="I1224">
        <v>10</v>
      </c>
      <c r="J1224">
        <v>75</v>
      </c>
      <c r="K1224">
        <v>45</v>
      </c>
      <c r="L1224">
        <v>0</v>
      </c>
      <c r="M1224">
        <f>VLOOKUP(A1224,[1]kanji_data!$A:$N,14,FALSE)</f>
        <v>0</v>
      </c>
    </row>
    <row r="1225">
      <c r="A1225" t="str">
        <v>華</v>
      </c>
      <c r="B1225">
        <v>10</v>
      </c>
      <c r="C1225" t="b">
        <v>1</v>
      </c>
      <c r="D1225" t="str">
        <v>カ ケ ゲ</v>
      </c>
      <c r="E1225" t="str">
        <v>はな しろ（い）</v>
      </c>
      <c r="F1225" t="str">
        <v>てる は はる みやこ</v>
      </c>
      <c r="G1225" t="str">
        <v>はな。草木の花の総称。 はなが咲く。はなさく。 はなやか。美しい。さかえる。立派。 いろ。いろどり。 白い。白髪。また、おしろい。 中国の自称。 山の名。</v>
      </c>
      <c r="H1225" t="str">
        <v>#品格 #自然 #花・彩</v>
      </c>
      <c r="I1225">
        <v>100</v>
      </c>
      <c r="J1225">
        <v>45</v>
      </c>
      <c r="K1225">
        <v>85</v>
      </c>
      <c r="L1225">
        <v>0</v>
      </c>
      <c r="M1225">
        <f>VLOOKUP(A1225,[1]kanji_data!$A:$N,14,FALSE)</f>
        <v>0</v>
      </c>
    </row>
    <row r="1226">
      <c r="A1226" t="str">
        <v>拾</v>
      </c>
      <c r="B1226">
        <v>9</v>
      </c>
      <c r="C1226" t="b">
        <v>1</v>
      </c>
      <c r="D1226" t="str">
        <v>シュウ ジュウ</v>
      </c>
      <c r="E1226" t="str">
        <v>ひろ（う） とお</v>
      </c>
      <c r="F1226">
        <v>0</v>
      </c>
      <c r="G1226" t="str">
        <v>ひろう。ひろい集める。落ちている物をひろう。 矢を射るときに用いる道具。ひじあて。 契約書や証書などの文書で数字を表すとき、書き換えを防ぐために「十」の代わりに用いる文字。大字。</v>
      </c>
      <c r="I1226">
        <v>10</v>
      </c>
      <c r="J1226">
        <v>50</v>
      </c>
      <c r="K1226">
        <v>50</v>
      </c>
      <c r="L1226">
        <v>1</v>
      </c>
    </row>
    <row r="1227">
      <c r="A1227" t="str">
        <v>送</v>
      </c>
      <c r="B1227">
        <v>9</v>
      </c>
      <c r="C1227" t="b">
        <v>1</v>
      </c>
      <c r="D1227" t="str">
        <v>ソウ</v>
      </c>
      <c r="E1227" t="str">
        <v>おく（る）</v>
      </c>
      <c r="F1227">
        <v>0</v>
      </c>
      <c r="G1227" t="str">
        <v>おくる。みおくる。 おくる。おくり届ける。 おくる。送り仮名をつける。</v>
      </c>
      <c r="I1227">
        <v>10</v>
      </c>
      <c r="J1227">
        <v>50</v>
      </c>
      <c r="K1227">
        <v>50</v>
      </c>
      <c r="L1227">
        <v>1</v>
      </c>
    </row>
    <row r="1228">
      <c r="A1228" t="str">
        <v>変</v>
      </c>
      <c r="B1228">
        <v>9</v>
      </c>
      <c r="C1228" t="b">
        <v>1</v>
      </c>
      <c r="D1228" t="str">
        <v>ヘン</v>
      </c>
      <c r="E1228" t="str">
        <v>か（える） か（わる）</v>
      </c>
      <c r="F1228">
        <v>0</v>
      </c>
      <c r="G1228" t="str">
        <v>かわる。うつりかわる。改まる。違うものになる。 かえる。違ったようにする。違うものにする。動かす。 乱れ。乱れる。事変。 かわり。かわった出来事。 不思議。不思議なこと。普通でない。異常な。 非常の際の方法。非常手段。 喪。人の死。</v>
      </c>
      <c r="I1228">
        <v>10</v>
      </c>
      <c r="J1228">
        <v>50</v>
      </c>
      <c r="K1228">
        <v>50</v>
      </c>
      <c r="L1228">
        <v>1</v>
      </c>
    </row>
    <row r="1229">
      <c r="A1229" t="str">
        <v>悟</v>
      </c>
      <c r="B1229">
        <v>10</v>
      </c>
      <c r="C1229" t="b">
        <v>1</v>
      </c>
      <c r="D1229" t="str">
        <v>ゴ</v>
      </c>
      <c r="E1229" t="str">
        <v>さと（る）</v>
      </c>
      <c r="F1229" t="str">
        <v>さとし さとる のり</v>
      </c>
      <c r="G1229" t="str">
        <v>さとる。物事をはっきりと理解する。 さとる。迷いからさめる。 さめる。目覚める。眠りからさめる。</v>
      </c>
      <c r="H1229" t="str">
        <v>#知性</v>
      </c>
      <c r="I1229">
        <v>100</v>
      </c>
      <c r="J1229">
        <v>65</v>
      </c>
      <c r="K1229">
        <v>60</v>
      </c>
      <c r="L1229">
        <v>0</v>
      </c>
      <c r="M1229">
        <f>VLOOKUP(A1229,[1]kanji_data!$A:$N,14,FALSE)</f>
        <v>0</v>
      </c>
    </row>
    <row r="1230">
      <c r="A1230" t="str">
        <v>娯</v>
      </c>
      <c r="B1230">
        <v>10</v>
      </c>
      <c r="C1230" t="b">
        <v>1</v>
      </c>
      <c r="D1230" t="str">
        <v>ゴ</v>
      </c>
      <c r="E1230" t="str">
        <v>たの（しむ）</v>
      </c>
      <c r="F1230">
        <v>0</v>
      </c>
      <c r="G1230" t="str">
        <v>たのしむ。たのしみ。遊び楽しむ。</v>
      </c>
      <c r="H1230" t="str">
        <v>#幸福</v>
      </c>
      <c r="I1230">
        <v>10</v>
      </c>
      <c r="J1230">
        <v>50</v>
      </c>
      <c r="K1230">
        <v>50</v>
      </c>
      <c r="L1230">
        <v>0</v>
      </c>
    </row>
    <row r="1231">
      <c r="A1231" t="str">
        <v>迷</v>
      </c>
      <c r="B1231">
        <v>9</v>
      </c>
      <c r="C1231" t="b">
        <v>1</v>
      </c>
      <c r="D1231" t="str">
        <v>メイ</v>
      </c>
      <c r="E1231" t="str">
        <v>まよ（う） まど（う）</v>
      </c>
      <c r="F1231">
        <v>0</v>
      </c>
      <c r="G1231" t="str">
        <v>まよう。道にまよう。 まよい。 まどう。まよわす。まどわす。 ぼんやりする。明らかでない。</v>
      </c>
      <c r="I1231">
        <v>10</v>
      </c>
      <c r="J1231">
        <v>50</v>
      </c>
      <c r="K1231">
        <v>50</v>
      </c>
      <c r="L1231">
        <v>1</v>
      </c>
    </row>
    <row r="1232">
      <c r="A1232" t="str">
        <v>派</v>
      </c>
      <c r="B1232">
        <v>9</v>
      </c>
      <c r="C1232" t="b">
        <v>1</v>
      </c>
      <c r="D1232" t="str">
        <v>ハ ハイ</v>
      </c>
      <c r="E1232" t="str">
        <v>つか（わす） わ（かれる）</v>
      </c>
      <c r="F1232">
        <v>0</v>
      </c>
      <c r="G1232" t="str">
        <v>分かれる。分かれ出る。 本流から分かれ出たもの。支流。例：派生 主義や主張、立場が同じな者たちによるグループ。例：派閥 つかわす。さしむける。</v>
      </c>
      <c r="I1232">
        <v>10</v>
      </c>
      <c r="J1232">
        <v>50</v>
      </c>
      <c r="K1232">
        <v>50</v>
      </c>
      <c r="L1232">
        <v>1</v>
      </c>
    </row>
    <row r="1233">
      <c r="A1233" t="str">
        <v>徐</v>
      </c>
      <c r="B1233">
        <v>10</v>
      </c>
      <c r="C1233" t="b">
        <v>1</v>
      </c>
      <c r="D1233" t="str">
        <v>ジョ</v>
      </c>
      <c r="E1233" t="str">
        <v>おもむろ</v>
      </c>
      <c r="F1233">
        <v>0</v>
      </c>
      <c r="G1233" t="str">
        <v>おもむろ。ゆるやか。ゆっくり。おだやか。 古代中国の九州のひとつ。徐州。</v>
      </c>
      <c r="H1233" t="str">
        <v>#慈愛</v>
      </c>
      <c r="I1233">
        <v>10</v>
      </c>
      <c r="J1233">
        <v>50</v>
      </c>
      <c r="K1233">
        <v>70</v>
      </c>
      <c r="L1233">
        <v>0</v>
      </c>
      <c r="M1233">
        <f>VLOOKUP(A1233,[1]kanji_data!$A:$N,14,FALSE)</f>
        <v>0</v>
      </c>
    </row>
    <row r="1234">
      <c r="A1234" t="str">
        <v>辱</v>
      </c>
      <c r="B1234">
        <v>10</v>
      </c>
      <c r="C1234" t="b">
        <v>1</v>
      </c>
      <c r="D1234" t="str">
        <v>ジョク ニク</v>
      </c>
      <c r="E1234" t="str">
        <v>はずかし（める） かたじけな（い） はじ はずかし（め）</v>
      </c>
      <c r="F1234">
        <v>0</v>
      </c>
      <c r="G1234" t="str">
        <v>はじをかかせる。はずかしめる。名誉を傷つける。 かたじけない。ありがたい。</v>
      </c>
      <c r="H1234" t="str">
        <v>#品格</v>
      </c>
      <c r="I1234">
        <v>10</v>
      </c>
      <c r="J1234">
        <v>50</v>
      </c>
      <c r="K1234">
        <v>50</v>
      </c>
      <c r="L1234">
        <v>1</v>
      </c>
    </row>
    <row r="1235">
      <c r="A1235" t="str">
        <v>粋</v>
      </c>
      <c r="B1235">
        <v>10</v>
      </c>
      <c r="C1235" t="b">
        <v>1</v>
      </c>
      <c r="D1235" t="str">
        <v>スイ</v>
      </c>
      <c r="E1235" t="str">
        <v>いき</v>
      </c>
      <c r="F1235" t="str">
        <v>きよ ただ</v>
      </c>
      <c r="G1235" t="str">
        <v>混じりけがない。例：純粋 もっぱら。 質がよい。すぐれている。また、そのような部分。 くだく。くだける。わける。 いき。すい。あかぬけている。物分りのよい。例：粋人 無粋</v>
      </c>
      <c r="H1235" t="str">
        <v>#花・彩</v>
      </c>
      <c r="I1235">
        <v>85</v>
      </c>
      <c r="J1235">
        <v>50</v>
      </c>
      <c r="K1235">
        <v>75</v>
      </c>
      <c r="L1235">
        <v>0</v>
      </c>
      <c r="M1235">
        <f>VLOOKUP(A1235,[1]kanji_data!$A:$N,14,FALSE)</f>
        <v>0</v>
      </c>
    </row>
    <row r="1236">
      <c r="A1236" t="str">
        <v>狭</v>
      </c>
      <c r="B1236">
        <v>9</v>
      </c>
      <c r="C1236" t="b">
        <v>1</v>
      </c>
      <c r="D1236" t="str">
        <v>キョウ コウ</v>
      </c>
      <c r="E1236" t="str">
        <v>せば（まる） せば（める） せま（い） さ</v>
      </c>
      <c r="F1236">
        <v>0</v>
      </c>
      <c r="G1236" t="str">
        <v>せまい。せばまる。せばめる。枠がせまい。心がせまい。 さ。語調を整える接頭語。せまいの意に用いる。</v>
      </c>
      <c r="I1236">
        <v>10</v>
      </c>
      <c r="J1236">
        <v>50</v>
      </c>
      <c r="K1236">
        <v>50</v>
      </c>
      <c r="L1236">
        <v>1</v>
      </c>
    </row>
    <row r="1237">
      <c r="A1237" t="str">
        <v>隻</v>
      </c>
      <c r="B1237">
        <v>10</v>
      </c>
      <c r="C1237" t="b">
        <v>1</v>
      </c>
      <c r="D1237" t="str">
        <v>セキ</v>
      </c>
      <c r="E1237" t="str">
        <v>ひと（つ）</v>
      </c>
      <c r="F1237" t="str">
        <v>うく たか</v>
      </c>
      <c r="G1237" t="str">
        <v>ひとつ。ただひとつ。また、わずか。少し。 一羽の鳥。鳥一羽。 二つで一組のものの片方。片割れ。 船・車・禽獣などを数えることば。</v>
      </c>
      <c r="H1237" t="str">
        <v>#調和</v>
      </c>
      <c r="I1237">
        <v>15</v>
      </c>
      <c r="J1237">
        <v>50</v>
      </c>
      <c r="K1237">
        <v>50</v>
      </c>
      <c r="L1237">
        <v>1</v>
      </c>
    </row>
    <row r="1238">
      <c r="A1238" t="str">
        <v>桑</v>
      </c>
      <c r="B1238">
        <v>10</v>
      </c>
      <c r="C1238" t="b">
        <v>1</v>
      </c>
      <c r="D1238" t="str">
        <v>ソウ</v>
      </c>
      <c r="E1238" t="str">
        <v>くわ</v>
      </c>
      <c r="F1238">
        <v>0</v>
      </c>
      <c r="G1238" t="str">
        <v>くわ。クワ科の落葉高木。葉は蚕の飼料となる。</v>
      </c>
      <c r="H1238" t="str">
        <v>#自然</v>
      </c>
      <c r="I1238">
        <v>10</v>
      </c>
      <c r="J1238">
        <v>35</v>
      </c>
      <c r="K1238">
        <v>70</v>
      </c>
      <c r="L1238">
        <v>0</v>
      </c>
      <c r="M1238">
        <f>VLOOKUP(A1238,[1]kanji_data!$A:$N,14,FALSE)</f>
        <v>0</v>
      </c>
    </row>
    <row r="1239">
      <c r="A1239" t="str">
        <v>狩</v>
      </c>
      <c r="B1239">
        <v>9</v>
      </c>
      <c r="C1239" t="b">
        <v>1</v>
      </c>
      <c r="D1239" t="str">
        <v>シュ</v>
      </c>
      <c r="E1239" t="str">
        <v>か（り） か（る）</v>
      </c>
      <c r="F1239">
        <v>0</v>
      </c>
      <c r="G1239" t="str">
        <v>かり。かる。鳥獣を追いたてて捕らえること。例：狩猟 天子の命により諸侯が治める領地。 かり。さがしもとめること。</v>
      </c>
      <c r="I1239">
        <v>10</v>
      </c>
      <c r="J1239">
        <v>50</v>
      </c>
      <c r="K1239">
        <v>50</v>
      </c>
      <c r="L1239">
        <v>1</v>
      </c>
    </row>
    <row r="1240">
      <c r="A1240" t="str">
        <v>畜</v>
      </c>
      <c r="B1240">
        <v>10</v>
      </c>
      <c r="C1240" t="b">
        <v>1</v>
      </c>
      <c r="D1240" t="str">
        <v>チク キク</v>
      </c>
      <c r="E1240" t="str">
        <v>か（う） たくわ（える） やしな（う）</v>
      </c>
      <c r="F1240">
        <v>0</v>
      </c>
      <c r="G1240" t="str">
        <v>動物を飼う。また、飼われている動物。例：家畜 たくわえ。たくわえる。集める。 やしなう。かばう。養いそだてる。 ゆるす。受け入れる。 好む。喜ぶ。愛する。</v>
      </c>
      <c r="H1240" t="str">
        <v>#天空 #慈愛</v>
      </c>
      <c r="I1240">
        <v>10</v>
      </c>
      <c r="J1240">
        <v>50</v>
      </c>
      <c r="K1240">
        <v>50</v>
      </c>
      <c r="L1240">
        <v>1</v>
      </c>
    </row>
    <row r="1241">
      <c r="A1241" t="str">
        <v>哲</v>
      </c>
      <c r="B1241">
        <v>10</v>
      </c>
      <c r="C1241" t="b">
        <v>1</v>
      </c>
      <c r="D1241" t="str">
        <v>テツ</v>
      </c>
      <c r="E1241" t="str">
        <v>あき（らか） さと（い）</v>
      </c>
      <c r="F1241" t="str">
        <v>あきら さとし さとる のり よし</v>
      </c>
      <c r="G1241" t="str">
        <v>あきらか。道理に明るい。物事に精通している。 さとい。かしこい。利口。賢明。</v>
      </c>
      <c r="H1241" t="str">
        <v>#天空 #知性</v>
      </c>
      <c r="I1241">
        <v>100</v>
      </c>
      <c r="J1241">
        <v>65</v>
      </c>
      <c r="K1241">
        <v>55</v>
      </c>
      <c r="L1241">
        <v>0</v>
      </c>
      <c r="M1241">
        <f>VLOOKUP(A1241,[1]kanji_data!$A:$N,14,FALSE)</f>
        <v>0</v>
      </c>
    </row>
    <row r="1242">
      <c r="A1242" t="str">
        <v>凍</v>
      </c>
      <c r="B1242">
        <v>10</v>
      </c>
      <c r="C1242" t="b">
        <v>1</v>
      </c>
      <c r="D1242" t="str">
        <v>トウ</v>
      </c>
      <c r="E1242" t="str">
        <v>こお（る） こご（える） い（てる） し（みる）</v>
      </c>
      <c r="F1242">
        <v>0</v>
      </c>
      <c r="G1242" t="str">
        <v>こおる。いてる。こおりつく。いてつく。 こごえる。しみる。寒気が厳しい。</v>
      </c>
      <c r="H1242" t="str">
        <v>#天空</v>
      </c>
      <c r="I1242">
        <v>10</v>
      </c>
      <c r="J1242">
        <v>50</v>
      </c>
      <c r="K1242">
        <v>50</v>
      </c>
      <c r="L1242">
        <v>1</v>
      </c>
    </row>
    <row r="1243">
      <c r="A1243" t="str">
        <v>侵</v>
      </c>
      <c r="B1243">
        <v>9</v>
      </c>
      <c r="C1243" t="b">
        <v>1</v>
      </c>
      <c r="D1243" t="str">
        <v>シン</v>
      </c>
      <c r="E1243" t="str">
        <v>おか（す） みにく（い）</v>
      </c>
      <c r="F1243">
        <v>0</v>
      </c>
      <c r="G1243" t="str">
        <v>おかす。少しずつ入り込む。 おかす。攻め込む。 みにくい。みすぼらしい。容姿がみにくい。背丈が低くみすぼらしい。</v>
      </c>
      <c r="I1243">
        <v>10</v>
      </c>
      <c r="J1243">
        <v>50</v>
      </c>
      <c r="K1243">
        <v>50</v>
      </c>
      <c r="L1243">
        <v>1</v>
      </c>
    </row>
    <row r="1244">
      <c r="A1244" t="str">
        <v>俗</v>
      </c>
      <c r="B1244">
        <v>9</v>
      </c>
      <c r="C1244" t="b">
        <v>1</v>
      </c>
      <c r="D1244" t="str">
        <v>ゾク</v>
      </c>
      <c r="E1244" t="str">
        <v>いや（しい） なら（わし）</v>
      </c>
      <c r="F1244">
        <v>0</v>
      </c>
      <c r="G1244" t="str">
        <v>いやしい。下品。程度が低い。 ならわし。ならい。習慣。 世の中。世間。 世間の人。一般の人。 なみ。ありふれた。</v>
      </c>
      <c r="I1244">
        <v>10</v>
      </c>
      <c r="J1244">
        <v>50</v>
      </c>
      <c r="K1244">
        <v>50</v>
      </c>
      <c r="L1244">
        <v>1</v>
      </c>
    </row>
    <row r="1245">
      <c r="A1245" t="str">
        <v>姫</v>
      </c>
      <c r="B1245">
        <v>10</v>
      </c>
      <c r="C1245" t="b">
        <v>1</v>
      </c>
      <c r="D1245" t="str">
        <v>キ</v>
      </c>
      <c r="E1245" t="str">
        <v>ひめ</v>
      </c>
      <c r="F1245">
        <v>0</v>
      </c>
      <c r="G1245" t="str">
        <v>姓。黄帝の姓。 姓。周王朝の王室の姓。 女性の美称。 ひめ。高貴な女性の敬称。 ひめ。高貴な人の娘。 ひめ。小さいものや愛らしいものなどの意を表す語。</v>
      </c>
      <c r="H1245" t="str">
        <v>#品格 #慈愛</v>
      </c>
      <c r="I1245">
        <v>60</v>
      </c>
      <c r="J1245">
        <v>20</v>
      </c>
      <c r="K1245">
        <v>100</v>
      </c>
      <c r="L1245">
        <v>0</v>
      </c>
      <c r="M1245">
        <f>VLOOKUP(A1245,[1]kanji_data!$A:$N,14,FALSE)</f>
        <v>0</v>
      </c>
    </row>
    <row r="1246">
      <c r="A1246" t="str">
        <v>逃</v>
      </c>
      <c r="B1246">
        <v>9</v>
      </c>
      <c r="C1246" t="b">
        <v>1</v>
      </c>
      <c r="D1246" t="str">
        <v>トウ</v>
      </c>
      <c r="E1246" t="str">
        <v>に（がす） に（げる） のが（す） のが（れる）</v>
      </c>
      <c r="F1246">
        <v>0</v>
      </c>
      <c r="G1246" t="str">
        <v>逃げる。逃れる。立ち去る。 にがす。のがす。 まじろぐ。瞳を動かす。</v>
      </c>
      <c r="I1246">
        <v>10</v>
      </c>
      <c r="J1246">
        <v>50</v>
      </c>
      <c r="K1246">
        <v>50</v>
      </c>
      <c r="L1246">
        <v>1</v>
      </c>
    </row>
    <row r="1247">
      <c r="A1247" t="str">
        <v>盆</v>
      </c>
      <c r="B1247">
        <v>9</v>
      </c>
      <c r="C1247" t="b">
        <v>1</v>
      </c>
      <c r="D1247" t="str">
        <v>ボン ホン</v>
      </c>
      <c r="E1247" t="str">
        <v>はち</v>
      </c>
      <c r="F1247">
        <v>0</v>
      </c>
      <c r="G1247" t="str">
        <v>はち。浅く円い大きな器。水や酒などを入れる器。 ぼん。茶器や食器をのせて運ぶための器。</v>
      </c>
      <c r="I1247">
        <v>10</v>
      </c>
      <c r="J1247">
        <v>50</v>
      </c>
      <c r="K1247">
        <v>50</v>
      </c>
      <c r="L1247">
        <v>1</v>
      </c>
    </row>
    <row r="1248">
      <c r="A1248" t="str">
        <v>架</v>
      </c>
      <c r="B1248">
        <v>9</v>
      </c>
      <c r="C1248" t="b">
        <v>1</v>
      </c>
      <c r="D1248" t="str">
        <v>カ</v>
      </c>
      <c r="E1248" t="str">
        <v>か（かる） か（ける） たな</v>
      </c>
      <c r="F1248" t="str">
        <v>かける</v>
      </c>
      <c r="G1248" t="str">
        <v>たな。板などを水平にかけ渡して、物をのせたりかけたりする台。 かける。かけ渡す。</v>
      </c>
      <c r="I1248">
        <v>15</v>
      </c>
      <c r="J1248">
        <v>40</v>
      </c>
      <c r="K1248">
        <v>75</v>
      </c>
      <c r="L1248">
        <v>0</v>
      </c>
      <c r="M1248">
        <f>VLOOKUP(A1248,[1]kanji_data!$A:$N,14,FALSE)</f>
        <v>0</v>
      </c>
    </row>
    <row r="1249">
      <c r="A1249" t="str">
        <v>浪</v>
      </c>
      <c r="B1249">
        <v>10</v>
      </c>
      <c r="C1249" t="b">
        <v>1</v>
      </c>
      <c r="D1249" t="str">
        <v>ロウ ラン</v>
      </c>
      <c r="E1249" t="str">
        <v>なみ みだ（りに）</v>
      </c>
      <c r="F1249">
        <v>0</v>
      </c>
      <c r="G1249" t="str">
        <v>なみ。おおなみ。波の総称。また、波のようなもののこと。 波のように気ままにする。よりどころのないさま。 むやみに。みだりに。やたらに。無駄に。ほしいままに。</v>
      </c>
      <c r="H1249" t="str">
        <v>#海・水</v>
      </c>
      <c r="I1249">
        <v>10</v>
      </c>
      <c r="J1249">
        <v>55</v>
      </c>
      <c r="K1249">
        <v>60</v>
      </c>
      <c r="L1249">
        <v>0</v>
      </c>
      <c r="M1249">
        <f>VLOOKUP(A1249,[1]kanji_data!$A:$N,14,FALSE)</f>
        <v>0</v>
      </c>
    </row>
    <row r="1250">
      <c r="A1250" t="str">
        <v>契</v>
      </c>
      <c r="B1250">
        <v>9</v>
      </c>
      <c r="C1250" t="b">
        <v>1</v>
      </c>
      <c r="D1250" t="str">
        <v>ケイ キツ ケツ セツ</v>
      </c>
      <c r="E1250" t="str">
        <v>ちぎ（る） きざ（む） ちぎ（り） わりふ</v>
      </c>
      <c r="F1250">
        <v>0</v>
      </c>
      <c r="G1250" t="str">
        <v>ちぎる。固く約束する。 ちぎり。約束。誓い。 きざむ。きざみこむ。 わりふ。しるし。手形。 民族の名「契丹」に用いられる字。 つとめ苦しむ。苦しみ悩む。 久しく会わない。 人名。殷王朝の湯王の祖先の名。</v>
      </c>
      <c r="I1250">
        <v>10</v>
      </c>
      <c r="J1250">
        <v>60</v>
      </c>
      <c r="K1250">
        <v>50</v>
      </c>
      <c r="L1250">
        <v>0</v>
      </c>
      <c r="M1250">
        <f>VLOOKUP(A1250,[1]kanji_data!$A:$N,14,FALSE)</f>
        <v>0</v>
      </c>
    </row>
    <row r="1251">
      <c r="A1251" t="str">
        <v>孤</v>
      </c>
      <c r="B1251">
        <v>9</v>
      </c>
      <c r="C1251" t="b">
        <v>1</v>
      </c>
      <c r="D1251" t="str">
        <v>コ</v>
      </c>
      <c r="E1251" t="str">
        <v>そむ（く） ひと（り） みなしご</v>
      </c>
      <c r="F1251">
        <v>0</v>
      </c>
      <c r="G1251" t="str">
        <v>みなしご。父親または両親をなくした子。 ひとり。ひとつ。ひとりぼっち。または助けのないこと。 そむく。好意や期待を無にする。 王や諸侯が自分を謙遜していうことば。</v>
      </c>
      <c r="I1251">
        <v>10</v>
      </c>
      <c r="J1251">
        <v>85</v>
      </c>
      <c r="K1251">
        <v>30</v>
      </c>
      <c r="L1251">
        <v>1</v>
      </c>
    </row>
    <row r="1252">
      <c r="A1252" t="str">
        <v>核</v>
      </c>
      <c r="B1252">
        <v>10</v>
      </c>
      <c r="C1252" t="b">
        <v>1</v>
      </c>
      <c r="D1252" t="str">
        <v>カク</v>
      </c>
      <c r="E1252" t="str">
        <v>さね</v>
      </c>
      <c r="F1252">
        <v>0</v>
      </c>
      <c r="G1252" t="str">
        <v>さね。果実の種。 物事の中心となる重要な部分。 調べる。明らかにする。 かく。原子核のこと。</v>
      </c>
      <c r="H1252" t="str">
        <v>#知性</v>
      </c>
      <c r="I1252">
        <v>10</v>
      </c>
      <c r="J1252">
        <v>50</v>
      </c>
      <c r="K1252">
        <v>50</v>
      </c>
      <c r="L1252">
        <v>1</v>
      </c>
    </row>
    <row r="1253">
      <c r="A1253" t="str">
        <v>牲</v>
      </c>
      <c r="B1253">
        <v>9</v>
      </c>
      <c r="C1253" t="b">
        <v>1</v>
      </c>
      <c r="D1253" t="str">
        <v>セイ</v>
      </c>
      <c r="E1253" t="str">
        <v>いけにえ</v>
      </c>
      <c r="F1253">
        <v>0</v>
      </c>
      <c r="G1253" t="str">
        <v>いけにえ。神を祭るときにそなえる家畜。</v>
      </c>
      <c r="I1253">
        <v>10</v>
      </c>
      <c r="J1253">
        <v>50</v>
      </c>
      <c r="K1253">
        <v>50</v>
      </c>
      <c r="L1253">
        <v>1</v>
      </c>
    </row>
    <row r="1254">
      <c r="A1254" t="str">
        <v>糾</v>
      </c>
      <c r="B1254">
        <v>9</v>
      </c>
      <c r="C1254" t="b">
        <v>1</v>
      </c>
      <c r="D1254" t="str">
        <v>キュウ</v>
      </c>
      <c r="E1254" t="str">
        <v>あざな（う） ただ（す）</v>
      </c>
      <c r="F1254">
        <v>0</v>
      </c>
      <c r="G1254" t="str">
        <v>あざなう。よる。糸をより合わせる。縄をなう。 あつめる。集め合わせる。 よじれる。まとう。まつわる。からみつく。 ただす。誤りをただす。取り調べる。</v>
      </c>
      <c r="I1254">
        <v>10</v>
      </c>
      <c r="J1254">
        <v>50</v>
      </c>
      <c r="K1254">
        <v>50</v>
      </c>
      <c r="L1254">
        <v>1</v>
      </c>
    </row>
    <row r="1255">
      <c r="A1255" t="str">
        <v>恭</v>
      </c>
      <c r="B1255">
        <v>10</v>
      </c>
      <c r="C1255" t="b">
        <v>1</v>
      </c>
      <c r="D1255" t="str">
        <v>キョウ ク</v>
      </c>
      <c r="E1255" t="str">
        <v>うやうや（しい） つつし（む）</v>
      </c>
      <c r="F1255" t="str">
        <v>すけ たか たかし ただ ちか みつ やす やすし ゆき よし</v>
      </c>
      <c r="G1255" t="str">
        <v>うやうやしい。つつしむ。礼儀正しく丁寧で、慎み深い。</v>
      </c>
      <c r="H1255" t="str">
        <v>#品格</v>
      </c>
      <c r="I1255">
        <v>90</v>
      </c>
      <c r="J1255">
        <v>55</v>
      </c>
      <c r="K1255">
        <v>65</v>
      </c>
      <c r="L1255">
        <v>0</v>
      </c>
      <c r="M1255">
        <f>VLOOKUP(A1255,[1]kanji_data!$A:$N,14,FALSE)</f>
        <v>0</v>
      </c>
    </row>
    <row r="1256">
      <c r="A1256" t="str">
        <v>貢</v>
      </c>
      <c r="B1256">
        <v>10</v>
      </c>
      <c r="C1256" t="b">
        <v>1</v>
      </c>
      <c r="D1256" t="str">
        <v>コウ ク</v>
      </c>
      <c r="E1256" t="str">
        <v>みつ（ぐ）</v>
      </c>
      <c r="F1256" t="str">
        <v>すすむ つぐ みつぐ</v>
      </c>
      <c r="G1256" t="str">
        <v>みつぐ。ささげる。たてまつる。献上する。献納する。 みつぎ。みつぎもの。 すすめる。すぐれた人材を推薦する。</v>
      </c>
      <c r="H1256" t="str">
        <v>#品格 #慈愛</v>
      </c>
      <c r="I1256">
        <v>30</v>
      </c>
      <c r="J1256">
        <v>75</v>
      </c>
      <c r="K1256">
        <v>45</v>
      </c>
      <c r="L1256">
        <v>0</v>
      </c>
      <c r="M1256">
        <f>VLOOKUP(A1256,[1]kanji_data!$A:$N,14,FALSE)</f>
        <v>0</v>
      </c>
    </row>
    <row r="1257">
      <c r="A1257" t="str">
        <v>剛</v>
      </c>
      <c r="B1257">
        <v>10</v>
      </c>
      <c r="C1257" t="b">
        <v>1</v>
      </c>
      <c r="D1257" t="str">
        <v>ゴウ コウ</v>
      </c>
      <c r="E1257" t="str">
        <v>かた（い） つよ（い）</v>
      </c>
      <c r="F1257" t="str">
        <v>たか たかし たけ たけし つよし ひさ まさ よし</v>
      </c>
      <c r="G1257" t="str">
        <v>かたい。つよい。丈夫なさま。 意志が強い。気性が荒い。 まさに。ちょうど。今しがた。</v>
      </c>
      <c r="H1257" t="str">
        <v>#健康 #勇気 #心・志</v>
      </c>
      <c r="I1257">
        <v>100</v>
      </c>
      <c r="J1257">
        <v>85</v>
      </c>
      <c r="K1257">
        <v>30</v>
      </c>
      <c r="L1257">
        <v>0</v>
      </c>
      <c r="M1257">
        <f>VLOOKUP(A1257,[1]kanji_data!$A:$N,14,FALSE)</f>
        <v>0</v>
      </c>
    </row>
    <row r="1258">
      <c r="A1258" t="str">
        <v>拷</v>
      </c>
      <c r="B1258">
        <v>9</v>
      </c>
      <c r="C1258" t="b">
        <v>1</v>
      </c>
      <c r="D1258" t="str">
        <v>ゴウ コウ</v>
      </c>
      <c r="E1258" t="str">
        <v>う（つ）</v>
      </c>
      <c r="F1258">
        <v>0</v>
      </c>
      <c r="G1258" t="str">
        <v>うつ。たたく。肉体的な苦痛を与える。 かすめる。かすめとる。奪いとる。</v>
      </c>
      <c r="I1258">
        <v>10</v>
      </c>
      <c r="J1258">
        <v>50</v>
      </c>
      <c r="K1258">
        <v>50</v>
      </c>
      <c r="L1258">
        <v>1</v>
      </c>
    </row>
    <row r="1259">
      <c r="A1259" t="str">
        <v>栽</v>
      </c>
      <c r="B1259">
        <v>10</v>
      </c>
      <c r="C1259" t="b">
        <v>1</v>
      </c>
      <c r="D1259" t="str">
        <v>サイ</v>
      </c>
      <c r="E1259" t="str">
        <v>う（える）</v>
      </c>
      <c r="F1259">
        <v>0</v>
      </c>
      <c r="G1259" t="str">
        <v>うえる。草木の苗をうえる。 うえこみ。また、うえき。</v>
      </c>
      <c r="H1259" t="str">
        <v>#自然</v>
      </c>
      <c r="I1259">
        <v>10</v>
      </c>
      <c r="J1259">
        <v>50</v>
      </c>
      <c r="K1259">
        <v>55</v>
      </c>
      <c r="L1259">
        <v>0</v>
      </c>
      <c r="M1259">
        <f>VLOOKUP(A1259,[1]kanji_data!$A:$N,14,FALSE)</f>
        <v>0</v>
      </c>
    </row>
    <row r="1260">
      <c r="A1260" t="str">
        <v>宰</v>
      </c>
      <c r="B1260">
        <v>10</v>
      </c>
      <c r="C1260" t="b">
        <v>1</v>
      </c>
      <c r="D1260" t="str">
        <v>サイ</v>
      </c>
      <c r="E1260" t="str">
        <v>つかさど（る）</v>
      </c>
      <c r="F1260">
        <v>0</v>
      </c>
      <c r="G1260" t="str">
        <v>つかさどる。とりしきる。あずかる。おさめる。 つかさ。中心となってとりしきる人。 つかさ。おさ。かしら。 料理人。（肉などをさばいて）料理をする。</v>
      </c>
      <c r="H1260" t="str">
        <v>#品格</v>
      </c>
      <c r="I1260">
        <v>10</v>
      </c>
      <c r="J1260">
        <v>80</v>
      </c>
      <c r="K1260">
        <v>45</v>
      </c>
      <c r="L1260">
        <v>0</v>
      </c>
      <c r="M1260">
        <f>VLOOKUP(A1260,[1]kanji_data!$A:$N,14,FALSE)</f>
        <v>0</v>
      </c>
    </row>
    <row r="1261">
      <c r="A1261" t="str">
        <v>窃</v>
      </c>
      <c r="B1261">
        <v>9</v>
      </c>
      <c r="C1261" t="b">
        <v>1</v>
      </c>
      <c r="D1261" t="str">
        <v>セツ</v>
      </c>
      <c r="E1261" t="str">
        <v>ぬす（む） ひそ（かに）</v>
      </c>
      <c r="F1261">
        <v>0</v>
      </c>
      <c r="G1261" t="str">
        <v>ぬすむ。こっそり取る。こっそり盗む。また、ぬすびと。 ひそかに。人知れず。</v>
      </c>
      <c r="I1261">
        <v>10</v>
      </c>
      <c r="J1261">
        <v>50</v>
      </c>
      <c r="K1261">
        <v>50</v>
      </c>
      <c r="L1261">
        <v>1</v>
      </c>
    </row>
    <row r="1262">
      <c r="A1262" t="str">
        <v>桟</v>
      </c>
      <c r="B1262">
        <v>10</v>
      </c>
      <c r="C1262" t="b">
        <v>1</v>
      </c>
      <c r="D1262" t="str">
        <v>サン</v>
      </c>
      <c r="E1262" t="str">
        <v>かけはし たな</v>
      </c>
      <c r="F1262">
        <v>0</v>
      </c>
      <c r="G1262" t="str">
        <v>かけはし。けわしい崖などに木をかけ渡した橋。 たな。板を渡して作ったたな。 やらい。家畜を飼うための囲い。 さん。板のそりを防ぐために打つ横木。 さん。戸や障子などの骨。</v>
      </c>
      <c r="H1262" t="str">
        <v>#自然</v>
      </c>
      <c r="I1262">
        <v>10</v>
      </c>
      <c r="J1262">
        <v>40</v>
      </c>
      <c r="K1262">
        <v>75</v>
      </c>
      <c r="L1262">
        <v>1</v>
      </c>
    </row>
    <row r="1263">
      <c r="A1263" t="str">
        <v>拶</v>
      </c>
      <c r="B1263">
        <v>9</v>
      </c>
      <c r="C1263" t="b">
        <v>1</v>
      </c>
      <c r="D1263" t="str">
        <v>サツ</v>
      </c>
      <c r="E1263" t="str">
        <v>せま（る）</v>
      </c>
      <c r="F1263">
        <v>0</v>
      </c>
      <c r="G1263" t="str">
        <v>せまる。すり寄る。近寄る。 「拶指」は、指をはさんでしめつける刑具・刑罰の名。</v>
      </c>
      <c r="I1263">
        <v>10</v>
      </c>
      <c r="J1263">
        <v>50</v>
      </c>
      <c r="K1263">
        <v>50</v>
      </c>
      <c r="L1263">
        <v>1</v>
      </c>
    </row>
    <row r="1264">
      <c r="A1264" t="str">
        <v>珠</v>
      </c>
      <c r="B1264">
        <v>10</v>
      </c>
      <c r="C1264" t="b">
        <v>1</v>
      </c>
      <c r="D1264" t="str">
        <v>シュ</v>
      </c>
      <c r="E1264" t="str">
        <v>たま</v>
      </c>
      <c r="F1264" t="str">
        <v>じゅ す ず み</v>
      </c>
      <c r="G1264" t="str">
        <v>たま。貝類の中にできる丸い玉。真珠。 真珠のように、丸く小さいもの。 美しいもの、立派なもののたとえ。</v>
      </c>
      <c r="H1264" t="str">
        <v>#品格 #花・彩</v>
      </c>
      <c r="I1264">
        <v>100</v>
      </c>
      <c r="J1264">
        <v>45</v>
      </c>
      <c r="K1264">
        <v>85</v>
      </c>
      <c r="L1264">
        <v>0</v>
      </c>
      <c r="M1264">
        <f>VLOOKUP(A1264,[1]kanji_data!$A:$N,14,FALSE)</f>
        <v>0</v>
      </c>
    </row>
    <row r="1265">
      <c r="A1265" t="str">
        <v>准</v>
      </c>
      <c r="B1265">
        <v>10</v>
      </c>
      <c r="C1265" t="b">
        <v>1</v>
      </c>
      <c r="D1265" t="str">
        <v>ジュン シュン</v>
      </c>
      <c r="E1265" t="str">
        <v>なぞら（える） ゆる（す）</v>
      </c>
      <c r="F1265" t="str">
        <v>のり</v>
      </c>
      <c r="G1265" t="str">
        <v>なぞらえる。本来のものに次ぐ。 なぞらえる。基準に比べ合わせる。 平らにする。同類・同等のものとみなす。 ゆるす。認める。許可する。</v>
      </c>
      <c r="H1265" t="str">
        <v>#調和</v>
      </c>
      <c r="I1265">
        <v>15</v>
      </c>
      <c r="J1265">
        <v>50</v>
      </c>
      <c r="K1265">
        <v>50</v>
      </c>
      <c r="L1265">
        <v>1</v>
      </c>
    </row>
    <row r="1266">
      <c r="A1266" t="str">
        <v>拭</v>
      </c>
      <c r="B1266">
        <v>9</v>
      </c>
      <c r="C1266" t="b">
        <v>1</v>
      </c>
      <c r="D1266" t="str">
        <v>ショク シキ</v>
      </c>
      <c r="E1266" t="str">
        <v>ぬぐ（う） ふ（く）</v>
      </c>
      <c r="F1266">
        <v>0</v>
      </c>
      <c r="G1266" t="str">
        <v>ぬぐう。ふく。汚れなどをふきとってきれいにする。</v>
      </c>
      <c r="I1266">
        <v>10</v>
      </c>
      <c r="J1266">
        <v>50</v>
      </c>
      <c r="K1266">
        <v>50</v>
      </c>
      <c r="L1266">
        <v>1</v>
      </c>
    </row>
    <row r="1267">
      <c r="A1267" t="str">
        <v>祥</v>
      </c>
      <c r="B1267">
        <v>10</v>
      </c>
      <c r="C1267" t="b">
        <v>1</v>
      </c>
      <c r="D1267" t="str">
        <v>ショウ</v>
      </c>
      <c r="E1267" t="str">
        <v>きざ（し） さいわ（い） さち</v>
      </c>
      <c r="F1267" t="str">
        <v>あきら さか さき さむ ただ なが やす よし</v>
      </c>
      <c r="G1267" t="str">
        <v>さち。さいわい。よいこと。めでたいこと。喜ばしいこと。吉事。 きざし。しるし。前ぶれ。吉事の前兆。 喪明けの祭り。忌み明けの祭り。</v>
      </c>
      <c r="H1267" t="str">
        <v>#幸福</v>
      </c>
      <c r="I1267">
        <v>100</v>
      </c>
      <c r="J1267">
        <v>65</v>
      </c>
      <c r="K1267">
        <v>50</v>
      </c>
      <c r="L1267">
        <v>0</v>
      </c>
      <c r="M1267">
        <f>VLOOKUP(A1267,[1]kanji_data!$A:$N,14,FALSE)</f>
        <v>0</v>
      </c>
    </row>
    <row r="1268">
      <c r="A1268" t="str">
        <v>訃</v>
      </c>
      <c r="B1268">
        <v>9</v>
      </c>
      <c r="C1268" t="b">
        <v>1</v>
      </c>
      <c r="D1268" t="str">
        <v>フ</v>
      </c>
      <c r="E1268" t="str">
        <v>し（らせ） つ（げる）</v>
      </c>
      <c r="F1268">
        <v>0</v>
      </c>
      <c r="G1268" t="str">
        <v>つげる。人が死んだことを知らせる。 しらせ。人の死の知らせ。</v>
      </c>
      <c r="I1268">
        <v>10</v>
      </c>
      <c r="J1268">
        <v>50</v>
      </c>
      <c r="K1268">
        <v>50</v>
      </c>
      <c r="L1268">
        <v>1</v>
      </c>
    </row>
    <row r="1269">
      <c r="A1269" t="str">
        <v>勃</v>
      </c>
      <c r="B1269">
        <v>9</v>
      </c>
      <c r="C1269" t="b">
        <v>1</v>
      </c>
      <c r="D1269" t="str">
        <v>ボツ ホツ</v>
      </c>
      <c r="E1269" t="str">
        <v>お（こる） にわ（かに）</v>
      </c>
      <c r="F1269">
        <v>0</v>
      </c>
      <c r="G1269" t="str">
        <v>おこる。急におこるさま。勢いよくおこるさま。 にわかに。急に。 顔色を変えるさま。怒るさま。むっとするさま。 国名「勃牙利（ブルガリア）」の略。</v>
      </c>
      <c r="I1269">
        <v>10</v>
      </c>
      <c r="J1269">
        <v>50</v>
      </c>
      <c r="K1269">
        <v>50</v>
      </c>
      <c r="L1269">
        <v>1</v>
      </c>
    </row>
    <row r="1270">
      <c r="A1270" t="str">
        <v>昧</v>
      </c>
      <c r="B1270">
        <v>9</v>
      </c>
      <c r="C1270" t="b">
        <v>1</v>
      </c>
      <c r="D1270" t="str">
        <v>マイ バイ</v>
      </c>
      <c r="E1270" t="str">
        <v>くら（い）</v>
      </c>
      <c r="F1270">
        <v>0</v>
      </c>
      <c r="G1270" t="str">
        <v>くらい。光がわずかでくらい。 くらい。おろか。物事を知らない。</v>
      </c>
      <c r="I1270">
        <v>10</v>
      </c>
      <c r="J1270">
        <v>50</v>
      </c>
      <c r="K1270">
        <v>50</v>
      </c>
      <c r="L1270">
        <v>1</v>
      </c>
    </row>
    <row r="1271">
      <c r="A1271" t="str">
        <v>廻</v>
      </c>
      <c r="B1271">
        <v>9</v>
      </c>
      <c r="C1271" t="b">
        <v>0</v>
      </c>
      <c r="D1271" t="str">
        <v>エ カイ</v>
      </c>
      <c r="E1271" t="str">
        <v>まわ（す） まわ（る） めぐ（らす） めぐ（る）</v>
      </c>
      <c r="F1271">
        <v>0</v>
      </c>
      <c r="G1271" t="str">
        <v>まわる。めぐる。ぐるぐると何度もまわる。 まわす。めぐらす。向きをかえる。反対に向ける。後ろに向ける。 かえる。かえす。もとの所に戻る。もとの所に戻す。</v>
      </c>
      <c r="I1271">
        <v>10</v>
      </c>
      <c r="J1271">
        <v>50</v>
      </c>
      <c r="K1271">
        <v>50</v>
      </c>
      <c r="L1271">
        <v>1</v>
      </c>
    </row>
    <row r="1272">
      <c r="A1272" t="str">
        <v>俄</v>
      </c>
      <c r="B1272">
        <v>9</v>
      </c>
      <c r="C1272" t="b">
        <v>0</v>
      </c>
      <c r="D1272" t="str">
        <v>ガ</v>
      </c>
      <c r="E1272" t="str">
        <v>にわか にわ（か）</v>
      </c>
      <c r="F1272">
        <v>0</v>
      </c>
      <c r="G1272" t="str">
        <v>にわか。急に。たちまち。ほどなく。 かたむく。かたむける。 国名「ロシア」の中国語「俄羅斯（オロス・オロシア）」の略。</v>
      </c>
      <c r="I1272">
        <v>10</v>
      </c>
      <c r="J1272">
        <v>50</v>
      </c>
      <c r="K1272">
        <v>50</v>
      </c>
      <c r="L1272">
        <v>1</v>
      </c>
    </row>
    <row r="1273">
      <c r="A1273" t="str">
        <v>恰</v>
      </c>
      <c r="B1273">
        <v>9</v>
      </c>
      <c r="C1273" t="b">
        <v>0</v>
      </c>
      <c r="D1273" t="str">
        <v>カッ コウ</v>
      </c>
      <c r="E1273" t="str">
        <v>あたか（も）</v>
      </c>
      <c r="F1273" t="str">
        <v>きょう こ</v>
      </c>
      <c r="G1273" t="str">
        <v>あたかも。まるで。さながら。</v>
      </c>
      <c r="I1273">
        <v>15</v>
      </c>
      <c r="J1273">
        <v>50</v>
      </c>
      <c r="K1273">
        <v>50</v>
      </c>
      <c r="L1273">
        <v>1</v>
      </c>
    </row>
    <row r="1274">
      <c r="A1274" t="str">
        <v>栓</v>
      </c>
      <c r="B1274">
        <v>10</v>
      </c>
      <c r="C1274" t="b">
        <v>1</v>
      </c>
      <c r="D1274" t="str">
        <v>セン</v>
      </c>
      <c r="E1274">
        <v>0</v>
      </c>
      <c r="F1274">
        <v>0</v>
      </c>
      <c r="G1274" t="str">
        <v>穴をふさぐ木の釘。また、びんなどの口をふさぐもの。 せんのき。はりぎり。ウコギ科の落葉高木。</v>
      </c>
      <c r="H1274" t="str">
        <v>#自然</v>
      </c>
      <c r="I1274">
        <v>10</v>
      </c>
      <c r="J1274">
        <v>50</v>
      </c>
      <c r="K1274">
        <v>50</v>
      </c>
      <c r="L1274">
        <v>1</v>
      </c>
    </row>
    <row r="1275">
      <c r="A1275" t="str">
        <v>巷</v>
      </c>
      <c r="B1275">
        <v>9</v>
      </c>
      <c r="C1275" t="b">
        <v>0</v>
      </c>
      <c r="D1275" t="str">
        <v>コウ</v>
      </c>
      <c r="E1275" t="str">
        <v>ちまた</v>
      </c>
      <c r="F1275">
        <v>0</v>
      </c>
      <c r="G1275" t="str">
        <v>ちまた。町や村の中にある小道。 ちまた。まちの中。世間。</v>
      </c>
      <c r="I1275">
        <v>10</v>
      </c>
      <c r="J1275">
        <v>50</v>
      </c>
      <c r="K1275">
        <v>50</v>
      </c>
      <c r="L1275">
        <v>1</v>
      </c>
    </row>
    <row r="1276">
      <c r="A1276" t="str">
        <v>殆</v>
      </c>
      <c r="B1276">
        <v>9</v>
      </c>
      <c r="C1276" t="b">
        <v>0</v>
      </c>
      <c r="D1276" t="str">
        <v>タイ</v>
      </c>
      <c r="E1276" t="str">
        <v>あや（うい） ほとほと ほとん（ど）</v>
      </c>
      <c r="F1276">
        <v>0</v>
      </c>
      <c r="G1276" t="str">
        <v>あやうい。あぶない。安定しない。危険。 ほとんど。おおかた。もう少しで。</v>
      </c>
      <c r="I1276">
        <v>10</v>
      </c>
      <c r="J1276">
        <v>50</v>
      </c>
      <c r="K1276">
        <v>50</v>
      </c>
      <c r="L1276">
        <v>1</v>
      </c>
    </row>
    <row r="1277">
      <c r="A1277" t="str">
        <v>姪</v>
      </c>
      <c r="B1277">
        <v>9</v>
      </c>
      <c r="C1277" t="b">
        <v>0</v>
      </c>
      <c r="D1277" t="str">
        <v>テツ</v>
      </c>
      <c r="E1277" t="str">
        <v>めい</v>
      </c>
      <c r="F1277">
        <v>0</v>
      </c>
      <c r="G1277" t="str">
        <v>自分の兄弟の子。姉妹の子は甥。 めい。兄弟の娘。 おい。兄弟の息子。 めい。兄弟姉妹の娘。兄弟姉妹の息子は甥。</v>
      </c>
      <c r="I1277">
        <v>10</v>
      </c>
      <c r="J1277">
        <v>50</v>
      </c>
      <c r="K1277">
        <v>50</v>
      </c>
      <c r="L1277">
        <v>1</v>
      </c>
    </row>
    <row r="1278">
      <c r="A1278" t="str">
        <v>泰</v>
      </c>
      <c r="B1278">
        <v>10</v>
      </c>
      <c r="C1278" t="b">
        <v>1</v>
      </c>
      <c r="D1278" t="str">
        <v>タイ</v>
      </c>
      <c r="E1278" t="str">
        <v>おご（る） やす（い） やす（らか）</v>
      </c>
      <c r="F1278" t="str">
        <v>あきら とおる ひろ ひろし やす やすし ゆたか よし</v>
      </c>
      <c r="G1278" t="str">
        <v>やすい。やすらか。おだやか。落ち着いている。安心できる。 大きい。広い。きわめて大きい。 はなはだしい。きわめて。非常に。 おごる。おごりたかぶる。贅沢する。 「泰山」は、山の名。 易（エキ）の六十四卦の一つ。 国名「タイ」のこと。</v>
      </c>
      <c r="H1278" t="str">
        <v>#慈愛 #繁栄</v>
      </c>
      <c r="I1278">
        <v>100</v>
      </c>
      <c r="J1278">
        <v>80</v>
      </c>
      <c r="K1278">
        <v>45</v>
      </c>
      <c r="L1278">
        <v>0</v>
      </c>
      <c r="M1278">
        <f>VLOOKUP(A1278,[1]kanji_data!$A:$N,14,FALSE)</f>
        <v>0</v>
      </c>
    </row>
    <row r="1279">
      <c r="A1279" t="str">
        <v>姥</v>
      </c>
      <c r="B1279">
        <v>9</v>
      </c>
      <c r="C1279" t="b">
        <v>0</v>
      </c>
      <c r="D1279" t="str">
        <v>ボ モ</v>
      </c>
      <c r="E1279" t="str">
        <v>うば ばば</v>
      </c>
      <c r="F1279">
        <v>0</v>
      </c>
      <c r="G1279" t="str">
        <v>うば。ばば。年老いた女性。老婆。</v>
      </c>
      <c r="I1279">
        <v>10</v>
      </c>
      <c r="J1279">
        <v>50</v>
      </c>
      <c r="K1279">
        <v>50</v>
      </c>
      <c r="L1279">
        <v>1</v>
      </c>
    </row>
    <row r="1280">
      <c r="A1280" t="str">
        <v>侮</v>
      </c>
      <c r="B1280">
        <v>9</v>
      </c>
      <c r="C1280" t="b">
        <v>0</v>
      </c>
      <c r="D1280" t="str">
        <v>ブ</v>
      </c>
      <c r="E1280" t="str">
        <v>あなど（る）</v>
      </c>
      <c r="F1280">
        <v>0</v>
      </c>
      <c r="G1280" t="str">
        <v>あなどる。軽視する。ばかにする。 あなどり。人をばかにした行動。</v>
      </c>
      <c r="I1280">
        <v>10</v>
      </c>
      <c r="J1280">
        <v>50</v>
      </c>
      <c r="K1280">
        <v>50</v>
      </c>
      <c r="L1280">
        <v>1</v>
      </c>
    </row>
    <row r="1281">
      <c r="A1281" t="str">
        <v>倍</v>
      </c>
      <c r="B1281">
        <v>10</v>
      </c>
      <c r="C1281" t="b">
        <v>1</v>
      </c>
      <c r="D1281" t="str">
        <v>バイ ハイ</v>
      </c>
      <c r="E1281" t="str">
        <v>そむ（く） ま（す）</v>
      </c>
      <c r="F1281">
        <v>0</v>
      </c>
      <c r="G1281" t="str">
        <v>ます。増える。増加する。ばいにする。 ますます。いよいよ。 そむく。離れる。反する。 暗唱。そらよみ。そらんじる。</v>
      </c>
      <c r="I1281">
        <v>10</v>
      </c>
      <c r="J1281">
        <v>50</v>
      </c>
      <c r="K1281">
        <v>50</v>
      </c>
      <c r="L1281">
        <v>1</v>
      </c>
    </row>
    <row r="1282">
      <c r="A1282" t="str">
        <v>訓</v>
      </c>
      <c r="B1282">
        <v>10</v>
      </c>
      <c r="C1282" t="b">
        <v>1</v>
      </c>
      <c r="D1282" t="str">
        <v>クン キン</v>
      </c>
      <c r="E1282" t="str">
        <v>おし（える） よ（む）</v>
      </c>
      <c r="F1282" t="str">
        <v>くに さとし さとす さとる しる とき のり みち</v>
      </c>
      <c r="G1282" t="str">
        <v>おしえる。おしえさとす。いましめる。 おしえ。いましめ。 よむ。意味を解きほぐす。解釈する。 くん。漢字に日本語を当てたもの。</v>
      </c>
      <c r="I1282">
        <v>15</v>
      </c>
      <c r="J1282">
        <v>65</v>
      </c>
      <c r="K1282">
        <v>55</v>
      </c>
      <c r="L1282">
        <v>0</v>
      </c>
      <c r="M1282">
        <f>VLOOKUP(A1282,[1]kanji_data!$A:$N,14,FALSE)</f>
        <v>0</v>
      </c>
    </row>
    <row r="1283">
      <c r="A1283" t="str">
        <v>浦</v>
      </c>
      <c r="B1283">
        <v>10</v>
      </c>
      <c r="C1283" t="b">
        <v>1</v>
      </c>
      <c r="D1283" t="str">
        <v>ホ</v>
      </c>
      <c r="E1283" t="str">
        <v>うら</v>
      </c>
      <c r="F1283">
        <v>0</v>
      </c>
      <c r="G1283" t="str">
        <v>うら。海や川などのほとり。水辺。浜。 大きな川の支流と本流が合流するところ。また、川が海に注ぐところ。 うら。いりえ。海や湖などが陸地に入り込んでいるところ。</v>
      </c>
      <c r="H1283" t="str">
        <v>#海・水</v>
      </c>
      <c r="I1283">
        <v>10</v>
      </c>
      <c r="J1283">
        <v>80</v>
      </c>
      <c r="K1283">
        <v>45</v>
      </c>
      <c r="L1283">
        <v>0</v>
      </c>
      <c r="M1283">
        <f>VLOOKUP(A1283,[1]kanji_data!$A:$N,14,FALSE)</f>
        <v>0</v>
      </c>
    </row>
    <row r="1284">
      <c r="A1284" t="str">
        <v>借</v>
      </c>
      <c r="B1284">
        <v>10</v>
      </c>
      <c r="C1284" t="b">
        <v>1</v>
      </c>
      <c r="D1284" t="str">
        <v>シャク シャ セキ</v>
      </c>
      <c r="E1284" t="str">
        <v>か（りる）</v>
      </c>
      <c r="F1284">
        <v>0</v>
      </c>
      <c r="G1284" t="str">
        <v>かり。かりる。人のものを一時的にかりる。 かりに。仮定。 かす。貸し与える。力を貸す。</v>
      </c>
      <c r="I1284">
        <v>10</v>
      </c>
      <c r="J1284">
        <v>50</v>
      </c>
      <c r="K1284">
        <v>50</v>
      </c>
      <c r="L1284">
        <v>1</v>
      </c>
    </row>
    <row r="1285">
      <c r="A1285" t="str">
        <v>剖</v>
      </c>
      <c r="B1285">
        <v>10</v>
      </c>
      <c r="C1285" t="b">
        <v>1</v>
      </c>
      <c r="D1285" t="str">
        <v>ボウ ホウ</v>
      </c>
      <c r="E1285" t="str">
        <v>さ（く） わ（ける）</v>
      </c>
      <c r="F1285">
        <v>0</v>
      </c>
      <c r="G1285" t="str">
        <v>さく。切りさく。切りわける。 わける。二つにわける。 見分ける。判断する。明らかにする。</v>
      </c>
      <c r="H1285" t="str">
        <v>#知性</v>
      </c>
      <c r="I1285">
        <v>10</v>
      </c>
      <c r="J1285">
        <v>50</v>
      </c>
      <c r="K1285">
        <v>50</v>
      </c>
      <c r="L1285">
        <v>1</v>
      </c>
    </row>
    <row r="1286">
      <c r="A1286" t="str">
        <v>粉</v>
      </c>
      <c r="B1286">
        <v>10</v>
      </c>
      <c r="C1286" t="b">
        <v>1</v>
      </c>
      <c r="D1286" t="str">
        <v>フン</v>
      </c>
      <c r="E1286" t="str">
        <v>こ こな デシメートル</v>
      </c>
      <c r="F1286">
        <v>0</v>
      </c>
      <c r="G1286" t="str">
        <v>こ。こな。穀物を細かく砕いたもの。 細かく砕く。粉にする。粉々にする。 おしろい。おしろいをぬる。 白い。白色の。 石灰。 かざる。いろどる。 デシメートル。長さの単位。一メートルの十分の一。十センチメートル。</v>
      </c>
      <c r="I1286">
        <v>10</v>
      </c>
      <c r="J1286">
        <v>50</v>
      </c>
      <c r="K1286">
        <v>50</v>
      </c>
      <c r="L1286">
        <v>1</v>
      </c>
    </row>
    <row r="1287">
      <c r="A1287" t="str">
        <v>料</v>
      </c>
      <c r="B1287">
        <v>10</v>
      </c>
      <c r="C1287" t="b">
        <v>1</v>
      </c>
      <c r="D1287" t="str">
        <v>リョウ</v>
      </c>
      <c r="E1287" t="str">
        <v>はか（る）</v>
      </c>
      <c r="F1287">
        <v>0</v>
      </c>
      <c r="G1287" t="str">
        <v>はかる。量をはかる。 はかる。おしはかる。考える。 たね。もとになるもの。材料。 りょう。代金。</v>
      </c>
      <c r="I1287">
        <v>10</v>
      </c>
      <c r="J1287">
        <v>50</v>
      </c>
      <c r="K1287">
        <v>50</v>
      </c>
      <c r="L1287">
        <v>1</v>
      </c>
    </row>
    <row r="1288">
      <c r="A1288" t="str">
        <v>竜</v>
      </c>
      <c r="B1288">
        <v>10</v>
      </c>
      <c r="C1288" t="b">
        <v>1</v>
      </c>
      <c r="D1288" t="str">
        <v>リュウ リョウ リン</v>
      </c>
      <c r="E1288" t="str">
        <v>たつ</v>
      </c>
      <c r="F1288" t="str">
        <v>かみ きみ しげみ しげる たか たかし とお とおる めぐむ</v>
      </c>
      <c r="G1288" t="str">
        <v>たつ。りゅう。伝説上の動物。 天子や英雄のたとえ。 高さが八尺以上の馬。優れた馬。</v>
      </c>
      <c r="H1288" t="str">
        <v>#勇気</v>
      </c>
      <c r="I1288">
        <v>100</v>
      </c>
      <c r="J1288">
        <v>100</v>
      </c>
      <c r="K1288">
        <v>25</v>
      </c>
      <c r="L1288">
        <v>0</v>
      </c>
      <c r="M1288">
        <f>VLOOKUP(A1288,[1]kanji_data!$A:$N,14,FALSE)</f>
        <v>0</v>
      </c>
    </row>
    <row r="1289">
      <c r="A1289" t="str">
        <v>倫</v>
      </c>
      <c r="B1289">
        <v>10</v>
      </c>
      <c r="C1289" t="b">
        <v>1</v>
      </c>
      <c r="D1289" t="str">
        <v>リン</v>
      </c>
      <c r="E1289" t="str">
        <v>たぐい つい（で） みち</v>
      </c>
      <c r="F1289" t="str">
        <v>おさむ つぐ つね とし とも のり もと</v>
      </c>
      <c r="G1289" t="str">
        <v>たぐい。同類。仲間。 ついで。次第。順序。 みち。人同士のきちんとした関係・道筋。</v>
      </c>
      <c r="H1289" t="str">
        <v>#調和</v>
      </c>
      <c r="I1289">
        <v>90</v>
      </c>
      <c r="J1289">
        <v>40</v>
      </c>
      <c r="K1289">
        <v>85</v>
      </c>
      <c r="L1289">
        <v>0</v>
      </c>
      <c r="M1289">
        <f>VLOOKUP(A1289,[1]kanji_data!$A:$N,14,FALSE)</f>
        <v>0</v>
      </c>
    </row>
    <row r="1290">
      <c r="A1290" t="str">
        <v>俵</v>
      </c>
      <c r="B1290">
        <v>10</v>
      </c>
      <c r="C1290" t="b">
        <v>1</v>
      </c>
      <c r="D1290" t="str">
        <v>ヒョウ</v>
      </c>
      <c r="E1290" t="str">
        <v>たわら</v>
      </c>
      <c r="F1290">
        <v>0</v>
      </c>
      <c r="G1290" t="str">
        <v>わける。分け与える。 たわら。米・炭などいれる袋。 ヒョウ。たわらを数えることば。</v>
      </c>
      <c r="I1290">
        <v>10</v>
      </c>
      <c r="J1290">
        <v>50</v>
      </c>
      <c r="K1290">
        <v>50</v>
      </c>
      <c r="L1290">
        <v>1</v>
      </c>
    </row>
    <row r="1291">
      <c r="A1291" t="str">
        <v>唄</v>
      </c>
      <c r="B1291">
        <v>10</v>
      </c>
      <c r="C1291" t="b">
        <v>1</v>
      </c>
      <c r="D1291" t="str">
        <v>ハイ バイ</v>
      </c>
      <c r="E1291" t="str">
        <v>うた うた（う）</v>
      </c>
      <c r="F1291">
        <v>0</v>
      </c>
      <c r="G1291" t="str">
        <v>仏の徳を褒めたたえる歌。また、その歌をうたう。 うた。民謡や俗謡。</v>
      </c>
      <c r="H1291" t="str">
        <v>#心・志</v>
      </c>
      <c r="I1291">
        <v>10</v>
      </c>
      <c r="J1291">
        <v>50</v>
      </c>
      <c r="K1291">
        <v>75</v>
      </c>
      <c r="L1291">
        <v>1</v>
      </c>
    </row>
    <row r="1292">
      <c r="A1292" t="str">
        <v>従</v>
      </c>
      <c r="B1292">
        <v>10</v>
      </c>
      <c r="C1292" t="b">
        <v>1</v>
      </c>
      <c r="D1292" t="str">
        <v>ジュウ ジュ ショウ</v>
      </c>
      <c r="E1292" t="str">
        <v>したが（う） したが（える）</v>
      </c>
      <c r="F1292">
        <v>0</v>
      </c>
      <c r="G1292" t="str">
        <v>したがう。したがえる。ついて行くつれて行く。 したがう。言う通りにする。言うことをきく。 したがう。仕事にたずさわる。 「より」と読み、「～より」「～から」「～によって」の意を表わす。 ほしいまま。心のまま。勝手気まま。ほしいままにする。＝縦 たて。南北の方向。＝縦 けらい。つきしたがう人。主人の共をする人。 「従容」は、落ち着いているさま。ゆとりのあるさま。 したがって。それゆえ。それだから。</v>
      </c>
      <c r="I1292">
        <v>10</v>
      </c>
      <c r="J1292">
        <v>65</v>
      </c>
      <c r="K1292">
        <v>60</v>
      </c>
      <c r="L1292">
        <v>0</v>
      </c>
      <c r="M1292">
        <f>VLOOKUP(A1292,[1]kanji_data!$A:$N,14,FALSE)</f>
        <v>0</v>
      </c>
    </row>
    <row r="1293">
      <c r="A1293" t="str">
        <v>除</v>
      </c>
      <c r="B1293">
        <v>10</v>
      </c>
      <c r="C1293" t="b">
        <v>1</v>
      </c>
      <c r="D1293" t="str">
        <v>ジョ ジ</v>
      </c>
      <c r="E1293" t="str">
        <v>のぞ（く） つ（きる） の（ける） はら（う） よ（ける）</v>
      </c>
      <c r="F1293" t="str">
        <v>きよ さる のき</v>
      </c>
      <c r="G1293" t="str">
        <v>のぞく。のける。よける。とりのぞく。 のぞく。はらう。はらい清める。 官職につける。任命する。 病気が治る。病気を治す。 割る。割り算。割り算をする。 おおみそか。一年の終わり。</v>
      </c>
      <c r="I1293">
        <v>15</v>
      </c>
      <c r="J1293">
        <v>50</v>
      </c>
      <c r="K1293">
        <v>50</v>
      </c>
      <c r="L1293">
        <v>1</v>
      </c>
    </row>
    <row r="1294">
      <c r="A1294" t="str">
        <v>桁</v>
      </c>
      <c r="B1294">
        <v>10</v>
      </c>
      <c r="C1294" t="b">
        <v>1</v>
      </c>
      <c r="D1294" t="str">
        <v>コウ</v>
      </c>
      <c r="E1294" t="str">
        <v>けた かせ</v>
      </c>
      <c r="F1294">
        <v>0</v>
      </c>
      <c r="G1294" t="str">
        <v>けた。柱の上にかけわたす横木。 かせ。足かせ。首かせ。 ころもかけ。着物をかけておく家具。 けた。そろばんの珠を縦につらぬく細い棒。転じて、数の位取り。</v>
      </c>
      <c r="H1294" t="str">
        <v>#勇気</v>
      </c>
      <c r="I1294">
        <v>10</v>
      </c>
      <c r="J1294">
        <v>50</v>
      </c>
      <c r="K1294">
        <v>50</v>
      </c>
      <c r="L1294">
        <v>1</v>
      </c>
    </row>
    <row r="1295">
      <c r="A1295" t="str">
        <v>拳</v>
      </c>
      <c r="B1295">
        <v>10</v>
      </c>
      <c r="C1295" t="b">
        <v>1</v>
      </c>
      <c r="D1295" t="str">
        <v>ケン ゲン</v>
      </c>
      <c r="E1295" t="str">
        <v>こぶし</v>
      </c>
      <c r="F1295" t="str">
        <v>かたし つとむ</v>
      </c>
      <c r="G1295" t="str">
        <v>こぶし。にぎりこぶし。 素手による武術。 けん。手や指をさまざまな形に変化させて勝負を争う遊び。</v>
      </c>
      <c r="H1295" t="str">
        <v>#勇気</v>
      </c>
      <c r="I1295">
        <v>10</v>
      </c>
      <c r="J1295">
        <v>95</v>
      </c>
      <c r="K1295">
        <v>35</v>
      </c>
      <c r="L1295">
        <v>0</v>
      </c>
      <c r="M1295">
        <f>VLOOKUP(A1295,[1]kanji_data!$A:$N,14,FALSE)</f>
        <v>0</v>
      </c>
    </row>
    <row r="1296">
      <c r="A1296" t="str">
        <v>討</v>
      </c>
      <c r="B1296">
        <v>10</v>
      </c>
      <c r="C1296" t="b">
        <v>1</v>
      </c>
      <c r="D1296" t="str">
        <v>トウ</v>
      </c>
      <c r="E1296" t="str">
        <v>う（つ） たず（ねる）</v>
      </c>
      <c r="F1296">
        <v>0</v>
      </c>
      <c r="G1296" t="str">
        <v>うつ。敵や悪者を攻めうつ。 たずねる。詳しく調べる。 もとめる。ほしがる。</v>
      </c>
      <c r="I1296">
        <v>10</v>
      </c>
      <c r="J1296">
        <v>50</v>
      </c>
      <c r="K1296">
        <v>50</v>
      </c>
      <c r="L1296">
        <v>1</v>
      </c>
    </row>
    <row r="1297">
      <c r="A1297" t="str">
        <v>剤</v>
      </c>
      <c r="B1297">
        <v>10</v>
      </c>
      <c r="C1297" t="b">
        <v>1</v>
      </c>
      <c r="D1297" t="str">
        <v>ザイ セイ スイ</v>
      </c>
      <c r="E1297" t="str">
        <v>ま（ぜる）</v>
      </c>
      <c r="F1297">
        <v>0</v>
      </c>
      <c r="G1297" t="str">
        <v>まぜる。まぜあわせる。調合する。 薬。調合した薬。 そろえる。切りそろえる。整える。 切りそろえられた手形。割符。</v>
      </c>
      <c r="I1297">
        <v>10</v>
      </c>
      <c r="J1297">
        <v>50</v>
      </c>
      <c r="K1297">
        <v>50</v>
      </c>
      <c r="L1297">
        <v>1</v>
      </c>
    </row>
    <row r="1298">
      <c r="A1298" t="str">
        <v>称</v>
      </c>
      <c r="B1298">
        <v>10</v>
      </c>
      <c r="C1298" t="b">
        <v>1</v>
      </c>
      <c r="D1298" t="str">
        <v>ショウ</v>
      </c>
      <c r="E1298" t="str">
        <v>あ（げる） かな（う） たた（える） とな（える） はか（る）</v>
      </c>
      <c r="F1298" t="str">
        <v>あぐ かみ な のり みつ よし</v>
      </c>
      <c r="G1298" t="str">
        <v>たたえる。ほめる。ほめたたえる。 となえる。となえ。名づける。呼び名。 はかる。目方をはかる。重さをはかる。 はかり。天秤。重さをはかる道具。 かなう。適合する。つり合いがとれる。</v>
      </c>
      <c r="I1298">
        <v>15</v>
      </c>
      <c r="J1298">
        <v>55</v>
      </c>
      <c r="K1298">
        <v>65</v>
      </c>
      <c r="L1298">
        <v>0</v>
      </c>
      <c r="M1298">
        <f>VLOOKUP(A1298,[1]kanji_data!$A:$N,14,FALSE)</f>
        <v>0</v>
      </c>
    </row>
    <row r="1299">
      <c r="A1299" t="str">
        <v>浸</v>
      </c>
      <c r="B1299">
        <v>10</v>
      </c>
      <c r="C1299" t="b">
        <v>1</v>
      </c>
      <c r="D1299" t="str">
        <v>シン</v>
      </c>
      <c r="E1299" t="str">
        <v>ひた（す） ひた（る） し（みる） つ（かる） つ（く）</v>
      </c>
      <c r="F1299">
        <v>0</v>
      </c>
      <c r="G1299" t="str">
        <v>ひたす。ひたる。水などにつかる。 しみる。水がしみこむ。じわじわとしみこむ。 やや。ようやく。次第に。少しずつ。 そそぐ。洗う。水をかける。</v>
      </c>
      <c r="I1299">
        <v>10</v>
      </c>
      <c r="J1299">
        <v>50</v>
      </c>
      <c r="K1299">
        <v>50</v>
      </c>
      <c r="L1299">
        <v>1</v>
      </c>
    </row>
    <row r="1300">
      <c r="A1300" t="str">
        <v>倒</v>
      </c>
      <c r="B1300">
        <v>10</v>
      </c>
      <c r="C1300" t="b">
        <v>1</v>
      </c>
      <c r="D1300" t="str">
        <v>トウ</v>
      </c>
      <c r="E1300" t="str">
        <v>たお（す） たお（れる） こ（ける） さかさま</v>
      </c>
      <c r="F1300">
        <v>0</v>
      </c>
      <c r="G1300" t="str">
        <v>たおす。たおれる。例：打倒 こける。転ぶ。 さかさま。さかしま。さかさまにする。ひっくり返す。</v>
      </c>
      <c r="I1300">
        <v>10</v>
      </c>
      <c r="J1300">
        <v>50</v>
      </c>
      <c r="K1300">
        <v>50</v>
      </c>
      <c r="L1300">
        <v>1</v>
      </c>
    </row>
    <row r="1301">
      <c r="A1301" t="str">
        <v>眠</v>
      </c>
      <c r="B1301">
        <v>10</v>
      </c>
      <c r="C1301" t="b">
        <v>1</v>
      </c>
      <c r="D1301" t="str">
        <v>ミン ベン</v>
      </c>
      <c r="E1301" t="str">
        <v>ねむ（い） ねむ（る）</v>
      </c>
      <c r="F1301">
        <v>0</v>
      </c>
      <c r="G1301" t="str">
        <v>ねる。ねむる。ねむり。ねむい。 ねむる。死ぬ。</v>
      </c>
      <c r="I1301">
        <v>10</v>
      </c>
      <c r="J1301">
        <v>50</v>
      </c>
      <c r="K1301">
        <v>50</v>
      </c>
      <c r="L1301">
        <v>1</v>
      </c>
    </row>
    <row r="1302">
      <c r="A1302" t="str">
        <v>娘</v>
      </c>
      <c r="B1302">
        <v>10</v>
      </c>
      <c r="C1302" t="b">
        <v>1</v>
      </c>
      <c r="D1302" t="str">
        <v>ジョウ ニョウ</v>
      </c>
      <c r="E1302" t="str">
        <v>むすめ こ</v>
      </c>
      <c r="F1302">
        <v>0</v>
      </c>
      <c r="G1302" t="str">
        <v>むすめ。こ。若い女性。未婚の女性。 むすめ。自分の子である女性。</v>
      </c>
      <c r="I1302">
        <v>10</v>
      </c>
      <c r="J1302">
        <v>50</v>
      </c>
      <c r="K1302">
        <v>50</v>
      </c>
      <c r="L1302">
        <v>1</v>
      </c>
    </row>
    <row r="1303">
      <c r="A1303" t="str">
        <v>涙</v>
      </c>
      <c r="B1303">
        <v>10</v>
      </c>
      <c r="C1303" t="b">
        <v>1</v>
      </c>
      <c r="D1303" t="str">
        <v>ルイ</v>
      </c>
      <c r="E1303" t="str">
        <v>なみだ</v>
      </c>
      <c r="F1303">
        <v>0</v>
      </c>
      <c r="G1303" t="str">
        <v>なみだ。 なみだを流す。泣く。</v>
      </c>
      <c r="I1303">
        <v>10</v>
      </c>
      <c r="J1303">
        <v>50</v>
      </c>
      <c r="K1303">
        <v>50</v>
      </c>
      <c r="L1303">
        <v>1</v>
      </c>
    </row>
    <row r="1304">
      <c r="A1304" t="str">
        <v>哺</v>
      </c>
      <c r="B1304">
        <v>10</v>
      </c>
      <c r="C1304" t="b">
        <v>1</v>
      </c>
      <c r="D1304" t="str">
        <v>ホ</v>
      </c>
      <c r="E1304" t="str">
        <v>はぐく（む） ふく（む）</v>
      </c>
      <c r="F1304">
        <v>0</v>
      </c>
      <c r="G1304" t="str">
        <v>はぐくむ。そだてる。やしなう。親鳥が子に口移しでえさを与えて育てる。 ふくむ。口の中に食べ物をふくむ。また、その食べ物。</v>
      </c>
      <c r="H1304" t="str">
        <v>#天空</v>
      </c>
      <c r="I1304">
        <v>10</v>
      </c>
      <c r="J1304">
        <v>35</v>
      </c>
      <c r="K1304">
        <v>70</v>
      </c>
      <c r="L1304">
        <v>1</v>
      </c>
    </row>
    <row r="1305">
      <c r="A1305" t="str">
        <v>脅</v>
      </c>
      <c r="B1305">
        <v>10</v>
      </c>
      <c r="C1305" t="b">
        <v>1</v>
      </c>
      <c r="D1305" t="str">
        <v>キョウ</v>
      </c>
      <c r="E1305" t="str">
        <v>おど（かす） おど（す） おびや（かす） おび（える）</v>
      </c>
      <c r="F1305">
        <v>0</v>
      </c>
      <c r="G1305" t="str">
        <v>おどす。おびやかす。おどかす。おびえる。 そびやかす。そびえるようにする。高く上げる。 わき。わきばら。胸の両外側。両腕の下。＝脇</v>
      </c>
      <c r="I1305">
        <v>10</v>
      </c>
      <c r="J1305">
        <v>50</v>
      </c>
      <c r="K1305">
        <v>50</v>
      </c>
      <c r="L1305">
        <v>1</v>
      </c>
    </row>
    <row r="1306">
      <c r="A1306" t="str">
        <v>疾</v>
      </c>
      <c r="B1306">
        <v>10</v>
      </c>
      <c r="C1306" t="b">
        <v>1</v>
      </c>
      <c r="D1306" t="str">
        <v>シツ</v>
      </c>
      <c r="E1306" t="str">
        <v>と（く） と（し） にく（む） はや（い） やまい やま（しい） や（む）</v>
      </c>
      <c r="F1306">
        <v>0</v>
      </c>
      <c r="G1306" t="str">
        <v>やまい。病気。 やむ。なやむ。苦しむ。心配する。わずらう。 欠点。くせ。悪癖。傷。 にくむ。ねたむ。うらむ。 はやい。すばやい。とし。はげしい。 はやく。すばやく。とく。はげしく。</v>
      </c>
      <c r="I1306">
        <v>10</v>
      </c>
      <c r="J1306">
        <v>50</v>
      </c>
      <c r="K1306">
        <v>50</v>
      </c>
      <c r="L1306">
        <v>1</v>
      </c>
    </row>
    <row r="1307">
      <c r="A1307" t="str">
        <v>衰</v>
      </c>
      <c r="B1307">
        <v>10</v>
      </c>
      <c r="C1307" t="b">
        <v>1</v>
      </c>
      <c r="D1307" t="str">
        <v>スイ サイ シ</v>
      </c>
      <c r="E1307" t="str">
        <v>おとろ（える）</v>
      </c>
      <c r="F1307">
        <v>0</v>
      </c>
      <c r="G1307" t="str">
        <v>おとろえる。勢いや力がなくなる。かすかになる。弱る。 喪服。 そぐ。へらす。差がつく。</v>
      </c>
      <c r="I1307">
        <v>10</v>
      </c>
      <c r="J1307">
        <v>50</v>
      </c>
      <c r="K1307">
        <v>50</v>
      </c>
      <c r="L1307">
        <v>1</v>
      </c>
    </row>
    <row r="1308">
      <c r="A1308" t="str">
        <v>烏</v>
      </c>
      <c r="B1308">
        <v>10</v>
      </c>
      <c r="C1308" t="b">
        <v>0</v>
      </c>
      <c r="D1308" t="str">
        <v>ウ オ</v>
      </c>
      <c r="E1308" t="str">
        <v>いずく（んぞ） からす くろ（い） なん（ぞ）</v>
      </c>
      <c r="F1308">
        <v>0</v>
      </c>
      <c r="G1308" t="str">
        <v>からす。鳥の名。カラス科の鳥の総称。 黒い。黒色。 ああ。感嘆・嘆息のことば。 太陽。日。 「なんぞ」「いずくんぞ」と読み、「どうして・・・か」の意。</v>
      </c>
      <c r="H1308" t="str">
        <v>#天空</v>
      </c>
      <c r="I1308">
        <v>10</v>
      </c>
      <c r="J1308">
        <v>50</v>
      </c>
      <c r="K1308">
        <v>50</v>
      </c>
      <c r="L1308">
        <v>1</v>
      </c>
    </row>
    <row r="1309">
      <c r="A1309" t="str">
        <v>匿</v>
      </c>
      <c r="B1309">
        <v>10</v>
      </c>
      <c r="C1309" t="b">
        <v>1</v>
      </c>
      <c r="D1309" t="str">
        <v>トク ジョク</v>
      </c>
      <c r="E1309" t="str">
        <v>かくま（う） かく（れる）</v>
      </c>
      <c r="F1309" t="str">
        <v>のく</v>
      </c>
      <c r="G1309" t="str">
        <v>かくまう。かくれる。かくす。姿をかくす。公にしない。人の目にふれないようにする。</v>
      </c>
      <c r="I1309">
        <v>15</v>
      </c>
      <c r="J1309">
        <v>50</v>
      </c>
      <c r="K1309">
        <v>50</v>
      </c>
      <c r="L1309">
        <v>1</v>
      </c>
    </row>
    <row r="1310">
      <c r="A1310" t="str">
        <v>桧</v>
      </c>
      <c r="B1310">
        <v>10</v>
      </c>
      <c r="C1310" t="b">
        <v>0</v>
      </c>
      <c r="D1310" t="str">
        <v>カイ</v>
      </c>
      <c r="E1310" t="str">
        <v>ひ ひのき</v>
      </c>
      <c r="F1310">
        <v>0</v>
      </c>
      <c r="G1310" t="str">
        <v>いぶき。びゃくしん。いぶきびゃくしん。ヒノキ科の常緑高木。 ひのき。ひ。ヒノキ科の常緑高木。</v>
      </c>
      <c r="H1310" t="str">
        <v>#自然</v>
      </c>
      <c r="I1310">
        <v>10</v>
      </c>
      <c r="J1310">
        <v>45</v>
      </c>
      <c r="K1310">
        <v>65</v>
      </c>
      <c r="L1310">
        <v>0</v>
      </c>
      <c r="M1310">
        <f>VLOOKUP(A1310,[1]kanji_data!$A:$N,14,FALSE)</f>
        <v>0</v>
      </c>
    </row>
    <row r="1311">
      <c r="A1311" t="str">
        <v>莞</v>
      </c>
      <c r="B1311">
        <v>10</v>
      </c>
      <c r="C1311" t="b">
        <v>0</v>
      </c>
      <c r="D1311" t="str">
        <v>カン</v>
      </c>
      <c r="E1311" t="str">
        <v>い ふとい むしろ</v>
      </c>
      <c r="F1311" t="str">
        <v>ふと</v>
      </c>
      <c r="G1311" t="str">
        <v>藺（い）。藺草。イグサ科の多年草。筵を織るのに用いる。 太藺（ふとい）。カヤツリグサ科の植物。 にこにこしている。にっこり笑うさま。</v>
      </c>
      <c r="H1311" t="str">
        <v>#健康 #自然</v>
      </c>
      <c r="I1311">
        <v>95</v>
      </c>
      <c r="J1311">
        <v>45</v>
      </c>
      <c r="K1311">
        <v>65</v>
      </c>
      <c r="L1311">
        <v>0</v>
      </c>
      <c r="M1311">
        <f>VLOOKUP(A1311,[1]kanji_data!$A:$N,14,FALSE)</f>
        <v>0</v>
      </c>
    </row>
    <row r="1312">
      <c r="A1312" t="str">
        <v>桔</v>
      </c>
      <c r="B1312">
        <v>10</v>
      </c>
      <c r="C1312" t="b">
        <v>0</v>
      </c>
      <c r="D1312" t="str">
        <v>キツ ケツ</v>
      </c>
      <c r="E1312">
        <v>0</v>
      </c>
      <c r="F1312" t="str">
        <v>き</v>
      </c>
      <c r="G1312" t="str">
        <v>「桔梗（けっこう・ききょう）」は、草の名。キキョウ科の多年草。日本では、秋の七草の一つ。</v>
      </c>
      <c r="H1312" t="str">
        <v>#自然 #花・彩</v>
      </c>
      <c r="I1312">
        <v>85</v>
      </c>
      <c r="J1312">
        <v>50</v>
      </c>
      <c r="K1312">
        <v>50</v>
      </c>
      <c r="L1312">
        <v>0</v>
      </c>
      <c r="M1312">
        <f>VLOOKUP(A1312,[1]kanji_data!$A:$N,14,FALSE)</f>
        <v>0</v>
      </c>
    </row>
    <row r="1313">
      <c r="A1313" t="str">
        <v>紛</v>
      </c>
      <c r="B1313">
        <v>10</v>
      </c>
      <c r="C1313" t="b">
        <v>1</v>
      </c>
      <c r="D1313" t="str">
        <v>フン</v>
      </c>
      <c r="E1313" t="str">
        <v>まぎ（らす） まぎ（らわしい） まぎ（らわす） まぎ（れる） まが（う） まぐ（れ） みだ（れる）</v>
      </c>
      <c r="F1313">
        <v>0</v>
      </c>
      <c r="G1313" t="str">
        <v>まぎれる。まがう。まごう。まぎれこむ。まぎらわしい。 みだれる。もつれる。もめる。入り乱れる。 多いさま。 旗のふき流し。</v>
      </c>
      <c r="I1313">
        <v>10</v>
      </c>
      <c r="J1313">
        <v>50</v>
      </c>
      <c r="K1313">
        <v>50</v>
      </c>
      <c r="L1313">
        <v>1</v>
      </c>
    </row>
    <row r="1314">
      <c r="A1314" t="str">
        <v>矩</v>
      </c>
      <c r="B1314">
        <v>10</v>
      </c>
      <c r="C1314" t="b">
        <v>0</v>
      </c>
      <c r="D1314" t="str">
        <v>ク</v>
      </c>
      <c r="E1314" t="str">
        <v>さしがね のり</v>
      </c>
      <c r="F1314">
        <v>0</v>
      </c>
      <c r="G1314" t="str">
        <v>さしがね。かねざし。かねじゃく。 四角形。 のり。おきて。きまり。手本。</v>
      </c>
      <c r="H1314" t="str">
        <v>#品格</v>
      </c>
      <c r="I1314">
        <v>10</v>
      </c>
      <c r="J1314">
        <v>70</v>
      </c>
      <c r="K1314">
        <v>60</v>
      </c>
      <c r="L1314">
        <v>0</v>
      </c>
      <c r="M1314">
        <f>VLOOKUP(A1314,[1]kanji_data!$A:$N,14,FALSE)</f>
        <v>0</v>
      </c>
    </row>
    <row r="1315">
      <c r="A1315" t="str">
        <v>桂</v>
      </c>
      <c r="B1315">
        <v>10</v>
      </c>
      <c r="C1315" t="b">
        <v>0</v>
      </c>
      <c r="D1315" t="str">
        <v>ケイ</v>
      </c>
      <c r="E1315" t="str">
        <v>かつら</v>
      </c>
      <c r="F1315" t="str">
        <v>かつ よし</v>
      </c>
      <c r="G1315" t="str">
        <v>にっけい・もくせいなどの香木の総称。 中国の伝説で、月に生えているという木。 かつら。カツラ科の落葉高木。</v>
      </c>
      <c r="H1315" t="str">
        <v>#天空 #自然</v>
      </c>
      <c r="I1315">
        <v>100</v>
      </c>
      <c r="J1315">
        <v>60</v>
      </c>
      <c r="K1315">
        <v>60</v>
      </c>
      <c r="L1315">
        <v>0</v>
      </c>
      <c r="M1315">
        <f>VLOOKUP(A1315,[1]kanji_data!$A:$N,14,FALSE)</f>
        <v>0</v>
      </c>
    </row>
    <row r="1316">
      <c r="A1316" t="str">
        <v>倣</v>
      </c>
      <c r="B1316">
        <v>10</v>
      </c>
      <c r="C1316" t="b">
        <v>1</v>
      </c>
      <c r="D1316" t="str">
        <v>ホウ</v>
      </c>
      <c r="E1316" t="str">
        <v>なら（う）</v>
      </c>
      <c r="F1316" t="str">
        <v>より</v>
      </c>
      <c r="G1316" t="str">
        <v>ならう。見本と同じようにする。まねる。</v>
      </c>
      <c r="I1316">
        <v>15</v>
      </c>
      <c r="J1316">
        <v>50</v>
      </c>
      <c r="K1316">
        <v>50</v>
      </c>
      <c r="L1316">
        <v>1</v>
      </c>
    </row>
    <row r="1317">
      <c r="A1317" t="str">
        <v>倖</v>
      </c>
      <c r="B1317">
        <v>10</v>
      </c>
      <c r="C1317" t="b">
        <v>0</v>
      </c>
      <c r="D1317" t="str">
        <v>コウ</v>
      </c>
      <c r="E1317" t="str">
        <v>さいわ（い） へつら（う）</v>
      </c>
      <c r="F1317" t="str">
        <v>さ さち ゆき</v>
      </c>
      <c r="G1317" t="str">
        <v>さいわい。思いもよらぬ幸運。 へつらう。よこしま。 お気に入り。君主などのお気に入り。</v>
      </c>
      <c r="H1317" t="str">
        <v>#幸福 #心・志</v>
      </c>
      <c r="I1317">
        <v>90</v>
      </c>
      <c r="J1317">
        <v>50</v>
      </c>
      <c r="K1317">
        <v>55</v>
      </c>
      <c r="L1317">
        <v>0</v>
      </c>
      <c r="M1317">
        <f>VLOOKUP(A1317,[1]kanji_data!$A:$N,14,FALSE)</f>
        <v>0</v>
      </c>
    </row>
    <row r="1318">
      <c r="A1318" t="str">
        <v>晃</v>
      </c>
      <c r="B1318">
        <v>10</v>
      </c>
      <c r="C1318" t="b">
        <v>0</v>
      </c>
      <c r="D1318" t="str">
        <v>コウ</v>
      </c>
      <c r="E1318" t="str">
        <v>あき（らか） ひか（る）</v>
      </c>
      <c r="F1318" t="str">
        <v>あきら きら てる ひかる みつ</v>
      </c>
      <c r="G1318" t="str">
        <v>あきらか。ひかる。かがやく。あかるい。</v>
      </c>
      <c r="H1318" t="str">
        <v>#天空</v>
      </c>
      <c r="I1318">
        <v>100</v>
      </c>
      <c r="J1318">
        <v>60</v>
      </c>
      <c r="K1318">
        <v>55</v>
      </c>
      <c r="L1318">
        <v>0</v>
      </c>
      <c r="M1318">
        <f>VLOOKUP(A1318,[1]kanji_data!$A:$N,14,FALSE)</f>
        <v>0</v>
      </c>
    </row>
    <row r="1319">
      <c r="A1319" t="str">
        <v>浩</v>
      </c>
      <c r="B1319">
        <v>10</v>
      </c>
      <c r="C1319" t="b">
        <v>0</v>
      </c>
      <c r="D1319" t="str">
        <v>コウ</v>
      </c>
      <c r="E1319" t="str">
        <v>おお（い） おお（きい） おご（る） ひろ（い）</v>
      </c>
      <c r="F1319" t="str">
        <v>いさむ おおい きよし はる ひろ ひろし ゆたか</v>
      </c>
      <c r="G1319" t="str">
        <v>広い。大きい。豊かである。広大なさま。 大いに。盛大に。 おごる。いばる。</v>
      </c>
      <c r="H1319" t="str">
        <v>#繁栄</v>
      </c>
      <c r="I1319">
        <v>100</v>
      </c>
      <c r="J1319">
        <v>65</v>
      </c>
      <c r="K1319">
        <v>65</v>
      </c>
      <c r="L1319">
        <v>0</v>
      </c>
      <c r="M1319">
        <f>VLOOKUP(A1319,[1]kanji_data!$A:$N,14,FALSE)</f>
        <v>0</v>
      </c>
    </row>
    <row r="1320">
      <c r="A1320" t="str">
        <v>紘</v>
      </c>
      <c r="B1320">
        <v>10</v>
      </c>
      <c r="C1320" t="b">
        <v>0</v>
      </c>
      <c r="D1320" t="str">
        <v>コウ</v>
      </c>
      <c r="E1320" t="str">
        <v>おおづな ひろ（い）</v>
      </c>
      <c r="F1320" t="str">
        <v>つな ひろ ひろし</v>
      </c>
      <c r="G1320" t="str">
        <v>おおづな。大きい綱。 ひろい。大きい。 ひも。冠のひも。 境界。果て。</v>
      </c>
      <c r="H1320" t="str">
        <v>#繁栄</v>
      </c>
      <c r="I1320">
        <v>95</v>
      </c>
      <c r="J1320">
        <v>60</v>
      </c>
      <c r="K1320">
        <v>60</v>
      </c>
      <c r="L1320">
        <v>0</v>
      </c>
      <c r="M1320">
        <f>VLOOKUP(A1320,[1]kanji_data!$A:$N,14,FALSE)</f>
        <v>0</v>
      </c>
    </row>
    <row r="1321">
      <c r="A1321" t="str">
        <v>紗</v>
      </c>
      <c r="B1321">
        <v>10</v>
      </c>
      <c r="C1321" t="b">
        <v>0</v>
      </c>
      <c r="D1321" t="str">
        <v>サ シャ</v>
      </c>
      <c r="E1321" t="str">
        <v>うすぎぬ</v>
      </c>
      <c r="F1321" t="str">
        <v>すず たえ</v>
      </c>
      <c r="G1321" t="str">
        <v>うすぎぬ。薄い地の絹織物。</v>
      </c>
      <c r="H1321" t="str">
        <v>#花・彩</v>
      </c>
      <c r="I1321">
        <v>100</v>
      </c>
      <c r="J1321">
        <v>30</v>
      </c>
      <c r="K1321">
        <v>90</v>
      </c>
      <c r="L1321">
        <v>0</v>
      </c>
      <c r="M1321">
        <f>VLOOKUP(A1321,[1]kanji_data!$A:$N,14,FALSE)</f>
        <v>0</v>
      </c>
    </row>
    <row r="1322">
      <c r="A1322" t="str">
        <v>埋</v>
      </c>
      <c r="B1322">
        <v>10</v>
      </c>
      <c r="C1322" t="b">
        <v>1</v>
      </c>
      <c r="D1322" t="str">
        <v>マイ</v>
      </c>
      <c r="E1322" t="str">
        <v>う（まる） う（める） う（もれる） い（ける） うず（まる） うず（もれる）</v>
      </c>
      <c r="F1322">
        <v>0</v>
      </c>
      <c r="G1322" t="str">
        <v>うめる。うずめる。いける。土の中にうめる。 うまる。うもれる。うずまる。うずもれる。人の目にふれなくなる。 うめる。不足した分をほかで補う。</v>
      </c>
      <c r="I1322">
        <v>10</v>
      </c>
      <c r="J1322">
        <v>50</v>
      </c>
      <c r="K1322">
        <v>50</v>
      </c>
      <c r="L1322">
        <v>1</v>
      </c>
    </row>
    <row r="1323">
      <c r="A1323" t="str">
        <v>柴</v>
      </c>
      <c r="B1323">
        <v>10</v>
      </c>
      <c r="C1323" t="b">
        <v>0</v>
      </c>
      <c r="D1323" t="str">
        <v>サイ</v>
      </c>
      <c r="E1323" t="str">
        <v>しば ふさ（ぐ）</v>
      </c>
      <c r="F1323">
        <v>0</v>
      </c>
      <c r="G1323" t="str">
        <v>しば。山野に生える小さな雑木。また、その枝を切って束ねたもの。 祭りの名。しばを燃やして天をまつる。</v>
      </c>
      <c r="H1323" t="str">
        <v>#自然</v>
      </c>
      <c r="I1323">
        <v>10</v>
      </c>
      <c r="J1323">
        <v>50</v>
      </c>
      <c r="K1323">
        <v>50</v>
      </c>
      <c r="L1323">
        <v>1</v>
      </c>
    </row>
    <row r="1324">
      <c r="A1324" t="str">
        <v>栖</v>
      </c>
      <c r="B1324">
        <v>10</v>
      </c>
      <c r="C1324" t="b">
        <v>0</v>
      </c>
      <c r="D1324" t="str">
        <v>サイ セイ</v>
      </c>
      <c r="E1324" t="str">
        <v>す すみか す（む）</v>
      </c>
      <c r="F1324">
        <v>0</v>
      </c>
      <c r="G1324" t="str">
        <v>すむ。鳥が巣をつくってすむ。＝棲 すむ。やどる。とどまる。＝棲 す。すみか。鳥のすみか。＝棲 「栖栖」は、あわただしいさま。忙しいさま。＝棲棲</v>
      </c>
      <c r="H1324" t="str">
        <v>#繁栄</v>
      </c>
      <c r="I1324">
        <v>10</v>
      </c>
      <c r="J1324">
        <v>40</v>
      </c>
      <c r="K1324">
        <v>75</v>
      </c>
      <c r="L1324">
        <v>0</v>
      </c>
    </row>
    <row r="1325">
      <c r="A1325" t="str">
        <v>朔</v>
      </c>
      <c r="B1325">
        <v>10</v>
      </c>
      <c r="C1325" t="b">
        <v>0</v>
      </c>
      <c r="D1325" t="str">
        <v>サク</v>
      </c>
      <c r="E1325" t="str">
        <v>きた ついたち</v>
      </c>
      <c r="F1325" t="str">
        <v>はじめ もと</v>
      </c>
      <c r="G1325" t="str">
        <v>ついたち。陰暦で、月の最初の日。第一日。 こよみ。天子が諸侯に与えたこよみ。 きた。方位の北。十二支を方位にあてると、第一番の子（ね）が北に位することによるもの。</v>
      </c>
      <c r="H1325" t="str">
        <v>#天空</v>
      </c>
      <c r="I1325">
        <v>80</v>
      </c>
      <c r="J1325">
        <v>50</v>
      </c>
      <c r="K1325">
        <v>55</v>
      </c>
      <c r="L1325">
        <v>0</v>
      </c>
      <c r="M1325">
        <f>VLOOKUP(A1325,[1]kanji_data!$A:$N,14,FALSE)</f>
        <v>0</v>
      </c>
    </row>
    <row r="1326">
      <c r="A1326" t="str">
        <v>蚊</v>
      </c>
      <c r="B1326">
        <v>10</v>
      </c>
      <c r="C1326" t="b">
        <v>1</v>
      </c>
      <c r="D1326" t="str">
        <v>ブン</v>
      </c>
      <c r="E1326" t="str">
        <v>か</v>
      </c>
      <c r="F1326">
        <v>0</v>
      </c>
      <c r="G1326" t="str">
        <v>か。ぼうふらの成虫。人や動物の血を吸う。</v>
      </c>
      <c r="I1326">
        <v>10</v>
      </c>
      <c r="J1326">
        <v>50</v>
      </c>
      <c r="K1326">
        <v>50</v>
      </c>
      <c r="L1326">
        <v>1</v>
      </c>
    </row>
    <row r="1327">
      <c r="A1327" t="str">
        <v>砥</v>
      </c>
      <c r="B1327">
        <v>10</v>
      </c>
      <c r="C1327" t="b">
        <v>0</v>
      </c>
      <c r="D1327" t="str">
        <v>シ</v>
      </c>
      <c r="E1327" t="str">
        <v>と といし と（ぐ） みが（く）</v>
      </c>
      <c r="F1327">
        <v>0</v>
      </c>
      <c r="G1327" t="str">
        <v>と。といし。刃物をとぐためのきめの細かい石。 とぐ。みがく。きたえる。はげむ。 平らにする。等しくする。平らにならす。</v>
      </c>
      <c r="H1327" t="str">
        <v>#繁栄</v>
      </c>
      <c r="I1327">
        <v>10</v>
      </c>
      <c r="J1327">
        <v>70</v>
      </c>
      <c r="K1327">
        <v>55</v>
      </c>
      <c r="L1327">
        <v>0</v>
      </c>
      <c r="M1327">
        <f>VLOOKUP(A1327,[1]kanji_data!$A:$N,14,FALSE)</f>
        <v>0</v>
      </c>
    </row>
    <row r="1328">
      <c r="A1328" t="str">
        <v>飢</v>
      </c>
      <c r="B1328">
        <v>10</v>
      </c>
      <c r="C1328" t="b">
        <v>1</v>
      </c>
      <c r="D1328" t="str">
        <v>キ</v>
      </c>
      <c r="E1328" t="str">
        <v>う（える） う（え）</v>
      </c>
      <c r="F1328">
        <v>0</v>
      </c>
      <c r="G1328" t="str">
        <v>うえる。うえ。ひどく腹が減って苦しむ。 食物がない。食物が不足する。 穀物のできがよくない。不作。</v>
      </c>
      <c r="I1328">
        <v>10</v>
      </c>
      <c r="J1328">
        <v>50</v>
      </c>
      <c r="K1328">
        <v>50</v>
      </c>
      <c r="L1328">
        <v>1</v>
      </c>
    </row>
    <row r="1329">
      <c r="A1329" t="str">
        <v>峻</v>
      </c>
      <c r="B1329">
        <v>10</v>
      </c>
      <c r="C1329" t="b">
        <v>0</v>
      </c>
      <c r="D1329" t="str">
        <v>シュン</v>
      </c>
      <c r="E1329" t="str">
        <v>おお（きい） きび（しい） けわ（しい） たか（い）</v>
      </c>
      <c r="F1329" t="str">
        <v>たか たかし ちか とし みち みね</v>
      </c>
      <c r="G1329" t="str">
        <v>たかい。おおきい。けわしい。やまが高く険しくそびえ立つ。 きびしい。態度などがきびしい。</v>
      </c>
      <c r="H1329" t="str">
        <v>#品格 #自然</v>
      </c>
      <c r="I1329">
        <v>100</v>
      </c>
      <c r="J1329">
        <v>85</v>
      </c>
      <c r="K1329">
        <v>50</v>
      </c>
      <c r="L1329">
        <v>0</v>
      </c>
      <c r="M1329">
        <f>VLOOKUP(A1329,[1]kanji_data!$A:$N,14,FALSE)</f>
        <v>0</v>
      </c>
    </row>
    <row r="1330">
      <c r="A1330" t="str">
        <v>隼</v>
      </c>
      <c r="B1330">
        <v>10</v>
      </c>
      <c r="C1330" t="b">
        <v>0</v>
      </c>
      <c r="D1330" t="str">
        <v>シュン ジュン</v>
      </c>
      <c r="E1330" t="str">
        <v>はやぶさ</v>
      </c>
      <c r="F1330" t="str">
        <v>たか たかし とし はや はやし はやと</v>
      </c>
      <c r="G1330" t="str">
        <v>はやぶさ。ハヤブサ科の鳥。</v>
      </c>
      <c r="H1330" t="str">
        <v>#勇気 #天空</v>
      </c>
      <c r="I1330">
        <v>100</v>
      </c>
      <c r="J1330">
        <v>100</v>
      </c>
      <c r="K1330">
        <v>30</v>
      </c>
      <c r="L1330">
        <v>0</v>
      </c>
      <c r="M1330">
        <f>VLOOKUP(A1330,[1]kanji_data!$A:$N,14,FALSE)</f>
        <v>0</v>
      </c>
    </row>
    <row r="1331">
      <c r="A1331" t="str">
        <v>恕</v>
      </c>
      <c r="B1331">
        <v>10</v>
      </c>
      <c r="C1331" t="b">
        <v>0</v>
      </c>
      <c r="D1331" t="str">
        <v>ショ ジョ</v>
      </c>
      <c r="E1331" t="str">
        <v>おもいや（る） ゆる（す）</v>
      </c>
      <c r="F1331" t="str">
        <v>ひろ ゆき よし</v>
      </c>
      <c r="G1331" t="str">
        <v>おもいやる。相手の心情をおしはかり、心をくばる。 ゆるす。大目にみる。むやみにとがめることなく寛大に扱う。</v>
      </c>
      <c r="H1331" t="str">
        <v>#心・志 #慈愛</v>
      </c>
      <c r="I1331">
        <v>80</v>
      </c>
      <c r="J1331">
        <v>45</v>
      </c>
      <c r="K1331">
        <v>70</v>
      </c>
      <c r="L1331">
        <v>0</v>
      </c>
      <c r="M1331">
        <f>VLOOKUP(A1331,[1]kanji_data!$A:$N,14,FALSE)</f>
        <v>0</v>
      </c>
    </row>
    <row r="1332">
      <c r="A1332" t="str">
        <v>唆</v>
      </c>
      <c r="B1332">
        <v>10</v>
      </c>
      <c r="C1332" t="b">
        <v>1</v>
      </c>
      <c r="D1332" t="str">
        <v>サ</v>
      </c>
      <c r="E1332" t="str">
        <v>そそのか（す）</v>
      </c>
      <c r="F1332">
        <v>0</v>
      </c>
      <c r="G1332" t="str">
        <v>そそのかす。けしかける。その気にさせる。すすめる。</v>
      </c>
      <c r="I1332">
        <v>10</v>
      </c>
      <c r="J1332">
        <v>50</v>
      </c>
      <c r="K1332">
        <v>50</v>
      </c>
      <c r="L1332">
        <v>1</v>
      </c>
    </row>
    <row r="1333">
      <c r="A1333" t="str">
        <v>殉</v>
      </c>
      <c r="B1333">
        <v>10</v>
      </c>
      <c r="C1333" t="b">
        <v>1</v>
      </c>
      <c r="D1333" t="str">
        <v>ジュン</v>
      </c>
      <c r="E1333" t="str">
        <v>したが（う）</v>
      </c>
      <c r="F1333">
        <v>0</v>
      </c>
      <c r="G1333" t="str">
        <v>したがう。主君などのあとを追って死ぬ。 したがう。ついて行く。また、命をかけて事にあたる。</v>
      </c>
      <c r="I1333">
        <v>10</v>
      </c>
      <c r="J1333">
        <v>50</v>
      </c>
      <c r="K1333">
        <v>50</v>
      </c>
      <c r="L1333">
        <v>1</v>
      </c>
    </row>
    <row r="1334">
      <c r="A1334" t="str">
        <v>晋</v>
      </c>
      <c r="B1334">
        <v>10</v>
      </c>
      <c r="C1334" t="b">
        <v>0</v>
      </c>
      <c r="D1334" t="str">
        <v>シン</v>
      </c>
      <c r="E1334" t="str">
        <v>すす（む）</v>
      </c>
      <c r="F1334" t="str">
        <v>あき くに すすむ ゆき</v>
      </c>
      <c r="G1334" t="str">
        <v>すすむ。勢いよくすすむ。</v>
      </c>
      <c r="H1334" t="str">
        <v>#繁栄</v>
      </c>
      <c r="I1334">
        <v>100</v>
      </c>
      <c r="J1334">
        <v>65</v>
      </c>
      <c r="K1334">
        <v>45</v>
      </c>
      <c r="L1334">
        <v>0</v>
      </c>
      <c r="M1334">
        <f>VLOOKUP(A1334,[1]kanji_data!$A:$N,14,FALSE)</f>
        <v>0</v>
      </c>
    </row>
    <row r="1335">
      <c r="A1335" t="str">
        <v>秦</v>
      </c>
      <c r="B1335">
        <v>10</v>
      </c>
      <c r="C1335" t="b">
        <v>0</v>
      </c>
      <c r="D1335" t="str">
        <v>シン</v>
      </c>
      <c r="E1335" t="str">
        <v>はた</v>
      </c>
      <c r="F1335">
        <v>0</v>
      </c>
      <c r="G1335" t="str">
        <v>古代中国の国名。戦国時代の七雄の一つ。 はた。姓氏のひとつ。</v>
      </c>
      <c r="H1335" t="str">
        <v>#勇気</v>
      </c>
      <c r="I1335">
        <v>30</v>
      </c>
      <c r="J1335">
        <v>75</v>
      </c>
      <c r="K1335">
        <v>40</v>
      </c>
      <c r="L1335">
        <v>0</v>
      </c>
      <c r="M1335">
        <f>VLOOKUP(A1335,[1]kanji_data!$A:$N,14,FALSE)</f>
        <v>0</v>
      </c>
    </row>
    <row r="1336">
      <c r="A1336" t="str">
        <v>症</v>
      </c>
      <c r="B1336">
        <v>10</v>
      </c>
      <c r="C1336" t="b">
        <v>1</v>
      </c>
      <c r="D1336" t="str">
        <v>ショウ</v>
      </c>
      <c r="E1336" t="str">
        <v>しるし</v>
      </c>
      <c r="F1336">
        <v>0</v>
      </c>
      <c r="G1336" t="str">
        <v>しるし。病気の状態・兆候・様子。</v>
      </c>
      <c r="I1336">
        <v>10</v>
      </c>
      <c r="J1336">
        <v>50</v>
      </c>
      <c r="K1336">
        <v>50</v>
      </c>
      <c r="L1336">
        <v>1</v>
      </c>
    </row>
    <row r="1337">
      <c r="A1337" t="str">
        <v>唇</v>
      </c>
      <c r="B1337">
        <v>10</v>
      </c>
      <c r="C1337" t="b">
        <v>1</v>
      </c>
      <c r="D1337" t="str">
        <v>シン</v>
      </c>
      <c r="E1337" t="str">
        <v>くちびる</v>
      </c>
      <c r="F1337">
        <v>0</v>
      </c>
      <c r="G1337" t="str">
        <v>くちびる。 ふち。へり。もののはしの部分。 おどろく。口を震わせる。</v>
      </c>
      <c r="I1337">
        <v>10</v>
      </c>
      <c r="J1337">
        <v>50</v>
      </c>
      <c r="K1337">
        <v>50</v>
      </c>
      <c r="L1337">
        <v>1</v>
      </c>
    </row>
    <row r="1338">
      <c r="A1338" t="str">
        <v>閃</v>
      </c>
      <c r="B1338">
        <v>10</v>
      </c>
      <c r="C1338" t="b">
        <v>0</v>
      </c>
      <c r="D1338" t="str">
        <v>セン</v>
      </c>
      <c r="E1338" t="str">
        <v>ひらめ（く）</v>
      </c>
      <c r="F1338" t="str">
        <v>さき ひかる みつ</v>
      </c>
      <c r="G1338" t="str">
        <v>ひらめく。ちらっと見える。 ひらめく。瞬間的に光る。 さける。さっと身をかわす。 いなずま。いなびかり。</v>
      </c>
      <c r="H1338" t="str">
        <v>#天空</v>
      </c>
      <c r="I1338">
        <v>40</v>
      </c>
      <c r="J1338">
        <v>50</v>
      </c>
      <c r="K1338">
        <v>65</v>
      </c>
      <c r="L1338">
        <v>0</v>
      </c>
      <c r="M1338">
        <f>VLOOKUP(A1338,[1]kanji_data!$A:$N,14,FALSE)</f>
        <v>0</v>
      </c>
    </row>
    <row r="1339">
      <c r="A1339" t="str">
        <v>悌</v>
      </c>
      <c r="B1339">
        <v>10</v>
      </c>
      <c r="C1339" t="b">
        <v>0</v>
      </c>
      <c r="D1339" t="str">
        <v>ダイ テイ</v>
      </c>
      <c r="E1339">
        <v>0</v>
      </c>
      <c r="F1339">
        <v>0</v>
      </c>
      <c r="G1339" t="str">
        <v>したがう。兄や目上の者にすなおに従う。 兄弟の仲がよい。</v>
      </c>
      <c r="H1339" t="str">
        <v>#慈愛 #調和</v>
      </c>
      <c r="I1339">
        <v>40</v>
      </c>
      <c r="J1339">
        <v>65</v>
      </c>
      <c r="K1339">
        <v>55</v>
      </c>
      <c r="L1339">
        <v>0</v>
      </c>
      <c r="M1339">
        <f>VLOOKUP(A1339,[1]kanji_data!$A:$N,14,FALSE)</f>
        <v>0</v>
      </c>
    </row>
    <row r="1340">
      <c r="A1340" t="str">
        <v>逝</v>
      </c>
      <c r="B1340">
        <v>10</v>
      </c>
      <c r="C1340" t="b">
        <v>1</v>
      </c>
      <c r="D1340" t="str">
        <v>セイ</v>
      </c>
      <c r="E1340" t="str">
        <v>い（く） ゆ（く）</v>
      </c>
      <c r="F1340" t="str">
        <v>ゆき</v>
      </c>
      <c r="G1340" t="str">
        <v>ゆく。進む。走る。 去る。亡くなる。 過ぎ行く。</v>
      </c>
      <c r="I1340">
        <v>15</v>
      </c>
      <c r="J1340">
        <v>50</v>
      </c>
      <c r="K1340">
        <v>50</v>
      </c>
      <c r="L1340">
        <v>1</v>
      </c>
    </row>
    <row r="1341">
      <c r="A1341" t="str">
        <v>耽</v>
      </c>
      <c r="B1341">
        <v>10</v>
      </c>
      <c r="C1341" t="b">
        <v>0</v>
      </c>
      <c r="D1341" t="str">
        <v>タン</v>
      </c>
      <c r="E1341" t="str">
        <v>ふけ（る）</v>
      </c>
      <c r="F1341">
        <v>0</v>
      </c>
      <c r="G1341" t="str">
        <v>ふける。熱中する。度をこえて楽しむ。 耳が大きく垂れ下がる。 おくぶかいさま。</v>
      </c>
      <c r="H1341" t="str">
        <v>#幸福</v>
      </c>
      <c r="I1341">
        <v>10</v>
      </c>
      <c r="J1341">
        <v>20</v>
      </c>
      <c r="K1341">
        <v>100</v>
      </c>
      <c r="L1341">
        <v>1</v>
      </c>
    </row>
    <row r="1342">
      <c r="A1342" t="str">
        <v>挺</v>
      </c>
      <c r="B1342">
        <v>10</v>
      </c>
      <c r="C1342" t="b">
        <v>0</v>
      </c>
      <c r="D1342" t="str">
        <v>チョウ テイ</v>
      </c>
      <c r="E1342" t="str">
        <v>ぬき（んでる） ぬ（く）</v>
      </c>
      <c r="F1342">
        <v>0</v>
      </c>
      <c r="G1342" t="str">
        <v>ぬく。引きぬく。 ぬきんでる。抜け出る。 ぬきんでる。ひときわすぐれる。 まっすぐである。また、まっすぐにする。</v>
      </c>
      <c r="H1342" t="str">
        <v>#品格 #知性 #繁栄</v>
      </c>
      <c r="I1342">
        <v>10</v>
      </c>
      <c r="J1342">
        <v>100</v>
      </c>
      <c r="K1342">
        <v>30</v>
      </c>
      <c r="L1342">
        <v>0</v>
      </c>
      <c r="M1342">
        <f>VLOOKUP(A1342,[1]kanji_data!$A:$N,14,FALSE)</f>
        <v>0</v>
      </c>
    </row>
    <row r="1343">
      <c r="A1343" t="str">
        <v>租</v>
      </c>
      <c r="B1343">
        <v>10</v>
      </c>
      <c r="C1343" t="b">
        <v>1</v>
      </c>
      <c r="D1343" t="str">
        <v>ソ</v>
      </c>
      <c r="E1343" t="str">
        <v>ちんが（り） みつぎ</v>
      </c>
      <c r="F1343">
        <v>0</v>
      </c>
      <c r="G1343" t="str">
        <v>みつぎ。ねんぐ。税金。 たくわえる。積む。 賃借り。金銭を払い契約し、借りること。</v>
      </c>
      <c r="I1343">
        <v>10</v>
      </c>
      <c r="J1343">
        <v>50</v>
      </c>
      <c r="K1343">
        <v>50</v>
      </c>
      <c r="L1343">
        <v>1</v>
      </c>
    </row>
    <row r="1344">
      <c r="A1344" t="str">
        <v>捜</v>
      </c>
      <c r="B1344">
        <v>10</v>
      </c>
      <c r="C1344" t="b">
        <v>1</v>
      </c>
      <c r="D1344" t="str">
        <v>ソウ</v>
      </c>
      <c r="E1344" t="str">
        <v>さが（す）</v>
      </c>
      <c r="F1344">
        <v>0</v>
      </c>
      <c r="G1344" t="str">
        <v>さがす。さぐる。さがしもとめる。</v>
      </c>
      <c r="I1344">
        <v>10</v>
      </c>
      <c r="J1344">
        <v>50</v>
      </c>
      <c r="K1344">
        <v>50</v>
      </c>
      <c r="L1344">
        <v>1</v>
      </c>
    </row>
    <row r="1345">
      <c r="A1345" t="str">
        <v>挿</v>
      </c>
      <c r="B1345">
        <v>10</v>
      </c>
      <c r="C1345" t="b">
        <v>1</v>
      </c>
      <c r="D1345" t="str">
        <v>ソウ</v>
      </c>
      <c r="E1345" t="str">
        <v>さ（す） さしはさ（む） す（げる） はさ（む）</v>
      </c>
      <c r="F1345">
        <v>0</v>
      </c>
      <c r="G1345" t="str">
        <v>さす。さしはさむ。さしこむ。 すげる。はめこむ。さしこむ。</v>
      </c>
      <c r="I1345">
        <v>10</v>
      </c>
      <c r="J1345">
        <v>50</v>
      </c>
      <c r="K1345">
        <v>50</v>
      </c>
      <c r="L1345">
        <v>1</v>
      </c>
    </row>
    <row r="1346">
      <c r="A1346" t="str">
        <v>朕</v>
      </c>
      <c r="B1346">
        <v>10</v>
      </c>
      <c r="C1346" t="b">
        <v>1</v>
      </c>
      <c r="D1346" t="str">
        <v>チン</v>
      </c>
      <c r="E1346" t="str">
        <v>きざ（し） われ</v>
      </c>
      <c r="F1346">
        <v>0</v>
      </c>
      <c r="G1346" t="str">
        <v>われ。わたくし。自分。 ちん。天子の自称。 きざし。しるし。前兆。</v>
      </c>
      <c r="I1346">
        <v>10</v>
      </c>
      <c r="J1346">
        <v>50</v>
      </c>
      <c r="K1346">
        <v>50</v>
      </c>
      <c r="L1346">
        <v>1</v>
      </c>
    </row>
    <row r="1347">
      <c r="A1347" t="str">
        <v>桐</v>
      </c>
      <c r="B1347">
        <v>10</v>
      </c>
      <c r="C1347" t="b">
        <v>0</v>
      </c>
      <c r="D1347" t="str">
        <v>トウ ドウ</v>
      </c>
      <c r="E1347" t="str">
        <v>きり</v>
      </c>
      <c r="F1347" t="str">
        <v>ひさ</v>
      </c>
      <c r="G1347" t="str">
        <v>きり。ゴマノハグサ科の落葉高木。たんすや琴などの用材となる。 「梧桐（ごとう）」は、アオギリ科の落葉高木。 琴（琴をきりで作ることから）。</v>
      </c>
      <c r="H1347" t="str">
        <v>#自然</v>
      </c>
      <c r="I1347">
        <v>80</v>
      </c>
      <c r="J1347">
        <v>45</v>
      </c>
      <c r="K1347">
        <v>65</v>
      </c>
      <c r="L1347">
        <v>0</v>
      </c>
      <c r="M1347">
        <f>VLOOKUP(A1347,[1]kanji_data!$A:$N,14,FALSE)</f>
        <v>0</v>
      </c>
    </row>
    <row r="1348">
      <c r="A1348" t="str">
        <v>莫</v>
      </c>
      <c r="B1348">
        <v>10</v>
      </c>
      <c r="C1348" t="b">
        <v>0</v>
      </c>
      <c r="D1348" t="str">
        <v>ボ モ バク マク</v>
      </c>
      <c r="E1348" t="str">
        <v>く（れ） さび（しい） な（い） なかれ</v>
      </c>
      <c r="F1348">
        <v>0</v>
      </c>
      <c r="G1348" t="str">
        <v>くれ。夕暮れ。日暮れ。夜。 おそい。おそくなる。遅い時分。 野菜の名前。 「なし」「なかれ」と読み、否定や禁止の意。 むなしい。さびしい。しずか。 広い。大きい。はてしない。 削る。そぐ。除く。</v>
      </c>
      <c r="H1348" t="str">
        <v>#天空 #繁栄 #自然</v>
      </c>
      <c r="I1348">
        <v>10</v>
      </c>
      <c r="J1348">
        <v>50</v>
      </c>
      <c r="K1348">
        <v>50</v>
      </c>
      <c r="L1348">
        <v>1</v>
      </c>
    </row>
    <row r="1349">
      <c r="A1349" t="str">
        <v>逓</v>
      </c>
      <c r="B1349">
        <v>10</v>
      </c>
      <c r="C1349" t="b">
        <v>1</v>
      </c>
      <c r="D1349" t="str">
        <v>テイ ダイ</v>
      </c>
      <c r="E1349" t="str">
        <v>か（わる） たが（いに）</v>
      </c>
      <c r="F1349">
        <v>0</v>
      </c>
      <c r="G1349" t="str">
        <v>たがいに。かわるがわる。 かわる。いれかわる。 次々と伝え送る。伝える。 宿場。また、宿場にいる車馬。 めぐる。かこむ。</v>
      </c>
      <c r="I1349">
        <v>10</v>
      </c>
      <c r="J1349">
        <v>50</v>
      </c>
      <c r="K1349">
        <v>50</v>
      </c>
      <c r="L1349">
        <v>1</v>
      </c>
    </row>
    <row r="1350">
      <c r="A1350" t="str">
        <v>俸</v>
      </c>
      <c r="B1350">
        <v>10</v>
      </c>
      <c r="C1350" t="b">
        <v>1</v>
      </c>
      <c r="D1350" t="str">
        <v>ホウ</v>
      </c>
      <c r="E1350" t="str">
        <v>ふち</v>
      </c>
      <c r="F1350">
        <v>0</v>
      </c>
      <c r="G1350" t="str">
        <v>扶持。給料や手当。</v>
      </c>
      <c r="I1350">
        <v>10</v>
      </c>
      <c r="J1350">
        <v>50</v>
      </c>
      <c r="K1350">
        <v>50</v>
      </c>
      <c r="L1350">
        <v>1</v>
      </c>
    </row>
    <row r="1351">
      <c r="A1351" t="str">
        <v>耗</v>
      </c>
      <c r="B1351">
        <v>10</v>
      </c>
      <c r="C1351" t="b">
        <v>1</v>
      </c>
      <c r="D1351" t="str">
        <v>コウ モウ ボウ</v>
      </c>
      <c r="E1351" t="str">
        <v>たよ（り） へ（る）</v>
      </c>
      <c r="F1351">
        <v>0</v>
      </c>
      <c r="G1351" t="str">
        <v>減る。減らす。すり減らす。例：消耗 なくなる。つきる。けす。 ついやす。ついえる。 くらい。乱れる。はっきりしない。</v>
      </c>
      <c r="I1351">
        <v>10</v>
      </c>
      <c r="J1351">
        <v>50</v>
      </c>
      <c r="K1351">
        <v>50</v>
      </c>
      <c r="L1351">
        <v>1</v>
      </c>
    </row>
    <row r="1352">
      <c r="A1352" t="str">
        <v>娩</v>
      </c>
      <c r="B1352">
        <v>10</v>
      </c>
      <c r="C1352" t="b">
        <v>0</v>
      </c>
      <c r="D1352" t="str">
        <v>バン マン ベン メン</v>
      </c>
      <c r="E1352" t="str">
        <v>う（む）</v>
      </c>
      <c r="F1352">
        <v>0</v>
      </c>
      <c r="G1352" t="str">
        <v>うむ。子を産む。出産する。 美しい。あでやか。 おだやか。すなお。従順。</v>
      </c>
      <c r="H1352" t="str">
        <v>#慈愛 #花・彩</v>
      </c>
      <c r="I1352">
        <v>10</v>
      </c>
      <c r="J1352">
        <v>50</v>
      </c>
      <c r="K1352">
        <v>50</v>
      </c>
      <c r="L1352">
        <v>1</v>
      </c>
    </row>
    <row r="1353">
      <c r="A1353" t="str">
        <v>圃</v>
      </c>
      <c r="B1353">
        <v>10</v>
      </c>
      <c r="C1353" t="b">
        <v>0</v>
      </c>
      <c r="D1353" t="str">
        <v>ホ</v>
      </c>
      <c r="E1353" t="str">
        <v>はたけ</v>
      </c>
      <c r="F1353" t="str">
        <v>その</v>
      </c>
      <c r="G1353" t="str">
        <v>はたけ。菜園。野菜などを栽培する所。 畑仕事。畑づくり。また、それを仕事とする人。</v>
      </c>
      <c r="H1353" t="str">
        <v>#自然</v>
      </c>
      <c r="I1353">
        <v>20</v>
      </c>
      <c r="J1353">
        <v>50</v>
      </c>
      <c r="K1353">
        <v>50</v>
      </c>
      <c r="L1353">
        <v>1</v>
      </c>
    </row>
    <row r="1354">
      <c r="A1354" t="str">
        <v>峯</v>
      </c>
      <c r="B1354">
        <v>10</v>
      </c>
      <c r="C1354" t="b">
        <v>0</v>
      </c>
      <c r="D1354" t="str">
        <v>ホウ フ</v>
      </c>
      <c r="E1354" t="str">
        <v>みね</v>
      </c>
      <c r="F1354" t="str">
        <v>たか たかし ほ</v>
      </c>
      <c r="G1354" t="str">
        <v>みね。山のいただき。また、大きい山。 みね。刀の背面。</v>
      </c>
      <c r="H1354" t="str">
        <v>#自然</v>
      </c>
      <c r="I1354">
        <v>90</v>
      </c>
      <c r="J1354">
        <v>90</v>
      </c>
      <c r="K1354">
        <v>35</v>
      </c>
      <c r="L1354">
        <v>0</v>
      </c>
      <c r="M1354">
        <f>VLOOKUP(A1354,[1]kanji_data!$A:$N,14,FALSE)</f>
        <v>0</v>
      </c>
    </row>
    <row r="1355">
      <c r="A1355" t="str">
        <v>釜</v>
      </c>
      <c r="B1355">
        <v>10</v>
      </c>
      <c r="C1355" t="b">
        <v>1</v>
      </c>
      <c r="D1355" t="str">
        <v>フ</v>
      </c>
      <c r="E1355" t="str">
        <v>かま</v>
      </c>
      <c r="F1355">
        <v>0</v>
      </c>
      <c r="G1355" t="str">
        <v>かま。飲食物を煮たり炊いたりする金属製の道具。 春秋戦国時代の量の単位。六斗四升（約十二リットル）。</v>
      </c>
      <c r="I1355">
        <v>10</v>
      </c>
      <c r="J1355">
        <v>50</v>
      </c>
      <c r="K1355">
        <v>50</v>
      </c>
      <c r="L1355">
        <v>1</v>
      </c>
    </row>
    <row r="1356">
      <c r="A1356" t="str">
        <v>栗</v>
      </c>
      <c r="B1356">
        <v>10</v>
      </c>
      <c r="C1356" t="b">
        <v>0</v>
      </c>
      <c r="D1356" t="str">
        <v>リ リツ</v>
      </c>
      <c r="E1356" t="str">
        <v>おのの（く） きび（しい） くり</v>
      </c>
      <c r="F1356">
        <v>0</v>
      </c>
      <c r="G1356" t="str">
        <v>くり。ブナ科の落葉高木。 おののく。おそれる。恐怖や寒さなどで、体がぶるぶるとふるえる。＝慄 きびしい。さむさがきびしい。</v>
      </c>
      <c r="H1356" t="str">
        <v>#自然</v>
      </c>
      <c r="I1356">
        <v>10</v>
      </c>
      <c r="J1356">
        <v>50</v>
      </c>
      <c r="K1356">
        <v>50</v>
      </c>
      <c r="L1356">
        <v>0</v>
      </c>
      <c r="M1356">
        <f>VLOOKUP(A1356,[1]kanji_data!$A:$N,14,FALSE)</f>
        <v>0</v>
      </c>
    </row>
    <row r="1357">
      <c r="A1357" t="str">
        <v>浬</v>
      </c>
      <c r="B1357">
        <v>10</v>
      </c>
      <c r="C1357" t="b">
        <v>0</v>
      </c>
      <c r="D1357" t="str">
        <v>リ</v>
      </c>
      <c r="E1357" t="str">
        <v>かいり ノット</v>
      </c>
      <c r="F1357">
        <v>0</v>
      </c>
      <c r="G1357" t="str">
        <v>かいり。海上での距離をあらわす単位。一浬（いちり）は一八五二メートル。 ノット。船の速度の単位。一浬を一時間かけてすすむ速度。</v>
      </c>
      <c r="H1357" t="str">
        <v>#海・水</v>
      </c>
      <c r="I1357">
        <v>10</v>
      </c>
      <c r="J1357">
        <v>80</v>
      </c>
      <c r="K1357">
        <v>45</v>
      </c>
      <c r="L1357">
        <v>0</v>
      </c>
      <c r="M1357">
        <f>VLOOKUP(A1357,[1]kanji_data!$A:$N,14,FALSE)</f>
        <v>0</v>
      </c>
    </row>
    <row r="1358">
      <c r="A1358" t="str">
        <v>凌</v>
      </c>
      <c r="B1358">
        <v>10</v>
      </c>
      <c r="C1358" t="b">
        <v>0</v>
      </c>
      <c r="D1358" t="str">
        <v>リョウ</v>
      </c>
      <c r="E1358" t="str">
        <v>しの（ぐ）</v>
      </c>
      <c r="F1358">
        <v>0</v>
      </c>
      <c r="G1358" t="str">
        <v>しのぐ。のりこえる。超越する。＝陵 しのぐ。おかす。おしのける。＝陵 こおり。水が固体になったもの。</v>
      </c>
      <c r="H1358" t="str">
        <v>#勇気 #海・水 #繁栄</v>
      </c>
      <c r="I1358">
        <v>70</v>
      </c>
      <c r="J1358">
        <v>100</v>
      </c>
      <c r="K1358">
        <v>25</v>
      </c>
      <c r="L1358">
        <v>0</v>
      </c>
      <c r="M1358">
        <f>VLOOKUP(A1358,[1]kanji_data!$A:$N,14,FALSE)</f>
        <v>0</v>
      </c>
    </row>
    <row r="1359">
      <c r="A1359" t="str">
        <v>挫</v>
      </c>
      <c r="B1359">
        <v>10</v>
      </c>
      <c r="C1359" t="b">
        <v>1</v>
      </c>
      <c r="D1359" t="str">
        <v>ザ</v>
      </c>
      <c r="E1359" t="str">
        <v>くじ（く） くじ（ける）</v>
      </c>
      <c r="F1359">
        <v>0</v>
      </c>
      <c r="G1359" t="str">
        <v>くじく。くじける。折る。へし折る。 くじく。くじける。勢いを断って弱らせる。また、勢いがそがれる。</v>
      </c>
      <c r="I1359">
        <v>10</v>
      </c>
      <c r="J1359">
        <v>50</v>
      </c>
      <c r="K1359">
        <v>50</v>
      </c>
      <c r="L1359">
        <v>1</v>
      </c>
    </row>
    <row r="1360">
      <c r="A1360" t="str">
        <v>晟</v>
      </c>
      <c r="B1360">
        <v>10</v>
      </c>
      <c r="C1360" t="b">
        <v>0</v>
      </c>
      <c r="D1360" t="str">
        <v>セイ</v>
      </c>
      <c r="E1360" t="str">
        <v>あき（らか） さか（ん）</v>
      </c>
      <c r="F1360" t="str">
        <v>あきら てる まさ</v>
      </c>
      <c r="G1360" t="str">
        <v>あきらか。あかるい。あかるくかがやく。 さかん。りっぱ。</v>
      </c>
      <c r="H1360" t="str">
        <v>#天空 #繁栄</v>
      </c>
      <c r="I1360">
        <v>80</v>
      </c>
      <c r="J1360">
        <v>60</v>
      </c>
      <c r="K1360">
        <v>55</v>
      </c>
      <c r="L1360">
        <v>0</v>
      </c>
      <c r="M1360">
        <f>VLOOKUP(A1360,[1]kanji_data!$A:$N,14,FALSE)</f>
        <v>0</v>
      </c>
    </row>
    <row r="1361">
      <c r="A1361" t="str">
        <v>晏</v>
      </c>
      <c r="B1361">
        <v>10</v>
      </c>
      <c r="C1361" t="b">
        <v>0</v>
      </c>
      <c r="D1361" t="str">
        <v>アン</v>
      </c>
      <c r="E1361" t="str">
        <v>おそ（い） やす（らか）</v>
      </c>
      <c r="F1361" t="str">
        <v>さだ はる</v>
      </c>
      <c r="G1361" t="str">
        <v>おそい。時刻がおそい。 やすらか。おだやか。落ち着いている。</v>
      </c>
      <c r="H1361" t="str">
        <v>#慈愛</v>
      </c>
      <c r="I1361">
        <v>85</v>
      </c>
      <c r="J1361">
        <v>55</v>
      </c>
      <c r="K1361">
        <v>60</v>
      </c>
      <c r="L1361">
        <v>0</v>
      </c>
      <c r="M1361">
        <f>VLOOKUP(A1361,[1]kanji_data!$A:$N,14,FALSE)</f>
        <v>0</v>
      </c>
    </row>
    <row r="1362">
      <c r="A1362" t="str">
        <v>栞</v>
      </c>
      <c r="B1362">
        <v>10</v>
      </c>
      <c r="C1362" t="b">
        <v>0</v>
      </c>
      <c r="D1362" t="str">
        <v>カン</v>
      </c>
      <c r="E1362" t="str">
        <v>しおり</v>
      </c>
      <c r="F1362" t="str">
        <v>か けん しお</v>
      </c>
      <c r="G1362" t="str">
        <v>しおり。山や林を歩くとき、迷わないように木の枝を折って目じるしにするもの。 しおり。読みかけの書物にはさんで目じるしにするもの。転じて、案内書・手びき。</v>
      </c>
      <c r="H1362" t="str">
        <v>#自然</v>
      </c>
      <c r="I1362">
        <v>100</v>
      </c>
      <c r="J1362">
        <v>55</v>
      </c>
      <c r="K1362">
        <v>55</v>
      </c>
      <c r="L1362">
        <v>0</v>
      </c>
      <c r="M1362">
        <f>VLOOKUP(A1362,[1]kanji_data!$A:$N,14,FALSE)</f>
        <v>0</v>
      </c>
    </row>
    <row r="1363">
      <c r="A1363" t="str">
        <v>莉</v>
      </c>
      <c r="B1363">
        <v>10</v>
      </c>
      <c r="C1363" t="b">
        <v>0</v>
      </c>
      <c r="D1363" t="str">
        <v>レイ ライ リ</v>
      </c>
      <c r="E1363">
        <v>0</v>
      </c>
      <c r="F1363">
        <v>0</v>
      </c>
      <c r="G1363" t="str">
        <v>「茉莉（まつり）」は植物の名。</v>
      </c>
      <c r="H1363" t="str">
        <v>#自然</v>
      </c>
      <c r="I1363">
        <v>90</v>
      </c>
      <c r="J1363">
        <v>25</v>
      </c>
      <c r="K1363">
        <v>85</v>
      </c>
      <c r="L1363">
        <v>0</v>
      </c>
      <c r="M1363">
        <f>VLOOKUP(A1363,[1]kanji_data!$A:$N,14,FALSE)</f>
        <v>0</v>
      </c>
    </row>
    <row r="1364">
      <c r="A1364" t="str">
        <v>赳</v>
      </c>
      <c r="B1364">
        <v>10</v>
      </c>
      <c r="C1364" t="b">
        <v>0</v>
      </c>
      <c r="D1364" t="str">
        <v>キュウ</v>
      </c>
      <c r="E1364" t="str">
        <v>たけ（し）</v>
      </c>
      <c r="F1364" t="str">
        <v>いさ いさむ たけ たけし つよし</v>
      </c>
      <c r="G1364" t="str">
        <v>つよい。たけだけしい。いさましい。</v>
      </c>
      <c r="H1364" t="str">
        <v>#勇気</v>
      </c>
      <c r="I1364">
        <v>90</v>
      </c>
      <c r="J1364">
        <v>100</v>
      </c>
      <c r="K1364">
        <v>20</v>
      </c>
      <c r="L1364">
        <v>0</v>
      </c>
      <c r="M1364">
        <f>VLOOKUP(A1364,[1]kanji_data!$A:$N,14,FALSE)</f>
        <v>0</v>
      </c>
    </row>
    <row r="1365">
      <c r="A1365" t="str">
        <v>氣</v>
      </c>
      <c r="B1365">
        <v>10</v>
      </c>
      <c r="C1365" t="b">
        <v>0</v>
      </c>
      <c r="D1365" t="str">
        <v>キ ケ</v>
      </c>
      <c r="E1365" t="str">
        <v>いき</v>
      </c>
      <c r="F1365">
        <v>0</v>
      </c>
      <c r="G1365" t="str">
        <v>くうき。水蒸気。大気。雲気。 いき。呼吸。息をふきかける。呼吸をする。 物質の三態の一つ。気体。 自然界にみられる現象。自然現象。 元気。活力。人間の活動力のもととなるもの。 偉人が持つとされる雲気。 なんとなく感じられるいきおい。心構え。 におい。かおり。においをかぐ。においがする。 様子。気配。おもむき。感じ。 陰暦で、一年を二十四分したうちの一つの期間。</v>
      </c>
      <c r="H1365" t="str">
        <v>#健康</v>
      </c>
      <c r="I1365">
        <v>10</v>
      </c>
      <c r="J1365">
        <v>85</v>
      </c>
      <c r="K1365">
        <v>30</v>
      </c>
      <c r="L1365">
        <v>0</v>
      </c>
      <c r="M1365">
        <f>VLOOKUP(A1365,[1]kanji_data!$A:$N,14,FALSE)</f>
        <v>0</v>
      </c>
    </row>
    <row r="1366">
      <c r="A1366" t="str">
        <v>乘</v>
      </c>
      <c r="B1366">
        <v>10</v>
      </c>
      <c r="C1366" t="b">
        <v>0</v>
      </c>
      <c r="D1366" t="str">
        <v>ジョウ ショウ</v>
      </c>
      <c r="E1366" t="str">
        <v>の（せる） の（る）</v>
      </c>
      <c r="F1366" t="str">
        <v>のり</v>
      </c>
      <c r="G1366" t="str">
        <v>のる。のせる。乗り物などにのる。 のる。つけこむ。機会を利用する。 掛け算。掛け算をする。掛け合わせる。 兵車と兵の数を数えることば。 馬四頭。四頭立ての馬車。また、四つでひとそろいになるもの。 記録。史書。歴史書。 仏教で衆生を悟りの世界に導く教えの種別。</v>
      </c>
      <c r="H1366" t="str">
        <v>#知性</v>
      </c>
      <c r="I1366">
        <v>5</v>
      </c>
      <c r="J1366">
        <v>50</v>
      </c>
      <c r="K1366">
        <v>50</v>
      </c>
      <c r="L1366">
        <v>1</v>
      </c>
    </row>
    <row r="1367">
      <c r="A1367" t="str">
        <v>凉</v>
      </c>
      <c r="B1367">
        <v>10</v>
      </c>
      <c r="C1367" t="b">
        <v>0</v>
      </c>
      <c r="D1367" t="str">
        <v>リョウ</v>
      </c>
      <c r="E1367" t="str">
        <v>すず（しい） すず（む） うす（い）</v>
      </c>
      <c r="F1367">
        <v>0</v>
      </c>
      <c r="G1367" t="str">
        <v>すずしい。すずしさ。心地よい冷たさ。さわやかなさま。 うすい。少ない。物寂しい。乏しい。 思いやりのないさま。 悲しみ。うれい。悲しむ。うれえる。 すずしい。さわやかである。 すずむ。</v>
      </c>
      <c r="H1367" t="str">
        <v>#心・志 #慈愛</v>
      </c>
      <c r="I1367">
        <v>10</v>
      </c>
      <c r="J1367">
        <v>50</v>
      </c>
      <c r="K1367">
        <v>50</v>
      </c>
      <c r="L1367">
        <v>0</v>
      </c>
      <c r="M1367">
        <f>VLOOKUP(A1367,[1]kanji_data!$A:$N,14,FALSE)</f>
        <v>0</v>
      </c>
    </row>
    <row r="1368">
      <c r="A1368" t="str">
        <v>莊</v>
      </c>
      <c r="B1368">
        <v>10</v>
      </c>
      <c r="C1368" t="b">
        <v>0</v>
      </c>
      <c r="D1368" t="str">
        <v>ショウ ソウ</v>
      </c>
      <c r="E1368" t="str">
        <v>おごそ（か） しもやしき</v>
      </c>
      <c r="F1368">
        <v>0</v>
      </c>
      <c r="G1368" t="str">
        <v>おごそか。重々しい。いかめしい。うやうやしい。 草が生いしげるさま。 いなか。むらざと。村落。 しもやしき。別荘。別宅。 店。おおきな店。商店。 莊周（莊子）の略。</v>
      </c>
      <c r="H1368" t="str">
        <v>#品格</v>
      </c>
      <c r="I1368">
        <v>10</v>
      </c>
      <c r="J1368">
        <v>45</v>
      </c>
      <c r="K1368">
        <v>65</v>
      </c>
      <c r="L1368">
        <v>0</v>
      </c>
      <c r="M1368">
        <f>VLOOKUP(A1368,[1]kanji_data!$A:$N,14,FALSE)</f>
        <v>0</v>
      </c>
    </row>
    <row r="1369">
      <c r="A1369" t="str">
        <v>恣</v>
      </c>
      <c r="B1369">
        <v>10</v>
      </c>
      <c r="C1369" t="b">
        <v>1</v>
      </c>
      <c r="D1369" t="str">
        <v>シ</v>
      </c>
      <c r="E1369" t="str">
        <v>ほしいまま</v>
      </c>
      <c r="F1369">
        <v>0</v>
      </c>
      <c r="G1369" t="str">
        <v>ほしいまま。勝手気ままにする。好き勝手にふるまう。</v>
      </c>
      <c r="I1369">
        <v>10</v>
      </c>
      <c r="J1369">
        <v>50</v>
      </c>
      <c r="K1369">
        <v>50</v>
      </c>
      <c r="L1369">
        <v>1</v>
      </c>
    </row>
    <row r="1370">
      <c r="A1370" t="str">
        <v>脊</v>
      </c>
      <c r="B1370">
        <v>10</v>
      </c>
      <c r="C1370" t="b">
        <v>1</v>
      </c>
      <c r="D1370" t="str">
        <v>セキ</v>
      </c>
      <c r="E1370" t="str">
        <v>せ せい</v>
      </c>
      <c r="F1370">
        <v>0</v>
      </c>
      <c r="G1370" t="str">
        <v>せ。背骨。例：脊椎 背中。 背骨のような形状をしたもの。 せい。背丈。身の丈。身長。</v>
      </c>
      <c r="I1370">
        <v>10</v>
      </c>
      <c r="J1370">
        <v>50</v>
      </c>
      <c r="K1370">
        <v>50</v>
      </c>
      <c r="L1370">
        <v>1</v>
      </c>
    </row>
    <row r="1371">
      <c r="A1371" t="str">
        <v>眞</v>
      </c>
      <c r="B1371">
        <v>10</v>
      </c>
      <c r="C1371" t="b">
        <v>0</v>
      </c>
      <c r="D1371" t="str">
        <v>シン</v>
      </c>
      <c r="E1371" t="str">
        <v>ま まこと</v>
      </c>
      <c r="F1371" t="str">
        <v>さだ さな まさ</v>
      </c>
      <c r="G1371" t="str">
        <v>まこと。まことに。本当の。本当に。うそいつわりのない。 自然のままの。まったくそのままの。生まれたままの。 すがた。肖像。物の姿。 書体の一つ。 ま。まことの。本当の。正しい。完全な。</v>
      </c>
      <c r="H1371" t="str">
        <v>#幸福</v>
      </c>
      <c r="I1371">
        <v>100</v>
      </c>
      <c r="J1371">
        <v>55</v>
      </c>
      <c r="K1371">
        <v>70</v>
      </c>
      <c r="L1371">
        <v>0</v>
      </c>
      <c r="M1371">
        <f>VLOOKUP(A1371,[1]kanji_data!$A:$N,14,FALSE)</f>
        <v>0</v>
      </c>
    </row>
    <row r="1372">
      <c r="A1372" t="str">
        <v>晄</v>
      </c>
      <c r="B1372">
        <v>10</v>
      </c>
      <c r="C1372" t="b">
        <v>0</v>
      </c>
      <c r="D1372" t="str">
        <v>コウ</v>
      </c>
      <c r="E1372" t="str">
        <v>あき（らか） ひか（る）</v>
      </c>
      <c r="F1372" t="str">
        <v>あきら きら てる ひかり ひかる みつ</v>
      </c>
      <c r="G1372" t="str">
        <v>あきらか。ひかる。かがやく。あかるい。</v>
      </c>
      <c r="H1372" t="str">
        <v>#天空</v>
      </c>
      <c r="I1372">
        <v>95</v>
      </c>
      <c r="J1372">
        <v>60</v>
      </c>
      <c r="K1372">
        <v>55</v>
      </c>
      <c r="L1372">
        <v>0</v>
      </c>
      <c r="M1372">
        <f>VLOOKUP(A1372,[1]kanji_data!$A:$N,14,FALSE)</f>
        <v>0</v>
      </c>
    </row>
    <row r="1373">
      <c r="A1373" t="str">
        <v>捉</v>
      </c>
      <c r="B1373">
        <v>10</v>
      </c>
      <c r="C1373" t="b">
        <v>1</v>
      </c>
      <c r="D1373" t="str">
        <v>ソク</v>
      </c>
      <c r="E1373" t="str">
        <v>とら（える） つか（まえる） と（る）</v>
      </c>
      <c r="F1373">
        <v>0</v>
      </c>
      <c r="G1373" t="str">
        <v>とらえる。つかまえる。 とる。つかむ。にぎる。</v>
      </c>
      <c r="I1373">
        <v>10</v>
      </c>
      <c r="J1373">
        <v>50</v>
      </c>
      <c r="K1373">
        <v>50</v>
      </c>
      <c r="L1373">
        <v>1</v>
      </c>
    </row>
    <row r="1374">
      <c r="A1374" t="str">
        <v>神</v>
      </c>
      <c r="B1374">
        <v>10</v>
      </c>
      <c r="C1374" t="b">
        <v>0</v>
      </c>
      <c r="D1374" t="str">
        <v>シン ジン</v>
      </c>
      <c r="E1374" t="str">
        <v>かみ かん こう たましい</v>
      </c>
      <c r="F1374">
        <v>0</v>
      </c>
      <c r="G1374" t="str">
        <v>かみ。天のかみ。あまつかみ。万物の創造主。 人知でははかりしれない不思議なはたらき。霊的なはたらき。 たましい。霊魂。こころ。 きわめてすぐれていること。きわめて尊いこと。</v>
      </c>
      <c r="H1374" t="str">
        <v>#品格 #心・志</v>
      </c>
      <c r="I1374">
        <v>10</v>
      </c>
      <c r="J1374">
        <v>50</v>
      </c>
      <c r="K1374">
        <v>75</v>
      </c>
      <c r="L1374">
        <v>0</v>
      </c>
      <c r="M1374">
        <f>VLOOKUP(A1374,[1]kanji_data!$A:$N,14,FALSE)</f>
        <v>0</v>
      </c>
    </row>
    <row r="1375">
      <c r="A1375" t="str">
        <v>悔</v>
      </c>
      <c r="B1375">
        <v>10</v>
      </c>
      <c r="C1375" t="b">
        <v>0</v>
      </c>
      <c r="D1375" t="str">
        <v>カイ ケ</v>
      </c>
      <c r="E1375" t="str">
        <v>く（いる） くや（しい） く（やむ）</v>
      </c>
      <c r="F1375">
        <v>0</v>
      </c>
      <c r="G1375" t="str">
        <v>くいる。くやむ。自分のした間違いや失敗に気づき、残念がったり反省したりする。 くい。残念に思う気持ち。 くやみ。くやむ。人の死を悲しみいたむ。 くやしい。残念である。</v>
      </c>
      <c r="H1375" t="str">
        <v>#心・志</v>
      </c>
      <c r="I1375">
        <v>10</v>
      </c>
      <c r="J1375">
        <v>50</v>
      </c>
      <c r="K1375">
        <v>50</v>
      </c>
      <c r="L1375">
        <v>1</v>
      </c>
    </row>
    <row r="1376">
      <c r="A1376" t="str">
        <v>海</v>
      </c>
      <c r="B1376">
        <v>11</v>
      </c>
      <c r="C1376" t="b">
        <v>0</v>
      </c>
      <c r="D1376" t="str">
        <v>カイ</v>
      </c>
      <c r="E1376" t="str">
        <v>うみ</v>
      </c>
      <c r="F1376">
        <v>0</v>
      </c>
      <c r="G1376" t="str">
        <v>うみ。わた。わたつみ。 大きな湖や池。 広く大きい。また、多くの人や物が集まる所。</v>
      </c>
      <c r="H1376" t="str">
        <v>#海・水</v>
      </c>
      <c r="I1376">
        <v>10</v>
      </c>
      <c r="J1376">
        <v>80</v>
      </c>
      <c r="K1376">
        <v>45</v>
      </c>
      <c r="L1376">
        <v>0</v>
      </c>
      <c r="M1376">
        <f>VLOOKUP(A1376,[1]kanji_data!$A:$N,14,FALSE)</f>
        <v>0</v>
      </c>
    </row>
    <row r="1377">
      <c r="A1377" t="str">
        <v>祐</v>
      </c>
      <c r="B1377">
        <v>10</v>
      </c>
      <c r="C1377" t="b">
        <v>0</v>
      </c>
      <c r="D1377" t="str">
        <v>ユウ</v>
      </c>
      <c r="E1377" t="str">
        <v>たす（け） たす（ける）</v>
      </c>
      <c r="F1377">
        <v>0</v>
      </c>
      <c r="G1377" t="str">
        <v>たすけ。たすける。神の助け。神が助ける。 じょう。神祇官（しんぎかん）の第三位。</v>
      </c>
      <c r="H1377" t="str">
        <v>#慈愛</v>
      </c>
      <c r="I1377">
        <v>60</v>
      </c>
      <c r="J1377">
        <v>85</v>
      </c>
      <c r="K1377">
        <v>45</v>
      </c>
      <c r="L1377">
        <v>0</v>
      </c>
      <c r="M1377">
        <f>VLOOKUP(A1377,[1]kanji_data!$A:$N,14,FALSE)</f>
        <v>0</v>
      </c>
    </row>
    <row r="1378">
      <c r="A1378" t="str">
        <v>酎</v>
      </c>
      <c r="B1378">
        <v>10</v>
      </c>
      <c r="C1378" t="b">
        <v>1</v>
      </c>
      <c r="D1378" t="str">
        <v>チュウ</v>
      </c>
      <c r="E1378">
        <v>0</v>
      </c>
      <c r="F1378">
        <v>0</v>
      </c>
      <c r="G1378" t="str">
        <v>濃い酒。 焼酎の略。</v>
      </c>
      <c r="I1378">
        <v>10</v>
      </c>
      <c r="J1378">
        <v>50</v>
      </c>
      <c r="K1378">
        <v>50</v>
      </c>
      <c r="L1378">
        <v>1</v>
      </c>
    </row>
    <row r="1379">
      <c r="A1379" t="str">
        <v>祝</v>
      </c>
      <c r="B1379">
        <v>10</v>
      </c>
      <c r="C1379" t="b">
        <v>0</v>
      </c>
      <c r="D1379" t="str">
        <v>シュク シュウ</v>
      </c>
      <c r="E1379" t="str">
        <v>いわ（う） た（つ） の（る） のろ（う）</v>
      </c>
      <c r="F1379">
        <v>0</v>
      </c>
      <c r="G1379" t="str">
        <v>いわう。ことほぐ。幸福を願い祈る。 はふり。かんなぎ。かんぬし。神に仕える人。 断つ。断ち切る。短く切る。 のろう。まじなう。不幸を願う。 のる。いのる。神に告げる。 のりと。神に告げることば。</v>
      </c>
      <c r="H1379" t="str">
        <v>#幸福</v>
      </c>
      <c r="I1379">
        <v>40</v>
      </c>
      <c r="J1379">
        <v>65</v>
      </c>
      <c r="K1379">
        <v>50</v>
      </c>
      <c r="L1379">
        <v>0</v>
      </c>
      <c r="M1379">
        <f>VLOOKUP(A1379,[1]kanji_data!$A:$N,14,FALSE)</f>
        <v>0</v>
      </c>
    </row>
    <row r="1380">
      <c r="A1380" t="str">
        <v>冥</v>
      </c>
      <c r="B1380">
        <v>10</v>
      </c>
      <c r="C1380" t="b">
        <v>1</v>
      </c>
      <c r="D1380" t="str">
        <v>メイ ミョウ</v>
      </c>
      <c r="E1380" t="str">
        <v>くら（い）</v>
      </c>
      <c r="F1380">
        <v>0</v>
      </c>
      <c r="G1380" t="str">
        <v>くらい。光がなくてくらい。 くらい。おろか。物事の道理にくらい。 あの世。死んだ後の世界。 人にははかることができない神仏の力。</v>
      </c>
      <c r="I1380">
        <v>10</v>
      </c>
      <c r="J1380">
        <v>50</v>
      </c>
      <c r="K1380">
        <v>50</v>
      </c>
      <c r="L1380">
        <v>1</v>
      </c>
    </row>
    <row r="1381">
      <c r="A1381" t="str">
        <v>脇</v>
      </c>
      <c r="B1381">
        <v>10</v>
      </c>
      <c r="C1381" t="b">
        <v>1</v>
      </c>
      <c r="D1381" t="str">
        <v>キョウ</v>
      </c>
      <c r="E1381" t="str">
        <v>かたわ（ら） わき</v>
      </c>
      <c r="F1381">
        <v>0</v>
      </c>
      <c r="G1381" t="str">
        <v>わき。わきばら。胸の両外側。両腕の下。</v>
      </c>
      <c r="I1381">
        <v>10</v>
      </c>
      <c r="J1381">
        <v>50</v>
      </c>
      <c r="K1381">
        <v>50</v>
      </c>
      <c r="L1381">
        <v>1</v>
      </c>
    </row>
    <row r="1382">
      <c r="A1382" t="str">
        <v>俱</v>
      </c>
      <c r="B1382">
        <v>10</v>
      </c>
      <c r="C1382" t="b">
        <v>0</v>
      </c>
      <c r="D1382" t="str">
        <v>ク グ</v>
      </c>
      <c r="E1382" t="str">
        <v>とも（に）</v>
      </c>
      <c r="F1382">
        <v>0</v>
      </c>
      <c r="G1382" t="str">
        <v>ともに。みな。一緒に。 ともにする。つれだつ。一緒にいく。 おなじ。ひとしい。</v>
      </c>
      <c r="H1382" t="str">
        <v>#調和</v>
      </c>
      <c r="I1382">
        <v>10</v>
      </c>
      <c r="J1382">
        <v>40</v>
      </c>
      <c r="K1382">
        <v>75</v>
      </c>
      <c r="L1382">
        <v>1</v>
      </c>
    </row>
    <row r="1383">
      <c r="A1383" t="str">
        <v>涉</v>
      </c>
      <c r="B1383">
        <v>11</v>
      </c>
      <c r="C1383" t="b">
        <v>0</v>
      </c>
      <c r="D1383" t="str">
        <v>ショウ</v>
      </c>
      <c r="E1383" t="str">
        <v>かか（わる） わた（る）</v>
      </c>
      <c r="F1383">
        <v>0</v>
      </c>
      <c r="G1383" t="str">
        <v>かかわる。関係する。あずかる。 わたる。川を歩いて渡る。水中を歩いて渡る。 わたる。歩き回る。各方面で広く見聞する。研究する。</v>
      </c>
      <c r="H1383" t="str">
        <v>#海・水</v>
      </c>
      <c r="I1383">
        <v>10</v>
      </c>
      <c r="J1383">
        <v>90</v>
      </c>
      <c r="K1383">
        <v>35</v>
      </c>
      <c r="L1383">
        <v>0</v>
      </c>
      <c r="M1383">
        <f>VLOOKUP(A1383,[1]kanji_data!$A:$N,14,FALSE)</f>
        <v>0</v>
      </c>
    </row>
    <row r="1384">
      <c r="A1384" t="str">
        <v>倦</v>
      </c>
      <c r="B1384">
        <v>10</v>
      </c>
      <c r="C1384" t="b">
        <v>0</v>
      </c>
      <c r="D1384" t="str">
        <v>ケン ゲン</v>
      </c>
      <c r="E1384" t="str">
        <v>あ（きる） あぐ（む） う（む） つか（れる）</v>
      </c>
      <c r="F1384">
        <v>0</v>
      </c>
      <c r="G1384" t="str">
        <v>あきる。うむ。あきていやになる。 つかれる。くたびれる。疲労する。 あぐむ。思うように進まず困る。いやになる。</v>
      </c>
      <c r="I1384">
        <v>10</v>
      </c>
      <c r="J1384">
        <v>50</v>
      </c>
      <c r="K1384">
        <v>50</v>
      </c>
      <c r="L1384">
        <v>1</v>
      </c>
    </row>
    <row r="1385">
      <c r="A1385" t="str">
        <v>晒</v>
      </c>
      <c r="B1385">
        <v>10</v>
      </c>
      <c r="C1385" t="b">
        <v>0</v>
      </c>
      <c r="D1385" t="str">
        <v>サイ</v>
      </c>
      <c r="E1385" t="str">
        <v>さら（す）</v>
      </c>
      <c r="F1385">
        <v>0</v>
      </c>
      <c r="G1385" t="str">
        <v>さらす。日光に当たったままにする。日光に当ててかわかす。</v>
      </c>
      <c r="I1385">
        <v>10</v>
      </c>
      <c r="J1385">
        <v>50</v>
      </c>
      <c r="K1385">
        <v>50</v>
      </c>
      <c r="L1385">
        <v>1</v>
      </c>
    </row>
    <row r="1386">
      <c r="A1386" t="str">
        <v>窄</v>
      </c>
      <c r="B1386">
        <v>10</v>
      </c>
      <c r="C1386" t="b">
        <v>0</v>
      </c>
      <c r="D1386" t="str">
        <v>サク</v>
      </c>
      <c r="E1386" t="str">
        <v>すぼ（む） せば（まる） せま（い） つぼ（む）</v>
      </c>
      <c r="F1386">
        <v>0</v>
      </c>
      <c r="G1386" t="str">
        <v>せまい。窮屈な。心がせまい。 せまる。せばまる。すぼむ。すぼめる。さしせまる。</v>
      </c>
      <c r="I1386">
        <v>10</v>
      </c>
      <c r="J1386">
        <v>50</v>
      </c>
      <c r="K1386">
        <v>50</v>
      </c>
      <c r="L1386">
        <v>1</v>
      </c>
    </row>
    <row r="1387">
      <c r="A1387" t="str">
        <v>強</v>
      </c>
      <c r="B1387">
        <v>11</v>
      </c>
      <c r="C1387" t="b">
        <v>1</v>
      </c>
      <c r="D1387" t="str">
        <v>キョウ ゴウ</v>
      </c>
      <c r="E1387" t="str">
        <v>つよ（い） つよ（まる） つよ（める） し（いる） あなが（ち） こわ（い） したた（か） つと（める）</v>
      </c>
      <c r="F1387" t="str">
        <v>あつ たけ つよし</v>
      </c>
      <c r="G1387" t="str">
        <v>つよい。丈夫。＝彊 つよい。こわい。かたい。 つよい。力がある。勢いがある。 つよまる。つよめる。丈夫にする。つよくする。 ある数に余りがあり、端数を切り捨てたことを示す。例：十メートル強 つとめる。はげむ。努力する。 しいる。無理にさせる。 かたくな。かたくなであるさま。 あながち。必ずしも。必ずしも～でない。</v>
      </c>
      <c r="H1387" t="str">
        <v>#健康 #繁栄</v>
      </c>
      <c r="I1387">
        <v>40</v>
      </c>
      <c r="J1387">
        <v>85</v>
      </c>
      <c r="K1387">
        <v>35</v>
      </c>
      <c r="L1387">
        <v>0</v>
      </c>
      <c r="M1387">
        <f>VLOOKUP(A1387,[1]kanji_data!$A:$N,14,FALSE)</f>
        <v>0</v>
      </c>
    </row>
    <row r="1388">
      <c r="A1388" t="str">
        <v>哨</v>
      </c>
      <c r="B1388">
        <v>10</v>
      </c>
      <c r="C1388" t="b">
        <v>0</v>
      </c>
      <c r="D1388" t="str">
        <v>ショウ</v>
      </c>
      <c r="E1388" t="str">
        <v>みはり</v>
      </c>
      <c r="F1388">
        <v>0</v>
      </c>
      <c r="G1388" t="str">
        <v>みはり。見張りをする。また、その場所。ものみ。 口をすぼめる。口をすぼめて口笛を吹く。また、小さな笛を吹く。</v>
      </c>
      <c r="I1388">
        <v>10</v>
      </c>
      <c r="J1388">
        <v>50</v>
      </c>
      <c r="K1388">
        <v>50</v>
      </c>
      <c r="L1388">
        <v>1</v>
      </c>
    </row>
    <row r="1389">
      <c r="A1389" t="str">
        <v>訊</v>
      </c>
      <c r="B1389">
        <v>10</v>
      </c>
      <c r="C1389" t="b">
        <v>0</v>
      </c>
      <c r="D1389" t="str">
        <v>シン ジン</v>
      </c>
      <c r="E1389" t="str">
        <v>き（く） たず（ねる） たよ（り） と（う）</v>
      </c>
      <c r="F1389">
        <v>0</v>
      </c>
      <c r="G1389" t="str">
        <v>たずねる。きく。とう。問いただす。取り調べる。 たより。手紙。音信。</v>
      </c>
      <c r="I1389">
        <v>10</v>
      </c>
      <c r="J1389">
        <v>50</v>
      </c>
      <c r="K1389">
        <v>50</v>
      </c>
      <c r="L1389">
        <v>1</v>
      </c>
    </row>
    <row r="1390">
      <c r="A1390" t="str">
        <v>屑</v>
      </c>
      <c r="B1390">
        <v>10</v>
      </c>
      <c r="C1390" t="b">
        <v>0</v>
      </c>
      <c r="D1390" t="str">
        <v>セツ</v>
      </c>
      <c r="E1390" t="str">
        <v>いさぎよ（い） くず</v>
      </c>
      <c r="F1390">
        <v>0</v>
      </c>
      <c r="G1390" t="str">
        <v>くず。切れはし。破片。 いさぎよい。いさぎよしとする。快く思う。 気にかける。心にかける。</v>
      </c>
      <c r="I1390">
        <v>10</v>
      </c>
      <c r="J1390">
        <v>50</v>
      </c>
      <c r="K1390">
        <v>50</v>
      </c>
      <c r="L1390">
        <v>1</v>
      </c>
    </row>
    <row r="1391">
      <c r="A1391" t="str">
        <v>釘</v>
      </c>
      <c r="B1391">
        <v>10</v>
      </c>
      <c r="C1391" t="b">
        <v>0</v>
      </c>
      <c r="D1391" t="str">
        <v>チョウ テイ</v>
      </c>
      <c r="E1391" t="str">
        <v>くぎ</v>
      </c>
      <c r="F1391">
        <v>0</v>
      </c>
      <c r="G1391" t="str">
        <v>くぎ。材木などに打ち込んで、固定させたりつなぎ合わせたりするもの。 くぎを打つ。</v>
      </c>
      <c r="I1391">
        <v>10</v>
      </c>
      <c r="J1391">
        <v>50</v>
      </c>
      <c r="K1391">
        <v>50</v>
      </c>
      <c r="L1391">
        <v>1</v>
      </c>
    </row>
    <row r="1392">
      <c r="A1392" t="str">
        <v>雪</v>
      </c>
      <c r="B1392">
        <v>11</v>
      </c>
      <c r="C1392" t="b">
        <v>1</v>
      </c>
      <c r="D1392" t="str">
        <v>セツ</v>
      </c>
      <c r="E1392" t="str">
        <v>ゆき すす（ぐ） そそ（ぐ）</v>
      </c>
      <c r="F1392" t="str">
        <v>きよ きよし きよみ きよむ すすむ</v>
      </c>
      <c r="G1392" t="str">
        <v>ゆき。空から落ちてくるゆき。 ゆきふる。ゆきが降る。 すすぐ。そそぐ。清める。</v>
      </c>
      <c r="H1392" t="str">
        <v>#天空 #自然</v>
      </c>
      <c r="I1392">
        <v>70</v>
      </c>
      <c r="J1392">
        <v>25</v>
      </c>
      <c r="K1392">
        <v>90</v>
      </c>
      <c r="L1392">
        <v>0</v>
      </c>
      <c r="M1392">
        <f>VLOOKUP(A1392,[1]kanji_data!$A:$N,14,FALSE)</f>
        <v>0</v>
      </c>
    </row>
    <row r="1393">
      <c r="A1393" t="str">
        <v>套</v>
      </c>
      <c r="B1393">
        <v>10</v>
      </c>
      <c r="C1393" t="b">
        <v>0</v>
      </c>
      <c r="D1393" t="str">
        <v>トウ</v>
      </c>
      <c r="E1393" t="str">
        <v>おお（い） かさ（ねる）</v>
      </c>
      <c r="F1393">
        <v>0</v>
      </c>
      <c r="G1393" t="str">
        <v>おおい。物をおおうもの。 かさねる。かぶせる。おおいかぶせる。 ありきたり。古びている。 くま。道などが曲がって入りくんだところ。</v>
      </c>
      <c r="I1393">
        <v>10</v>
      </c>
      <c r="J1393">
        <v>50</v>
      </c>
      <c r="K1393">
        <v>50</v>
      </c>
      <c r="L1393">
        <v>1</v>
      </c>
    </row>
    <row r="1394">
      <c r="A1394" t="str">
        <v>組</v>
      </c>
      <c r="B1394">
        <v>11</v>
      </c>
      <c r="C1394" t="b">
        <v>1</v>
      </c>
      <c r="D1394" t="str">
        <v>ソ</v>
      </c>
      <c r="E1394" t="str">
        <v>くみ く（む） くみひも</v>
      </c>
      <c r="F1394">
        <v>0</v>
      </c>
      <c r="G1394" t="str">
        <v>くみひも。冠につけるひも。 くむ。ひもを編む。くみたてる。 くむ。編成する。仲間になる。 くみ。団体。仲間。</v>
      </c>
      <c r="H1394" t="str">
        <v>#天空 #調和</v>
      </c>
      <c r="I1394">
        <v>10</v>
      </c>
      <c r="J1394">
        <v>40</v>
      </c>
      <c r="K1394">
        <v>75</v>
      </c>
      <c r="L1394">
        <v>1</v>
      </c>
    </row>
    <row r="1395">
      <c r="A1395" t="str">
        <v>挽</v>
      </c>
      <c r="B1395">
        <v>10</v>
      </c>
      <c r="C1395" t="b">
        <v>0</v>
      </c>
      <c r="D1395" t="str">
        <v>バン</v>
      </c>
      <c r="E1395" t="str">
        <v>ひ（く）</v>
      </c>
      <c r="F1395">
        <v>0</v>
      </c>
      <c r="G1395" t="str">
        <v>ひく。ひっぱる。 葬式で棺を乗せた車をひく。また、人の死をいたむ。 ひく。のこぎりをひいて、木材を切る。</v>
      </c>
      <c r="I1395">
        <v>10</v>
      </c>
      <c r="J1395">
        <v>50</v>
      </c>
      <c r="K1395">
        <v>50</v>
      </c>
      <c r="L1395">
        <v>1</v>
      </c>
    </row>
    <row r="1396">
      <c r="A1396" t="str">
        <v>野</v>
      </c>
      <c r="B1396">
        <v>11</v>
      </c>
      <c r="C1396" t="b">
        <v>1</v>
      </c>
      <c r="D1396" t="str">
        <v>ヤ ショ</v>
      </c>
      <c r="E1396" t="str">
        <v>の いなかや いや（しい）</v>
      </c>
      <c r="F1396" t="str">
        <v>とお なお ぬ ひろ</v>
      </c>
      <c r="G1396" t="str">
        <v>の。のはら。広々とした平地。のび広がった大地。 の。町外れ。郊外。田舎。 の。朝廷や政府に対して、民間。 いやしい。飾り気のない。ありのままの。いなかびた。下品な。 区域。領域。範囲。 荒っぽい。勝手な。 動植物が自然であるさま。野生の。 うとい。未開の。文化が開けていない。 いなかや。別荘。</v>
      </c>
      <c r="H1396" t="str">
        <v>#自然</v>
      </c>
      <c r="I1396">
        <v>70</v>
      </c>
      <c r="J1396">
        <v>75</v>
      </c>
      <c r="K1396">
        <v>45</v>
      </c>
      <c r="L1396">
        <v>0</v>
      </c>
      <c r="M1396">
        <f>VLOOKUP(A1396,[1]kanji_data!$A:$N,14,FALSE)</f>
        <v>0</v>
      </c>
    </row>
    <row r="1397">
      <c r="A1397" t="str">
        <v>理</v>
      </c>
      <c r="B1397">
        <v>11</v>
      </c>
      <c r="C1397" t="b">
        <v>1</v>
      </c>
      <c r="D1397" t="str">
        <v>リ</v>
      </c>
      <c r="E1397" t="str">
        <v>おさ（める） ことわり すじ</v>
      </c>
      <c r="F1397" t="str">
        <v>あや おさ おさむ さと すけ たか ただ ただし とし のり まさ みち よし</v>
      </c>
      <c r="G1397" t="str">
        <v>すじ。すじめ。模様。きめ。木目。皮膚のきめ。表面に見えるすじ。 おさめる。みがく。整える。 ことわり。みち。物事のすじみち。道義。 物理学・自然科学のこと。 わかる。さとる。 裁く。裁判官。</v>
      </c>
      <c r="H1397" t="str">
        <v>#知性 #繁栄</v>
      </c>
      <c r="I1397">
        <v>100</v>
      </c>
      <c r="J1397">
        <v>60</v>
      </c>
      <c r="K1397">
        <v>70</v>
      </c>
      <c r="L1397">
        <v>0</v>
      </c>
      <c r="M1397">
        <f>VLOOKUP(A1397,[1]kanji_data!$A:$N,14,FALSE)</f>
        <v>0</v>
      </c>
    </row>
    <row r="1398">
      <c r="A1398" t="str">
        <v>哩</v>
      </c>
      <c r="B1398">
        <v>10</v>
      </c>
      <c r="C1398" t="b">
        <v>0</v>
      </c>
      <c r="D1398" t="str">
        <v>リ</v>
      </c>
      <c r="E1398" t="str">
        <v>マイル</v>
      </c>
      <c r="F1398" t="str">
        <v>まい</v>
      </c>
      <c r="G1398" t="str">
        <v>わい。意味を強調を表す文末につける助字。 マイル。ヤードポンド法の距離の単位。一マイルは約一・六キロメートル。</v>
      </c>
      <c r="I1398">
        <v>15</v>
      </c>
      <c r="J1398">
        <v>50</v>
      </c>
      <c r="K1398">
        <v>50</v>
      </c>
      <c r="L1398">
        <v>1</v>
      </c>
    </row>
    <row r="1399">
      <c r="A1399" t="str">
        <v>球</v>
      </c>
      <c r="B1399">
        <v>11</v>
      </c>
      <c r="C1399" t="b">
        <v>1</v>
      </c>
      <c r="D1399" t="str">
        <v>キュウ</v>
      </c>
      <c r="E1399" t="str">
        <v>たま</v>
      </c>
      <c r="F1399" t="str">
        <v>まり</v>
      </c>
      <c r="G1399" t="str">
        <v>たま。美しい玉。丸い形をしたもの。 まり。ボール。</v>
      </c>
      <c r="H1399" t="str">
        <v>#花・彩</v>
      </c>
      <c r="I1399">
        <v>65</v>
      </c>
      <c r="J1399">
        <v>90</v>
      </c>
      <c r="K1399">
        <v>35</v>
      </c>
      <c r="L1399">
        <v>0</v>
      </c>
      <c r="M1399">
        <f>VLOOKUP(A1399,[1]kanji_data!$A:$N,14,FALSE)</f>
        <v>0</v>
      </c>
    </row>
    <row r="1400">
      <c r="A1400" t="str">
        <v>狼</v>
      </c>
      <c r="B1400">
        <v>10</v>
      </c>
      <c r="C1400" t="b">
        <v>0</v>
      </c>
      <c r="D1400" t="str">
        <v>ロウ</v>
      </c>
      <c r="E1400" t="str">
        <v>おおかみ みだ（れる）</v>
      </c>
      <c r="F1400">
        <v>0</v>
      </c>
      <c r="G1400" t="str">
        <v>おおかみ。イヌ科の哺乳動物。 おおかみのように凶暴なもの。 みだれる。みだれ散らばる。 うろたえる。</v>
      </c>
      <c r="I1400">
        <v>10</v>
      </c>
      <c r="J1400">
        <v>50</v>
      </c>
      <c r="K1400">
        <v>50</v>
      </c>
      <c r="L1400">
        <v>1</v>
      </c>
    </row>
    <row r="1401">
      <c r="A1401" t="str">
        <v>祕</v>
      </c>
      <c r="B1401">
        <v>10</v>
      </c>
      <c r="C1401" t="b">
        <v>0</v>
      </c>
      <c r="D1401" t="str">
        <v>ヒ</v>
      </c>
      <c r="E1401" t="str">
        <v>ひ（める） かく（す） ひそ（か）</v>
      </c>
      <c r="F1401">
        <v>0</v>
      </c>
      <c r="G1401" t="str">
        <v>ひめる。かくす。ひそかに。 人知では知ることができない。はかりしれない。例：神祕</v>
      </c>
      <c r="I1401">
        <v>10</v>
      </c>
      <c r="J1401">
        <v>50</v>
      </c>
      <c r="K1401">
        <v>50</v>
      </c>
      <c r="L1401">
        <v>1</v>
      </c>
    </row>
    <row r="1402">
      <c r="A1402" t="str">
        <v>狹</v>
      </c>
      <c r="B1402">
        <v>10</v>
      </c>
      <c r="C1402" t="b">
        <v>0</v>
      </c>
      <c r="D1402" t="str">
        <v>キョウ コウ</v>
      </c>
      <c r="E1402" t="str">
        <v>せば（まる） せば（める） せま（い） さ</v>
      </c>
      <c r="F1402">
        <v>0</v>
      </c>
      <c r="G1402" t="str">
        <v>せまい。せばまる。せばめる。枠がせまい。心がせまい。 さ。語調を整える接頭語。せまいの意に用いる。</v>
      </c>
      <c r="I1402">
        <v>10</v>
      </c>
      <c r="J1402">
        <v>50</v>
      </c>
      <c r="K1402">
        <v>50</v>
      </c>
      <c r="L1402">
        <v>1</v>
      </c>
    </row>
    <row r="1403">
      <c r="A1403" t="str">
        <v>宿</v>
      </c>
      <c r="B1403">
        <v>11</v>
      </c>
      <c r="C1403" t="b">
        <v>1</v>
      </c>
      <c r="D1403" t="str">
        <v>シュク スク シュウ</v>
      </c>
      <c r="E1403" t="str">
        <v>やど やど（す） やど（る）</v>
      </c>
      <c r="F1403">
        <v>0</v>
      </c>
      <c r="G1403" t="str">
        <v>やどる。泊まる。 やどす。とどまらせる。 やど。やどや。旅館。泊まる場所。 以前からの。かねてからの。 星座。二十八宿。 しゅく。馬を乗り継いだり、泊まったりする街道の要所。宿場。</v>
      </c>
      <c r="H1403" t="str">
        <v>#天空</v>
      </c>
      <c r="I1403">
        <v>10</v>
      </c>
      <c r="J1403">
        <v>85</v>
      </c>
      <c r="K1403">
        <v>35</v>
      </c>
      <c r="L1403">
        <v>1</v>
      </c>
    </row>
    <row r="1404">
      <c r="A1404" t="str">
        <v>章</v>
      </c>
      <c r="B1404">
        <v>11</v>
      </c>
      <c r="C1404" t="b">
        <v>1</v>
      </c>
      <c r="D1404" t="str">
        <v>ショウ</v>
      </c>
      <c r="E1404" t="str">
        <v>あや しるし ふみ</v>
      </c>
      <c r="F1404" t="str">
        <v>あき あきら き たか とし のり ふさ ゆき</v>
      </c>
      <c r="G1404" t="str">
        <v>あや。しるし。模様。美しい模様。 はん。はんこ。 明らか。明らかにする。形にして明らかにする。 のり。規律。規則。法律。 ふみ。文書。文章。詩文。 音楽や詩文などの一区切り。一節。 文体のひとつ。上奏文。</v>
      </c>
      <c r="H1404" t="str">
        <v>#知性 #花・彩</v>
      </c>
      <c r="I1404">
        <v>100</v>
      </c>
      <c r="J1404">
        <v>50</v>
      </c>
      <c r="K1404">
        <v>70</v>
      </c>
      <c r="L1404">
        <v>0</v>
      </c>
      <c r="M1404">
        <f>VLOOKUP(A1404,[1]kanji_data!$A:$N,14,FALSE)</f>
        <v>0</v>
      </c>
    </row>
    <row r="1405">
      <c r="A1405" t="str">
        <v>商</v>
      </c>
      <c r="B1405">
        <v>11</v>
      </c>
      <c r="C1405" t="b">
        <v>1</v>
      </c>
      <c r="D1405" t="str">
        <v>ショウ</v>
      </c>
      <c r="E1405" t="str">
        <v>あきな（う） あきな（い） はか（る）</v>
      </c>
      <c r="F1405">
        <v>0</v>
      </c>
      <c r="G1405" t="str">
        <v>あきなう。あきない。品物を売買する。 あきんど。あきないをする人。商売人。 はかる。見積もる。比べ合わせて考える。 五音「宮・商・角・徴・羽」のひとつ。 古代中国の王朝の名。殷の別名。商朝とも呼ばれる。 星の名。心宿。 割り算での答え。割り算で得た値。</v>
      </c>
      <c r="H1405" t="str">
        <v>#天空</v>
      </c>
      <c r="I1405">
        <v>10</v>
      </c>
      <c r="J1405">
        <v>50</v>
      </c>
      <c r="K1405">
        <v>50</v>
      </c>
      <c r="L1405">
        <v>1</v>
      </c>
    </row>
    <row r="1406">
      <c r="A1406" t="str">
        <v>進</v>
      </c>
      <c r="B1406">
        <v>11</v>
      </c>
      <c r="C1406" t="b">
        <v>1</v>
      </c>
      <c r="D1406" t="str">
        <v>シン</v>
      </c>
      <c r="E1406" t="str">
        <v>すす（む） すす（める）</v>
      </c>
      <c r="F1406" t="str">
        <v>す すす すすみ すすむ つとむ のぶ のぼる みち ゆき</v>
      </c>
      <c r="G1406" t="str">
        <v>すすむ。前に出る。 のぼる。階級や地位が高くなる。 仕える。出仕する。役人になる。 すすめる。ささげる。たてまつる。 おくりもの。はなむけ。 つくす。</v>
      </c>
      <c r="H1406" t="str">
        <v>#繁栄</v>
      </c>
      <c r="I1406">
        <v>100</v>
      </c>
      <c r="J1406">
        <v>100</v>
      </c>
      <c r="K1406">
        <v>25</v>
      </c>
      <c r="L1406">
        <v>0</v>
      </c>
      <c r="M1406">
        <f>VLOOKUP(A1406,[1]kanji_data!$A:$N,14,FALSE)</f>
        <v>0</v>
      </c>
    </row>
    <row r="1407">
      <c r="A1407" t="str">
        <v>深</v>
      </c>
      <c r="B1407">
        <v>11</v>
      </c>
      <c r="C1407" t="b">
        <v>1</v>
      </c>
      <c r="D1407" t="str">
        <v>シン</v>
      </c>
      <c r="E1407" t="str">
        <v>ふか（い） ふか（まる） ふか（める） ふ（ける） み</v>
      </c>
      <c r="F1407" t="str">
        <v>とお ふかし</v>
      </c>
      <c r="G1407" t="str">
        <v>ふかい。ふかさ。底がふかい。下へふかい。水がふかい。 ふかまる。ふかめる。ふかくする。 おくぶかい。考えがふかい。あさはかでない。 ふかく。はなはだしいさま。重大なさま。 ふける。夜がふける。 ふかい。色が濃い。 きびしい。むごい。 み。ふかいことを意味する接頭語。</v>
      </c>
      <c r="H1407" t="str">
        <v>#慈愛 #知性</v>
      </c>
      <c r="I1407">
        <v>95</v>
      </c>
      <c r="J1407">
        <v>60</v>
      </c>
      <c r="K1407">
        <v>65</v>
      </c>
      <c r="L1407">
        <v>0</v>
      </c>
      <c r="M1407">
        <f>VLOOKUP(A1407,[1]kanji_data!$A:$N,14,FALSE)</f>
        <v>0</v>
      </c>
    </row>
    <row r="1408">
      <c r="A1408" t="str">
        <v>族</v>
      </c>
      <c r="B1408">
        <v>11</v>
      </c>
      <c r="C1408" t="b">
        <v>1</v>
      </c>
      <c r="D1408" t="str">
        <v>ゾク</v>
      </c>
      <c r="E1408" t="str">
        <v>やから</v>
      </c>
      <c r="F1408">
        <v>0</v>
      </c>
      <c r="G1408" t="str">
        <v>やから。身内。同類。仲間。グループ。 あつまる。むらがる。＝簇</v>
      </c>
      <c r="H1408" t="str">
        <v>#心・志 #調和</v>
      </c>
      <c r="I1408">
        <v>10</v>
      </c>
      <c r="J1408">
        <v>50</v>
      </c>
      <c r="K1408">
        <v>50</v>
      </c>
      <c r="L1408">
        <v>1</v>
      </c>
    </row>
    <row r="1409">
      <c r="A1409" t="str">
        <v>臭</v>
      </c>
      <c r="B1409">
        <v>10</v>
      </c>
      <c r="C1409" t="b">
        <v>0</v>
      </c>
      <c r="D1409" t="str">
        <v>シュウ キュウ</v>
      </c>
      <c r="E1409" t="str">
        <v>くさ（い） にお（う）</v>
      </c>
      <c r="F1409">
        <v>0</v>
      </c>
      <c r="G1409" t="str">
        <v>におい。におう。 くさい。悪臭。 くさる。くさらす。 悪いうわさ。悪評。みにくい。 かぐ。においをかぐ。</v>
      </c>
      <c r="I1409">
        <v>10</v>
      </c>
      <c r="J1409">
        <v>50</v>
      </c>
      <c r="K1409">
        <v>50</v>
      </c>
      <c r="L1409">
        <v>1</v>
      </c>
    </row>
    <row r="1410">
      <c r="A1410" t="str">
        <v>剝</v>
      </c>
      <c r="B1410">
        <v>10</v>
      </c>
      <c r="C1410" t="b">
        <v>1</v>
      </c>
      <c r="D1410" t="str">
        <v>ハク ホク</v>
      </c>
      <c r="E1410" t="str">
        <v>は（がす） は（がれる） は（ぐ） は（げる） と（る） む（く）</v>
      </c>
      <c r="F1410">
        <v>0</v>
      </c>
      <c r="G1410" t="str">
        <v>はがす。はぐ。むく。はぎとる。皮をはぎとる。 はがれる。はげる。はがれ落ちる。 易（エキ）の六十四卦の一つ。 打つ。たたく。また、打ったりたたいたりする音。＝撲 取る。</v>
      </c>
      <c r="I1410">
        <v>10</v>
      </c>
      <c r="J1410">
        <v>50</v>
      </c>
      <c r="K1410">
        <v>50</v>
      </c>
      <c r="L1410">
        <v>1</v>
      </c>
    </row>
    <row r="1411">
      <c r="A1411" t="str">
        <v>笛</v>
      </c>
      <c r="B1411">
        <v>11</v>
      </c>
      <c r="C1411" t="b">
        <v>1</v>
      </c>
      <c r="D1411" t="str">
        <v>テキ ジャク</v>
      </c>
      <c r="E1411" t="str">
        <v>ふえ</v>
      </c>
      <c r="F1411" t="str">
        <v>ふ</v>
      </c>
      <c r="G1411" t="str">
        <v>ふえ。竹の管に穴をあけて吹き鳴らすもの。 吹き鳴らす楽器の総称。</v>
      </c>
      <c r="H1411" t="str">
        <v>#自然</v>
      </c>
      <c r="I1411">
        <v>15</v>
      </c>
      <c r="J1411">
        <v>55</v>
      </c>
      <c r="K1411">
        <v>55</v>
      </c>
      <c r="L1411">
        <v>0</v>
      </c>
      <c r="M1411">
        <f>VLOOKUP(A1411,[1]kanji_data!$A:$N,14,FALSE)</f>
        <v>0</v>
      </c>
    </row>
    <row r="1412">
      <c r="A1412" t="str">
        <v>転</v>
      </c>
      <c r="B1412">
        <v>11</v>
      </c>
      <c r="C1412" t="b">
        <v>1</v>
      </c>
      <c r="D1412" t="str">
        <v>テン</v>
      </c>
      <c r="E1412" t="str">
        <v>ころ（がす） ころ（がる） ころ（げる） ころ（ぶ） うた（た） うつ（る） くるり こ（ける） まろ（ぶ）</v>
      </c>
      <c r="F1412" t="str">
        <v>ひろ</v>
      </c>
      <c r="G1412" t="str">
        <v>ころぶ。ころがる。倒れる。ひっくりかえる。 まわる。めぐる。くるくるまわる。 移る。移す。変わる。 うたた。いよいよ。ますます。 運ぶ。 棄てる。</v>
      </c>
      <c r="H1412" t="str">
        <v>#天空</v>
      </c>
      <c r="I1412">
        <v>30</v>
      </c>
      <c r="J1412">
        <v>50</v>
      </c>
      <c r="K1412">
        <v>50</v>
      </c>
      <c r="L1412">
        <v>1</v>
      </c>
    </row>
    <row r="1413">
      <c r="A1413" t="str">
        <v>都</v>
      </c>
      <c r="B1413">
        <v>11</v>
      </c>
      <c r="C1413" t="b">
        <v>1</v>
      </c>
      <c r="D1413" t="str">
        <v>ツ ト</v>
      </c>
      <c r="E1413" t="str">
        <v>みやこ すべ（て）</v>
      </c>
      <c r="F1413" t="str">
        <v>いち くに さと ひろ よし</v>
      </c>
      <c r="G1413" t="str">
        <v>みやこ。天子の宮城のある地。 みやこする。都を定める。 大きな町。 みやびやか。上品で美しい。 集まる。集める。 統べる。 すべて。みな。 ああ。感嘆の声。 と。東京都の略称。</v>
      </c>
      <c r="H1413" t="str">
        <v>#品格 #花・彩 #調和</v>
      </c>
      <c r="I1413">
        <v>90</v>
      </c>
      <c r="J1413">
        <v>45</v>
      </c>
      <c r="K1413">
        <v>65</v>
      </c>
      <c r="L1413">
        <v>0</v>
      </c>
      <c r="M1413">
        <f>VLOOKUP(A1413,[1]kanji_data!$A:$N,14,FALSE)</f>
        <v>0</v>
      </c>
    </row>
    <row r="1414">
      <c r="A1414" t="str">
        <v>教</v>
      </c>
      <c r="B1414">
        <v>11</v>
      </c>
      <c r="C1414" t="b">
        <v>1</v>
      </c>
      <c r="D1414" t="str">
        <v>キョウ</v>
      </c>
      <c r="E1414" t="str">
        <v>おし（える） おそ（わる）</v>
      </c>
      <c r="F1414" t="str">
        <v>かず たか なり のり みち ゆき</v>
      </c>
      <c r="G1414" t="str">
        <v>おしえる。おしえみちびく。おしえさとす。 おしえ。いましめ。 おしえ。神仏のおしえ。 しむ。せしむ。「教ＡＢ」の形で、「ＡをしてＢせしむ」と読み、「ＡにＢをさせる」の意。</v>
      </c>
      <c r="I1414">
        <v>15</v>
      </c>
      <c r="J1414">
        <v>55</v>
      </c>
      <c r="K1414">
        <v>55</v>
      </c>
      <c r="L1414">
        <v>0</v>
      </c>
      <c r="M1414">
        <f>VLOOKUP(A1414,[1]kanji_data!$A:$N,14,FALSE)</f>
        <v>0</v>
      </c>
    </row>
    <row r="1415">
      <c r="A1415" t="str">
        <v>部</v>
      </c>
      <c r="B1415">
        <v>11</v>
      </c>
      <c r="C1415" t="b">
        <v>1</v>
      </c>
      <c r="D1415" t="str">
        <v>ブ ホ ホウ</v>
      </c>
      <c r="E1415" t="str">
        <v>くみ す（べる） つかさ べ わ（ける）</v>
      </c>
      <c r="F1415" t="str">
        <v>きつ もと</v>
      </c>
      <c r="G1415" t="str">
        <v>くみ。軍隊の編成単位。 すべる。統括する。率いる。 つかさ。役所。 わける。区分する。 むれ。集落。村。 区分されたものを数える助数詞。 小さな丘。小高い丘。 べ。上代、ある職務を専門として朝廷に仕えた集団。</v>
      </c>
      <c r="H1415" t="str">
        <v>#自然</v>
      </c>
      <c r="I1415">
        <v>15</v>
      </c>
      <c r="J1415">
        <v>50</v>
      </c>
      <c r="K1415">
        <v>50</v>
      </c>
      <c r="L1415">
        <v>1</v>
      </c>
    </row>
    <row r="1416">
      <c r="A1416" t="str">
        <v>黄</v>
      </c>
      <c r="B1416">
        <v>11</v>
      </c>
      <c r="C1416" t="b">
        <v>1</v>
      </c>
      <c r="D1416" t="str">
        <v>オウ コウ</v>
      </c>
      <c r="E1416" t="str">
        <v>き こ</v>
      </c>
      <c r="F1416" t="str">
        <v>かつみ</v>
      </c>
      <c r="G1416" t="str">
        <v>き。きいろ。 きばむ。きいろになる。 こども。幼いこども。</v>
      </c>
      <c r="I1416">
        <v>15</v>
      </c>
      <c r="J1416">
        <v>60</v>
      </c>
      <c r="K1416">
        <v>60</v>
      </c>
      <c r="L1416">
        <v>0</v>
      </c>
      <c r="M1416">
        <f>VLOOKUP(A1416,[1]kanji_data!$A:$N,14,FALSE)</f>
        <v>0</v>
      </c>
    </row>
    <row r="1417">
      <c r="A1417" t="str">
        <v>終</v>
      </c>
      <c r="B1417">
        <v>11</v>
      </c>
      <c r="C1417" t="b">
        <v>1</v>
      </c>
      <c r="D1417" t="str">
        <v>シュウ</v>
      </c>
      <c r="E1417" t="str">
        <v>お（える） お（わる） しま（う） つい（に）</v>
      </c>
      <c r="F1417">
        <v>0</v>
      </c>
      <c r="G1417" t="str">
        <v>おわる。おわり。おえる。おしまいにする。すませる。最後。果て。 死ぬ。命がつきる。 ついに。とうとう。どうしても。</v>
      </c>
      <c r="I1417">
        <v>10</v>
      </c>
      <c r="J1417">
        <v>50</v>
      </c>
      <c r="K1417">
        <v>50</v>
      </c>
      <c r="L1417">
        <v>1</v>
      </c>
    </row>
    <row r="1418">
      <c r="A1418" t="str">
        <v>巣</v>
      </c>
      <c r="B1418">
        <v>11</v>
      </c>
      <c r="C1418" t="b">
        <v>1</v>
      </c>
      <c r="D1418" t="str">
        <v>ソウ</v>
      </c>
      <c r="E1418" t="str">
        <v>す</v>
      </c>
      <c r="F1418">
        <v>0</v>
      </c>
      <c r="G1418" t="str">
        <v>す。鳥のすみか。また、獣や虫などのすみか。 かくれが。盗賊などの隠れひそむ所。</v>
      </c>
      <c r="I1418">
        <v>10</v>
      </c>
      <c r="J1418">
        <v>50</v>
      </c>
      <c r="K1418">
        <v>50</v>
      </c>
      <c r="L1418">
        <v>1</v>
      </c>
    </row>
    <row r="1419">
      <c r="A1419" t="str">
        <v>救</v>
      </c>
      <c r="B1419">
        <v>11</v>
      </c>
      <c r="C1419" t="b">
        <v>1</v>
      </c>
      <c r="D1419" t="str">
        <v>キュウ ク グ</v>
      </c>
      <c r="E1419" t="str">
        <v>すく（う） たす（ける）</v>
      </c>
      <c r="F1419">
        <v>0</v>
      </c>
      <c r="G1419" t="str">
        <v>すくう。たすける。ふせぎとめる。</v>
      </c>
      <c r="H1419" t="str">
        <v>#慈愛</v>
      </c>
      <c r="I1419">
        <v>10</v>
      </c>
      <c r="J1419">
        <v>70</v>
      </c>
      <c r="K1419">
        <v>60</v>
      </c>
      <c r="L1419">
        <v>0</v>
      </c>
      <c r="M1419">
        <f>VLOOKUP(A1419,[1]kanji_data!$A:$N,14,FALSE)</f>
        <v>0</v>
      </c>
    </row>
    <row r="1420">
      <c r="A1420" t="str">
        <v>健</v>
      </c>
      <c r="B1420">
        <v>11</v>
      </c>
      <c r="C1420" t="b">
        <v>1</v>
      </c>
      <c r="D1420" t="str">
        <v>ケン</v>
      </c>
      <c r="E1420" t="str">
        <v>すこ（やか） したた（か） たけ（し）</v>
      </c>
      <c r="F1420" t="str">
        <v>かつ たけし つよ つよし とし やす</v>
      </c>
      <c r="G1420" t="str">
        <v>すこやか。すくよか。体が丈夫。 したたか。はなはだしく。ひどく。 たけし。つよい。力が強い。 たけている。能力がある。</v>
      </c>
      <c r="H1420" t="str">
        <v>#健康 #知性</v>
      </c>
      <c r="I1420">
        <v>100</v>
      </c>
      <c r="J1420">
        <v>100</v>
      </c>
      <c r="K1420">
        <v>30</v>
      </c>
      <c r="L1420">
        <v>0</v>
      </c>
      <c r="M1420">
        <f>VLOOKUP(A1420,[1]kanji_data!$A:$N,14,FALSE)</f>
        <v>0</v>
      </c>
    </row>
    <row r="1421">
      <c r="A1421" t="str">
        <v>康</v>
      </c>
      <c r="B1421">
        <v>11</v>
      </c>
      <c r="C1421" t="b">
        <v>1</v>
      </c>
      <c r="D1421" t="str">
        <v>コウ</v>
      </c>
      <c r="E1421" t="str">
        <v>やす（い）</v>
      </c>
      <c r="F1421" t="str">
        <v>しず しずか みち やすし よし</v>
      </c>
      <c r="G1421" t="str">
        <v>やすい。やすらか。 すこやか。丈夫。健康。</v>
      </c>
      <c r="H1421" t="str">
        <v>#健康</v>
      </c>
      <c r="I1421">
        <v>100</v>
      </c>
      <c r="J1421">
        <v>90</v>
      </c>
      <c r="K1421">
        <v>35</v>
      </c>
      <c r="L1421">
        <v>0</v>
      </c>
      <c r="M1421">
        <f>VLOOKUP(A1421,[1]kanji_data!$A:$N,14,FALSE)</f>
        <v>0</v>
      </c>
    </row>
    <row r="1422">
      <c r="A1422" t="str">
        <v>菜</v>
      </c>
      <c r="B1422">
        <v>11</v>
      </c>
      <c r="C1422" t="b">
        <v>1</v>
      </c>
      <c r="D1422" t="str">
        <v>サイ</v>
      </c>
      <c r="E1422" t="str">
        <v>な</v>
      </c>
      <c r="F1422">
        <v>0</v>
      </c>
      <c r="G1422" t="str">
        <v>な。なっぱ。葉・茎・根などを食用にする野菜の総称。あおもの。 おかず。副食物。料理。</v>
      </c>
      <c r="H1422" t="str">
        <v>#自然</v>
      </c>
      <c r="I1422">
        <v>90</v>
      </c>
      <c r="J1422">
        <v>25</v>
      </c>
      <c r="K1422">
        <v>85</v>
      </c>
      <c r="L1422">
        <v>0</v>
      </c>
      <c r="M1422">
        <f>VLOOKUP(A1422,[1]kanji_data!$A:$N,14,FALSE)</f>
        <v>0</v>
      </c>
    </row>
    <row r="1423">
      <c r="A1423" t="str">
        <v>混</v>
      </c>
      <c r="B1423">
        <v>11</v>
      </c>
      <c r="C1423" t="b">
        <v>1</v>
      </c>
      <c r="D1423" t="str">
        <v>コン</v>
      </c>
      <c r="E1423" t="str">
        <v>こ（む） ま（ざる） ま（じる） ま（ぜる）</v>
      </c>
      <c r="F1423">
        <v>0</v>
      </c>
      <c r="G1423" t="str">
        <v>まじる。まざる。まぜる。入り乱れる。区別がなくなる。込み合う。 にごる。にごす。黒くにごっているさま。暗くはっきりみえないさま。 水が盛んにわき出るさま。水が流れるさま。</v>
      </c>
      <c r="I1423">
        <v>10</v>
      </c>
      <c r="J1423">
        <v>50</v>
      </c>
      <c r="K1423">
        <v>50</v>
      </c>
      <c r="L1423">
        <v>1</v>
      </c>
    </row>
    <row r="1424">
      <c r="A1424" t="str">
        <v>唱</v>
      </c>
      <c r="B1424">
        <v>11</v>
      </c>
      <c r="C1424" t="b">
        <v>1</v>
      </c>
      <c r="D1424" t="str">
        <v>ショウ</v>
      </c>
      <c r="E1424" t="str">
        <v>とな（える） うた うた（う）</v>
      </c>
      <c r="F1424">
        <v>0</v>
      </c>
      <c r="G1424" t="str">
        <v>となえる。人より先に言いはじめる。 となえる。声に出して読み上げる。 うた。拍子や節をつけて歌詞を発声するもの。 うたう。節をつけてうたう。音楽にあわせてうたう。</v>
      </c>
      <c r="H1424" t="str">
        <v>#調和</v>
      </c>
      <c r="I1424">
        <v>10</v>
      </c>
      <c r="J1424">
        <v>80</v>
      </c>
      <c r="K1424">
        <v>45</v>
      </c>
      <c r="L1424">
        <v>0</v>
      </c>
      <c r="M1424">
        <f>VLOOKUP(A1424,[1]kanji_data!$A:$N,14,FALSE)</f>
        <v>0</v>
      </c>
    </row>
    <row r="1425">
      <c r="A1425" t="str">
        <v>清</v>
      </c>
      <c r="B1425">
        <v>11</v>
      </c>
      <c r="C1425" t="b">
        <v>1</v>
      </c>
      <c r="D1425" t="str">
        <v>セイ ショウ シン</v>
      </c>
      <c r="E1425" t="str">
        <v>きよ（い） きよ（まる） きよ（める） さや（か） す（む）</v>
      </c>
      <c r="F1425" t="str">
        <v>きよ きよし すが すみ すむ</v>
      </c>
      <c r="G1425" t="str">
        <v>きよい。きよらか。きよまる。鮮やか。すむ。水がきれいに澄んでいる。心や行動がきよらかである。けがれがない。いさぎよい。 きよめる。きれいにする整理する。 すがすがしい。さわやか。さっぱりしている。 静か。おだやか。 シン。中国の王朝の名。</v>
      </c>
      <c r="H1425" t="str">
        <v>#慈愛 #海・水</v>
      </c>
      <c r="I1425">
        <v>100</v>
      </c>
      <c r="J1425">
        <v>65</v>
      </c>
      <c r="K1425">
        <v>55</v>
      </c>
      <c r="L1425">
        <v>0</v>
      </c>
      <c r="M1425">
        <f>VLOOKUP(A1425,[1]kanji_data!$A:$N,14,FALSE)</f>
        <v>0</v>
      </c>
    </row>
    <row r="1426">
      <c r="A1426" t="str">
        <v>授</v>
      </c>
      <c r="B1426">
        <v>11</v>
      </c>
      <c r="C1426" t="b">
        <v>1</v>
      </c>
      <c r="D1426" t="str">
        <v>ジュ</v>
      </c>
      <c r="E1426" t="str">
        <v>さず（かる） さず（ける）</v>
      </c>
      <c r="F1426">
        <v>0</v>
      </c>
      <c r="G1426" t="str">
        <v>さずける。与える。手渡しで与える。 さずける。教えさずける。伝える。 さずかる。いただく。たまわる。</v>
      </c>
      <c r="I1426">
        <v>10</v>
      </c>
      <c r="J1426">
        <v>35</v>
      </c>
      <c r="K1426">
        <v>75</v>
      </c>
      <c r="L1426">
        <v>0</v>
      </c>
      <c r="M1426">
        <f>VLOOKUP(A1426,[1]kanji_data!$A:$N,14,FALSE)</f>
        <v>0</v>
      </c>
    </row>
    <row r="1427">
      <c r="A1427" t="str">
        <v>側</v>
      </c>
      <c r="B1427">
        <v>11</v>
      </c>
      <c r="C1427" t="b">
        <v>1</v>
      </c>
      <c r="D1427" t="str">
        <v>ソク ショク</v>
      </c>
      <c r="E1427" t="str">
        <v>がわ かたわ（ら） かわ そば はた</v>
      </c>
      <c r="F1427">
        <v>0</v>
      </c>
      <c r="G1427" t="str">
        <v>かたわら。そば。わき。 そばだてる。そばめる。かたむける。片方に寄せる。 かすかに。ほんの少し。 いたむ。＝惻 書法「永字八法」の一つ。筆画の点。 がわ。かわ。ものの一方の面。片面。例：片側</v>
      </c>
      <c r="H1427" t="str">
        <v>#天空</v>
      </c>
      <c r="I1427">
        <v>10</v>
      </c>
      <c r="J1427">
        <v>50</v>
      </c>
      <c r="K1427">
        <v>50</v>
      </c>
      <c r="L1427">
        <v>1</v>
      </c>
    </row>
    <row r="1428">
      <c r="A1428" t="str">
        <v>責</v>
      </c>
      <c r="B1428">
        <v>11</v>
      </c>
      <c r="C1428" t="b">
        <v>1</v>
      </c>
      <c r="D1428" t="str">
        <v>セキ サイ シャク</v>
      </c>
      <c r="E1428" t="str">
        <v>せ（める）</v>
      </c>
      <c r="F1428">
        <v>0</v>
      </c>
      <c r="G1428" t="str">
        <v>せめる。もとめる。とがめる。そしる。勧める。 せめ。とがめ。つとめ。おいめ。義務。 おいめ。負債。借金。</v>
      </c>
      <c r="I1428">
        <v>10</v>
      </c>
      <c r="J1428">
        <v>50</v>
      </c>
      <c r="K1428">
        <v>50</v>
      </c>
      <c r="L1428">
        <v>1</v>
      </c>
    </row>
    <row r="1429">
      <c r="A1429" t="str">
        <v>堂</v>
      </c>
      <c r="B1429">
        <v>11</v>
      </c>
      <c r="C1429" t="b">
        <v>1</v>
      </c>
      <c r="D1429" t="str">
        <v>ドウ トウ</v>
      </c>
      <c r="E1429" t="str">
        <v>たかどの</v>
      </c>
      <c r="F1429" t="str">
        <v>たか</v>
      </c>
      <c r="G1429" t="str">
        <v>たかどの。大きな御殿。大きな建物。 表座敷。南向きの大広間。 大きいさま。広いさま。立派なさま。 相手の母を敬っていう語。 父方の親族。</v>
      </c>
      <c r="H1429" t="str">
        <v>#品格 #繁栄</v>
      </c>
      <c r="I1429">
        <v>90</v>
      </c>
      <c r="J1429">
        <v>50</v>
      </c>
      <c r="K1429">
        <v>70</v>
      </c>
      <c r="L1429">
        <v>0</v>
      </c>
      <c r="M1429">
        <f>VLOOKUP(A1429,[1]kanji_data!$A:$N,14,FALSE)</f>
        <v>0</v>
      </c>
    </row>
    <row r="1430">
      <c r="A1430" t="str">
        <v>得</v>
      </c>
      <c r="B1430">
        <v>11</v>
      </c>
      <c r="C1430" t="b">
        <v>1</v>
      </c>
      <c r="D1430" t="str">
        <v>トク</v>
      </c>
      <c r="E1430" t="str">
        <v>え（る） う（る）</v>
      </c>
      <c r="F1430">
        <v>0</v>
      </c>
      <c r="G1430" t="str">
        <v>える。うる。手に入れる。自分の所有とする。 さとる。わかる。理解する。 もうけ。もうける。利益をえる。 「～（を）う」と読み、「～できる」と可能の意を表す。</v>
      </c>
      <c r="H1430" t="str">
        <v>#知性</v>
      </c>
      <c r="I1430">
        <v>10</v>
      </c>
      <c r="J1430">
        <v>65</v>
      </c>
      <c r="K1430">
        <v>50</v>
      </c>
      <c r="L1430">
        <v>0</v>
      </c>
      <c r="M1430">
        <f>VLOOKUP(A1430,[1]kanji_data!$A:$N,14,FALSE)</f>
        <v>0</v>
      </c>
    </row>
    <row r="1431">
      <c r="A1431" t="str">
        <v>接</v>
      </c>
      <c r="B1431">
        <v>11</v>
      </c>
      <c r="C1431" t="b">
        <v>1</v>
      </c>
      <c r="D1431" t="str">
        <v>セツ ショウ</v>
      </c>
      <c r="E1431" t="str">
        <v>つ（ぐ） は（ぐ） まじ（わる） もてな（す）</v>
      </c>
      <c r="F1431">
        <v>0</v>
      </c>
      <c r="G1431" t="str">
        <v>つぐ。つなぐ。つなぎ合わせる。 近づく。近くによる。 まじわる。人と交わる。人と触れ合う。また、もてなす。 うける。受け取る。受け入れる。 はぐ。つぎ合せる。</v>
      </c>
      <c r="I1431">
        <v>10</v>
      </c>
      <c r="J1431">
        <v>50</v>
      </c>
      <c r="K1431">
        <v>50</v>
      </c>
      <c r="L1431">
        <v>1</v>
      </c>
    </row>
    <row r="1432">
      <c r="A1432" t="str">
        <v>票</v>
      </c>
      <c r="B1432">
        <v>11</v>
      </c>
      <c r="C1432" t="b">
        <v>1</v>
      </c>
      <c r="D1432" t="str">
        <v>ヒョウ</v>
      </c>
      <c r="E1432" t="str">
        <v>ふだ</v>
      </c>
      <c r="F1432">
        <v>0</v>
      </c>
      <c r="G1432" t="str">
        <v>火が飛ぶ。火の粉が舞い上がるさま。火の粉が飛び散るさま。 ゆれる。ゆれ動く。 ふだ。手形。切手。紙幣。 選挙や採択などに用いる札。また、その札を数える語。</v>
      </c>
      <c r="H1432" t="str">
        <v>#繁栄</v>
      </c>
      <c r="I1432">
        <v>10</v>
      </c>
      <c r="J1432">
        <v>50</v>
      </c>
      <c r="K1432">
        <v>50</v>
      </c>
      <c r="L1432">
        <v>1</v>
      </c>
    </row>
    <row r="1433">
      <c r="A1433" t="str">
        <v>著</v>
      </c>
      <c r="B1433">
        <v>11</v>
      </c>
      <c r="C1433" t="b">
        <v>1</v>
      </c>
      <c r="D1433" t="str">
        <v>チョ ジャク チャク</v>
      </c>
      <c r="E1433" t="str">
        <v>あらわ（す） いちじる（しい） き（る） つ（く）</v>
      </c>
      <c r="F1433" t="str">
        <v>あき あきら つぎ つぐ</v>
      </c>
      <c r="G1433" t="str">
        <v>あらわす。書き表す。書き記す。 あらわれる。目立つ。名高くなる。 いちじるしい。あきらかである。はっきりしている。目立っている。 きる。衣服を身につける。＝着 つく。くっつく。つける。くっつける。＝着</v>
      </c>
      <c r="H1433" t="str">
        <v>#知性 #品格</v>
      </c>
      <c r="I1433">
        <v>40</v>
      </c>
      <c r="J1433">
        <v>40</v>
      </c>
      <c r="K1433">
        <v>40</v>
      </c>
      <c r="L1433">
        <v>0</v>
      </c>
      <c r="M1433">
        <f>VLOOKUP(A1433,[1]kanji_data!$A:$N,14,FALSE)</f>
        <v>0</v>
      </c>
    </row>
    <row r="1434">
      <c r="A1434" t="str">
        <v>望</v>
      </c>
      <c r="B1434">
        <v>11</v>
      </c>
      <c r="C1434" t="b">
        <v>1</v>
      </c>
      <c r="D1434" t="str">
        <v>ボウ モウ</v>
      </c>
      <c r="E1434" t="str">
        <v>のぞ（む） うら（む） もち</v>
      </c>
      <c r="F1434" t="str">
        <v>のぞみ のぞむ み</v>
      </c>
      <c r="G1434" t="str">
        <v>のぞむ。遠くを眺める。見わたす。 のぞむ。ねがう。ほしがる。 うらむ。うらみ。 人気。信用。信頼。尊敬。 もち。もちづき。満月。</v>
      </c>
      <c r="H1434" t="str">
        <v>#品格 #天空</v>
      </c>
      <c r="I1434">
        <v>100</v>
      </c>
      <c r="J1434">
        <v>75</v>
      </c>
      <c r="K1434">
        <v>45</v>
      </c>
      <c r="L1434">
        <v>0</v>
      </c>
      <c r="M1434">
        <f>VLOOKUP(A1434,[1]kanji_data!$A:$N,14,FALSE)</f>
        <v>0</v>
      </c>
    </row>
    <row r="1435">
      <c r="A1435" t="str">
        <v>陸</v>
      </c>
      <c r="B1435">
        <v>11</v>
      </c>
      <c r="C1435" t="b">
        <v>1</v>
      </c>
      <c r="D1435" t="str">
        <v>リク ロク</v>
      </c>
      <c r="E1435" t="str">
        <v>おか くが</v>
      </c>
      <c r="F1435" t="str">
        <v>あつ あつし たか たかし みち む むつ</v>
      </c>
      <c r="G1435" t="str">
        <v>おか。くが。水面より高く平らかな土地。 とびはねる。とびあがる。 契約書や証書などの文書で数字を表すとき、書き換えを防ぐために「六」の代わりに用いる文字。大字。 ろく。平ら。水平。 ろく。まっすぐ。正しい。</v>
      </c>
      <c r="H1435" t="str">
        <v>#勇気 #自然</v>
      </c>
      <c r="I1435">
        <v>100</v>
      </c>
      <c r="J1435">
        <v>80</v>
      </c>
      <c r="K1435">
        <v>45</v>
      </c>
      <c r="L1435">
        <v>0</v>
      </c>
      <c r="M1435">
        <f>VLOOKUP(A1435,[1]kanji_data!$A:$N,14,FALSE)</f>
        <v>0</v>
      </c>
    </row>
    <row r="1436">
      <c r="A1436" t="str">
        <v>密</v>
      </c>
      <c r="B1436">
        <v>11</v>
      </c>
      <c r="C1436" t="b">
        <v>1</v>
      </c>
      <c r="D1436" t="str">
        <v>ミツ ビツ ミチ</v>
      </c>
      <c r="E1436" t="str">
        <v>こま（かい） ひそ（かに）</v>
      </c>
      <c r="F1436">
        <v>0</v>
      </c>
      <c r="G1436" t="str">
        <v>ひそか。ひそかに。人に知られないように。人に見えないように。 こまかい。すき間がない。つまっている。くっついている。 こまかい。くわしい。行き届く。 親しい。仲がよい。また、近い。 堂のような形をした山。</v>
      </c>
      <c r="I1436">
        <v>10</v>
      </c>
      <c r="J1436">
        <v>50</v>
      </c>
      <c r="K1436">
        <v>50</v>
      </c>
      <c r="L1436">
        <v>1</v>
      </c>
    </row>
    <row r="1437">
      <c r="A1437" t="str">
        <v>婚</v>
      </c>
      <c r="B1437">
        <v>11</v>
      </c>
      <c r="C1437" t="b">
        <v>1</v>
      </c>
      <c r="D1437" t="str">
        <v>コン</v>
      </c>
      <c r="E1437">
        <v>0</v>
      </c>
      <c r="F1437">
        <v>0</v>
      </c>
      <c r="G1437" t="str">
        <v>夫婦になる。縁組をする。</v>
      </c>
      <c r="I1437">
        <v>10</v>
      </c>
      <c r="J1437">
        <v>50</v>
      </c>
      <c r="K1437">
        <v>50</v>
      </c>
      <c r="L1437">
        <v>1</v>
      </c>
    </row>
    <row r="1438">
      <c r="A1438" t="str">
        <v>淡</v>
      </c>
      <c r="B1438">
        <v>11</v>
      </c>
      <c r="C1438" t="b">
        <v>1</v>
      </c>
      <c r="D1438" t="str">
        <v>タン</v>
      </c>
      <c r="E1438" t="str">
        <v>あわ（い） うす（い）</v>
      </c>
      <c r="F1438">
        <v>0</v>
      </c>
      <c r="G1438" t="str">
        <v>あわい。うすい。色がうすい。味がうすい。 こだわらない。あっさりしている。執着がない。欲望が少ない。 塩分を含まない。塩気のない。 地名または旧国名「淡路」の略。</v>
      </c>
      <c r="I1438">
        <v>10</v>
      </c>
      <c r="J1438">
        <v>20</v>
      </c>
      <c r="K1438">
        <v>100</v>
      </c>
      <c r="L1438">
        <v>0</v>
      </c>
      <c r="M1438">
        <f>VLOOKUP(A1438,[1]kanji_data!$A:$N,14,FALSE)</f>
        <v>0</v>
      </c>
    </row>
    <row r="1439">
      <c r="A1439" t="str">
        <v>規</v>
      </c>
      <c r="B1439">
        <v>11</v>
      </c>
      <c r="C1439" t="b">
        <v>1</v>
      </c>
      <c r="D1439" t="str">
        <v>キ</v>
      </c>
      <c r="E1439" t="str">
        <v>ただ（す） のり ぶんまわし</v>
      </c>
      <c r="F1439" t="str">
        <v>いさむ さだむ さだめ ただ ただし ちか なり はかる み もと よし</v>
      </c>
      <c r="G1439" t="str">
        <v>ぶんまわし。コンパス。 のり。おきて。きまり。基準。手本。 ただす。いましめる。正しくする。 はかる。計画を立てる。</v>
      </c>
      <c r="H1439" t="str">
        <v>#品格 #天空</v>
      </c>
      <c r="I1439">
        <v>90</v>
      </c>
      <c r="J1439">
        <v>70</v>
      </c>
      <c r="K1439">
        <v>60</v>
      </c>
      <c r="L1439">
        <v>0</v>
      </c>
      <c r="M1439">
        <f>VLOOKUP(A1439,[1]kanji_data!$A:$N,14,FALSE)</f>
        <v>0</v>
      </c>
    </row>
    <row r="1440">
      <c r="A1440" t="str">
        <v>基</v>
      </c>
      <c r="B1440">
        <v>11</v>
      </c>
      <c r="C1440" t="b">
        <v>1</v>
      </c>
      <c r="D1440" t="str">
        <v>キ</v>
      </c>
      <c r="E1440" t="str">
        <v>もと もとい もと（づく）</v>
      </c>
      <c r="F1440" t="str">
        <v>のり はじむ はじめ</v>
      </c>
      <c r="G1440" t="str">
        <v>もと。もとい。建物の基礎。土台。 もと。もとい。よりどころ。根本。 もとづく。根拠とする。よりどころとする。 化学での原子の集合体。 灯籠（とうろう）や墓などを数えることば。</v>
      </c>
      <c r="H1440" t="str">
        <v>#自然</v>
      </c>
      <c r="I1440">
        <v>95</v>
      </c>
      <c r="J1440">
        <v>65</v>
      </c>
      <c r="K1440">
        <v>60</v>
      </c>
      <c r="L1440">
        <v>0</v>
      </c>
      <c r="M1440">
        <f>VLOOKUP(A1440,[1]kanji_data!$A:$N,14,FALSE)</f>
        <v>0</v>
      </c>
    </row>
    <row r="1441">
      <c r="A1441" t="str">
        <v>粒</v>
      </c>
      <c r="B1441">
        <v>11</v>
      </c>
      <c r="C1441" t="b">
        <v>1</v>
      </c>
      <c r="D1441" t="str">
        <v>リュウ</v>
      </c>
      <c r="E1441" t="str">
        <v>つぶ</v>
      </c>
      <c r="F1441">
        <v>0</v>
      </c>
      <c r="G1441" t="str">
        <v>つぶ。米つぶ。穀物のつぶ。 米つぶのように小さく丸いもの。 穀物を食べる。 つぶ状のものを数える助数詞。</v>
      </c>
      <c r="I1441">
        <v>10</v>
      </c>
      <c r="J1441">
        <v>50</v>
      </c>
      <c r="K1441">
        <v>50</v>
      </c>
      <c r="L1441">
        <v>1</v>
      </c>
    </row>
    <row r="1442">
      <c r="A1442" t="str">
        <v>掛</v>
      </c>
      <c r="B1442">
        <v>11</v>
      </c>
      <c r="C1442" t="b">
        <v>1</v>
      </c>
      <c r="D1442" t="str">
        <v>カ カイ ケ</v>
      </c>
      <c r="E1442" t="str">
        <v>かかり か（かる） か（ける）</v>
      </c>
      <c r="F1442">
        <v>0</v>
      </c>
      <c r="G1442" t="str">
        <v>かける。かかる。ひっかける。たれさげる。ぶらさげる。＝挂 かける。かけ算をする。 かける。かかる。時間や労力などを必要とする。費やす。 かかり。受け持ち。担当。</v>
      </c>
      <c r="I1442">
        <v>10</v>
      </c>
      <c r="J1442">
        <v>50</v>
      </c>
      <c r="K1442">
        <v>50</v>
      </c>
      <c r="L1442">
        <v>1</v>
      </c>
    </row>
    <row r="1443">
      <c r="A1443" t="str">
        <v>経</v>
      </c>
      <c r="B1443">
        <v>11</v>
      </c>
      <c r="C1443" t="b">
        <v>1</v>
      </c>
      <c r="D1443" t="str">
        <v>ケイ キョウ キン</v>
      </c>
      <c r="E1443" t="str">
        <v>へ（る） おさ（める） た（つ） たていと</v>
      </c>
      <c r="F1443" t="str">
        <v>おさむ つね のぶ のり</v>
      </c>
      <c r="G1443" t="str">
        <v>へる。たつ。経過する。めぐる。時間がたつ。 治める。営む。統治する。 たていと。織物の縦糸。 たて。南北の方向。上下の方向。 すじ。みち。すじみち。道理。 はかる。測量する。 つね。変わらない。 境。境界。区切り。 のり。みち。法則。 首をくくる。くびれる。</v>
      </c>
      <c r="H1443" t="str">
        <v>#品格 #知性</v>
      </c>
      <c r="I1443">
        <v>90</v>
      </c>
      <c r="J1443">
        <v>80</v>
      </c>
      <c r="K1443">
        <v>45</v>
      </c>
      <c r="L1443">
        <v>0</v>
      </c>
      <c r="M1443">
        <f>VLOOKUP(A1443,[1]kanji_data!$A:$N,14,FALSE)</f>
        <v>0</v>
      </c>
    </row>
    <row r="1444">
      <c r="A1444" t="str">
        <v>控</v>
      </c>
      <c r="B1444">
        <v>11</v>
      </c>
      <c r="C1444" t="b">
        <v>1</v>
      </c>
      <c r="D1444" t="str">
        <v>コウ</v>
      </c>
      <c r="E1444" t="str">
        <v>ひか（える） つ（げる） のぞ（く）</v>
      </c>
      <c r="F1444">
        <v>0</v>
      </c>
      <c r="G1444" t="str">
        <v>ひく。手前にひく。後ろにひっぱる。 ひかえる。ひき止める。押しとどめる。 つげる。うったえる。 ひかえる。やめる。中止する。 ひかえる。ひかえめにする。少なめにする。 ひかえる。備えて待つ。 ひかえ。写し。覚え書き。 ひかえ。備え。予備。</v>
      </c>
      <c r="I1444">
        <v>10</v>
      </c>
      <c r="J1444">
        <v>50</v>
      </c>
      <c r="K1444">
        <v>50</v>
      </c>
      <c r="L1444">
        <v>1</v>
      </c>
    </row>
    <row r="1445">
      <c r="A1445" t="str">
        <v>酔</v>
      </c>
      <c r="B1445">
        <v>11</v>
      </c>
      <c r="C1445" t="b">
        <v>1</v>
      </c>
      <c r="D1445" t="str">
        <v>スイ</v>
      </c>
      <c r="E1445" t="str">
        <v>よ（う）</v>
      </c>
      <c r="F1445">
        <v>0</v>
      </c>
      <c r="G1445" t="str">
        <v>よう。酒によう。 ものごとに心をうばわれる。夢中になる。 よい。酒酔い。 よう。バスや船などの乗り物で気分が悪くなる。</v>
      </c>
      <c r="I1445">
        <v>10</v>
      </c>
      <c r="J1445">
        <v>50</v>
      </c>
      <c r="K1445">
        <v>50</v>
      </c>
      <c r="L1445">
        <v>1</v>
      </c>
    </row>
    <row r="1446">
      <c r="A1446" t="str">
        <v>措</v>
      </c>
      <c r="B1446">
        <v>11</v>
      </c>
      <c r="C1446" t="b">
        <v>1</v>
      </c>
      <c r="D1446" t="str">
        <v>ソ サク</v>
      </c>
      <c r="E1446" t="str">
        <v>お（く） はか（らう）</v>
      </c>
      <c r="F1446">
        <v>0</v>
      </c>
      <c r="G1446" t="str">
        <v>おく。すえる。場所を定めて置く。 おく。ほうっておく。そのままの状態にしておく。 はからう。処置する。手を下す。 はさむ。はさんでつぶす。</v>
      </c>
      <c r="I1446">
        <v>10</v>
      </c>
      <c r="J1446">
        <v>50</v>
      </c>
      <c r="K1446">
        <v>50</v>
      </c>
      <c r="L1446">
        <v>1</v>
      </c>
    </row>
    <row r="1447">
      <c r="A1447" t="str">
        <v>粗</v>
      </c>
      <c r="B1447">
        <v>11</v>
      </c>
      <c r="C1447" t="b">
        <v>1</v>
      </c>
      <c r="D1447" t="str">
        <v>ソ</v>
      </c>
      <c r="E1447" t="str">
        <v>あら（い） ほぼ</v>
      </c>
      <c r="F1447">
        <v>0</v>
      </c>
      <c r="G1447" t="str">
        <v>あらい。おおざっぱ。細かでない。あらあらしい。 そまつな。質が悪い。 ほぼ。だいたい。あらまし。おおよそ。 人に物を贈るときにつける謙称。例：粗品</v>
      </c>
      <c r="I1447">
        <v>10</v>
      </c>
      <c r="J1447">
        <v>50</v>
      </c>
      <c r="K1447">
        <v>50</v>
      </c>
      <c r="L1447">
        <v>1</v>
      </c>
    </row>
    <row r="1448">
      <c r="A1448" t="str">
        <v>掃</v>
      </c>
      <c r="B1448">
        <v>11</v>
      </c>
      <c r="C1448" t="b">
        <v>1</v>
      </c>
      <c r="D1448" t="str">
        <v>ソウ</v>
      </c>
      <c r="E1448" t="str">
        <v>は（く） はら（う）</v>
      </c>
      <c r="F1448">
        <v>0</v>
      </c>
      <c r="G1448" t="str">
        <v>はく。はらう。ほうきではいてきれいにする。 はらう。はらい除く。取り除く。</v>
      </c>
      <c r="I1448">
        <v>10</v>
      </c>
      <c r="J1448">
        <v>50</v>
      </c>
      <c r="K1448">
        <v>50</v>
      </c>
      <c r="L1448">
        <v>1</v>
      </c>
    </row>
    <row r="1449">
      <c r="A1449" t="str">
        <v>術</v>
      </c>
      <c r="B1449">
        <v>11</v>
      </c>
      <c r="C1449" t="b">
        <v>1</v>
      </c>
      <c r="D1449" t="str">
        <v>ジュツ シュツ スイ</v>
      </c>
      <c r="E1449" t="str">
        <v>すべ わざ</v>
      </c>
      <c r="F1449">
        <v>0</v>
      </c>
      <c r="G1449" t="str">
        <v>すべ。方法。てだて。手段。 わざ。学問。手わざ。技芸。 みち。通路。通り道。すじみち。 はかりごと。たくらみ。計略。 述べる。</v>
      </c>
      <c r="H1449" t="str">
        <v>#知性</v>
      </c>
      <c r="I1449">
        <v>10</v>
      </c>
      <c r="J1449">
        <v>55</v>
      </c>
      <c r="K1449">
        <v>55</v>
      </c>
      <c r="L1449">
        <v>1</v>
      </c>
    </row>
    <row r="1450">
      <c r="A1450" t="str">
        <v>常</v>
      </c>
      <c r="B1450">
        <v>11</v>
      </c>
      <c r="C1450" t="b">
        <v>1</v>
      </c>
      <c r="D1450" t="str">
        <v>ジョウ</v>
      </c>
      <c r="E1450" t="str">
        <v>つね とこ</v>
      </c>
      <c r="F1450" t="str">
        <v>とき ときわ のぶ ひさ</v>
      </c>
      <c r="G1450" t="str">
        <v>つね。いつまでも変わることがない。 つね。いつも。普段。 あたりまえ。なみ。普通。 はた。日月や竜などを描いた天子の旗。 長さの単位。一常は、尋（八尺）の二倍。一丈六尺。 とこ。名詞などの上につけて「いつまでも変わらない」「永遠に変わらない」などの意を表す接頭語。</v>
      </c>
      <c r="H1450" t="str">
        <v>#天空</v>
      </c>
      <c r="I1450">
        <v>90</v>
      </c>
      <c r="J1450">
        <v>65</v>
      </c>
      <c r="K1450">
        <v>55</v>
      </c>
      <c r="L1450">
        <v>0</v>
      </c>
      <c r="M1450">
        <f>VLOOKUP(A1450,[1]kanji_data!$A:$N,14,FALSE)</f>
        <v>0</v>
      </c>
    </row>
    <row r="1451">
      <c r="A1451" t="str">
        <v>情</v>
      </c>
      <c r="B1451">
        <v>11</v>
      </c>
      <c r="C1451" t="b">
        <v>1</v>
      </c>
      <c r="D1451" t="str">
        <v>ジョウ セイ</v>
      </c>
      <c r="E1451" t="str">
        <v>なさ（け） おもむき こころ</v>
      </c>
      <c r="F1451">
        <v>0</v>
      </c>
      <c r="G1451" t="str">
        <v>こころ。気持ち。心持ち。 うそ偽りのないこと。本当のありさま。 物事の実際の様子。実際の姿。 異性を恋い慕う気持ち。 おもむき。味わい。 なさけ。他人を思いやる心。</v>
      </c>
      <c r="H1451" t="str">
        <v>#心・志</v>
      </c>
      <c r="I1451">
        <v>10</v>
      </c>
      <c r="J1451">
        <v>15</v>
      </c>
      <c r="K1451">
        <v>100</v>
      </c>
      <c r="L1451">
        <v>0</v>
      </c>
      <c r="M1451">
        <f>VLOOKUP(A1451,[1]kanji_data!$A:$N,14,FALSE)</f>
        <v>0</v>
      </c>
    </row>
    <row r="1452">
      <c r="A1452" t="str">
        <v>彫</v>
      </c>
      <c r="B1452">
        <v>11</v>
      </c>
      <c r="C1452" t="b">
        <v>1</v>
      </c>
      <c r="D1452" t="str">
        <v>チョウ</v>
      </c>
      <c r="E1452" t="str">
        <v>ほ（る）</v>
      </c>
      <c r="F1452">
        <v>0</v>
      </c>
      <c r="G1452" t="str">
        <v>ほる。える。きざむ。模様をほりきざむ。 しぼむ。しおれる。衰える。＝凋</v>
      </c>
      <c r="I1452">
        <v>10</v>
      </c>
      <c r="J1452">
        <v>55</v>
      </c>
      <c r="K1452">
        <v>55</v>
      </c>
      <c r="L1452">
        <v>1</v>
      </c>
    </row>
    <row r="1453">
      <c r="A1453" t="str">
        <v>婆</v>
      </c>
      <c r="B1453">
        <v>11</v>
      </c>
      <c r="C1453" t="b">
        <v>1</v>
      </c>
      <c r="D1453" t="str">
        <v>バ</v>
      </c>
      <c r="E1453" t="str">
        <v>ばば</v>
      </c>
      <c r="F1453">
        <v>0</v>
      </c>
      <c r="G1453" t="str">
        <v>ばば。年老いた女の人。 梵語の音訳に用いる字。</v>
      </c>
      <c r="I1453">
        <v>10</v>
      </c>
      <c r="J1453">
        <v>50</v>
      </c>
      <c r="K1453">
        <v>50</v>
      </c>
      <c r="L1453">
        <v>1</v>
      </c>
    </row>
    <row r="1454">
      <c r="A1454" t="str">
        <v>陪</v>
      </c>
      <c r="B1454">
        <v>11</v>
      </c>
      <c r="C1454" t="b">
        <v>1</v>
      </c>
      <c r="D1454" t="str">
        <v>バイ</v>
      </c>
      <c r="E1454" t="str">
        <v>したが（う）</v>
      </c>
      <c r="F1454">
        <v>0</v>
      </c>
      <c r="G1454" t="str">
        <v>ます。かさねる。くわえる。そえる。 したがう。つきそう。おともする。 またげらい。臣下の臣。</v>
      </c>
      <c r="I1454">
        <v>10</v>
      </c>
      <c r="J1454">
        <v>50</v>
      </c>
      <c r="K1454">
        <v>50</v>
      </c>
      <c r="L1454">
        <v>1</v>
      </c>
    </row>
    <row r="1455">
      <c r="A1455" t="str">
        <v>崩</v>
      </c>
      <c r="B1455">
        <v>11</v>
      </c>
      <c r="C1455" t="b">
        <v>1</v>
      </c>
      <c r="D1455" t="str">
        <v>ホウ</v>
      </c>
      <c r="E1455" t="str">
        <v>くず（す） くず（れる）</v>
      </c>
      <c r="F1455">
        <v>0</v>
      </c>
      <c r="G1455" t="str">
        <v>くずす。くずれる。くずれ落ちる。ばらばらになる。 天子が死ぬ。お隠れになる。</v>
      </c>
      <c r="I1455">
        <v>10</v>
      </c>
      <c r="J1455">
        <v>50</v>
      </c>
      <c r="K1455">
        <v>50</v>
      </c>
      <c r="L1455">
        <v>1</v>
      </c>
    </row>
    <row r="1456">
      <c r="A1456" t="str">
        <v>猟</v>
      </c>
      <c r="B1456">
        <v>11</v>
      </c>
      <c r="C1456" t="b">
        <v>1</v>
      </c>
      <c r="D1456" t="str">
        <v>リョウ</v>
      </c>
      <c r="E1456" t="str">
        <v>か（り） か（る）</v>
      </c>
      <c r="F1456">
        <v>0</v>
      </c>
      <c r="G1456" t="str">
        <v>かる。かりをする。鳥獣を捕らえること。 あさる。探す。探し回る。探し求める。</v>
      </c>
      <c r="I1456">
        <v>10</v>
      </c>
      <c r="J1456">
        <v>50</v>
      </c>
      <c r="K1456">
        <v>50</v>
      </c>
      <c r="L1456">
        <v>1</v>
      </c>
    </row>
    <row r="1457">
      <c r="A1457" t="str">
        <v>貧</v>
      </c>
      <c r="B1457">
        <v>11</v>
      </c>
      <c r="C1457" t="b">
        <v>1</v>
      </c>
      <c r="D1457" t="str">
        <v>ビン ヒン</v>
      </c>
      <c r="E1457" t="str">
        <v>まず（しい）</v>
      </c>
      <c r="F1457">
        <v>0</v>
      </c>
      <c r="G1457" t="str">
        <v>まずしい。財産がとぼしい。 才能がとぼしい。才徳がとぼしい。 少ない。足りない。とぼしい。</v>
      </c>
      <c r="H1457" t="str">
        <v>#心・志 #知性</v>
      </c>
      <c r="I1457">
        <v>10</v>
      </c>
      <c r="J1457">
        <v>50</v>
      </c>
      <c r="K1457">
        <v>50</v>
      </c>
      <c r="L1457">
        <v>1</v>
      </c>
    </row>
    <row r="1458">
      <c r="A1458" t="str">
        <v>殻</v>
      </c>
      <c r="B1458">
        <v>11</v>
      </c>
      <c r="C1458" t="b">
        <v>1</v>
      </c>
      <c r="D1458" t="str">
        <v>カク</v>
      </c>
      <c r="E1458" t="str">
        <v>から</v>
      </c>
      <c r="F1458">
        <v>0</v>
      </c>
      <c r="G1458" t="str">
        <v>から。卵や貝のから。また、物の外側をおおうかたい皮。</v>
      </c>
      <c r="I1458">
        <v>10</v>
      </c>
      <c r="J1458">
        <v>50</v>
      </c>
      <c r="K1458">
        <v>50</v>
      </c>
      <c r="L1458">
        <v>1</v>
      </c>
    </row>
    <row r="1459">
      <c r="A1459" t="str">
        <v>喝</v>
      </c>
      <c r="B1459">
        <v>11</v>
      </c>
      <c r="C1459" t="b">
        <v>1</v>
      </c>
      <c r="D1459" t="str">
        <v>カツ</v>
      </c>
      <c r="E1459" t="str">
        <v>おど（す） しか（る）</v>
      </c>
      <c r="F1459">
        <v>0</v>
      </c>
      <c r="G1459" t="str">
        <v>おどす。大きな声で相手を怖がらせる。おびやかす。 しかる。大きな声でしかりつける。どなりつける。 さけぶ。大きな声をあげる。例：喝采 水などを飲む。</v>
      </c>
      <c r="I1459">
        <v>10</v>
      </c>
      <c r="J1459">
        <v>50</v>
      </c>
      <c r="K1459">
        <v>50</v>
      </c>
      <c r="L1459">
        <v>1</v>
      </c>
    </row>
    <row r="1460">
      <c r="A1460" t="str">
        <v>率</v>
      </c>
      <c r="B1460">
        <v>11</v>
      </c>
      <c r="C1460" t="b">
        <v>1</v>
      </c>
      <c r="D1460" t="str">
        <v>ソツ シュツ スイ リツ</v>
      </c>
      <c r="E1460" t="str">
        <v>ひき（いる） おおむ（ね） かしら したが（う） わりあい</v>
      </c>
      <c r="F1460" t="str">
        <v>のり より</v>
      </c>
      <c r="G1460" t="str">
        <v>ひきいる。導く。 したがう。つきしたがう。従いまもる。 おおむね。すべて。大体。大方。 あっさりしている。かざりけのない。 かしら。おさ。ひきいる者。 わりあい。歩合。程度。 きまり。規則。のり。</v>
      </c>
      <c r="H1460" t="str">
        <v>#品格</v>
      </c>
      <c r="I1460">
        <v>15</v>
      </c>
      <c r="J1460">
        <v>100</v>
      </c>
      <c r="K1460">
        <v>20</v>
      </c>
      <c r="L1460">
        <v>0</v>
      </c>
      <c r="M1460">
        <f>VLOOKUP(A1460,[1]kanji_data!$A:$N,14,FALSE)</f>
        <v>0</v>
      </c>
    </row>
    <row r="1461">
      <c r="A1461" t="str">
        <v>患</v>
      </c>
      <c r="B1461">
        <v>11</v>
      </c>
      <c r="C1461" t="b">
        <v>1</v>
      </c>
      <c r="D1461" t="str">
        <v>カン ゲン</v>
      </c>
      <c r="E1461" t="str">
        <v>わずら（う） うれ（い） うれ（える） わずら（い）</v>
      </c>
      <c r="F1461">
        <v>0</v>
      </c>
      <c r="G1461" t="str">
        <v>うれえる。心配する。心を痛めて悩む。 うれい。心配。心配ごと。 わずらう。病気になる。 わずらい。病気。また、心配や悩み。</v>
      </c>
      <c r="I1461">
        <v>10</v>
      </c>
      <c r="J1461">
        <v>50</v>
      </c>
      <c r="K1461">
        <v>50</v>
      </c>
      <c r="L1461">
        <v>1</v>
      </c>
    </row>
    <row r="1462">
      <c r="A1462" t="str">
        <v>菌</v>
      </c>
      <c r="B1462">
        <v>11</v>
      </c>
      <c r="C1462" t="b">
        <v>1</v>
      </c>
      <c r="D1462" t="str">
        <v>キン</v>
      </c>
      <c r="E1462" t="str">
        <v>きのこ たけ</v>
      </c>
      <c r="F1462">
        <v>0</v>
      </c>
      <c r="G1462" t="str">
        <v>きのこ。たけ。 かび。ばい菌。細菌。バクテリア。 たけのこ。</v>
      </c>
      <c r="I1462">
        <v>10</v>
      </c>
      <c r="J1462">
        <v>50</v>
      </c>
      <c r="K1462">
        <v>50</v>
      </c>
      <c r="L1462">
        <v>1</v>
      </c>
    </row>
    <row r="1463">
      <c r="A1463" t="str">
        <v>訟</v>
      </c>
      <c r="B1463">
        <v>11</v>
      </c>
      <c r="C1463" t="b">
        <v>1</v>
      </c>
      <c r="D1463" t="str">
        <v>ショウ ジュ</v>
      </c>
      <c r="E1463" t="str">
        <v>うった（え） うった（える）</v>
      </c>
      <c r="F1463">
        <v>0</v>
      </c>
      <c r="G1463" t="str">
        <v>うったえる。うったえ。公の場であらそう。 せめる。とがめる。なじる。 易（エキ）の六十四卦の一つ。</v>
      </c>
      <c r="I1463">
        <v>10</v>
      </c>
      <c r="J1463">
        <v>50</v>
      </c>
      <c r="K1463">
        <v>50</v>
      </c>
      <c r="L1463">
        <v>1</v>
      </c>
    </row>
    <row r="1464">
      <c r="A1464" t="str">
        <v>郷</v>
      </c>
      <c r="B1464">
        <v>11</v>
      </c>
      <c r="C1464" t="b">
        <v>1</v>
      </c>
      <c r="D1464" t="str">
        <v>キョウ ゴウ</v>
      </c>
      <c r="E1464" t="str">
        <v>さと</v>
      </c>
      <c r="F1464" t="str">
        <v>あき あきら のり むら</v>
      </c>
      <c r="G1464" t="str">
        <v>さと。周代の行政区画。 むらざと。むら。いなか。 ふるさと。生まれ育った地。例：故郷 向かう。向く。 さきに。さきの。 ごう。昔の行政区画の一つ。</v>
      </c>
      <c r="H1464" t="str">
        <v>#自然 #調和</v>
      </c>
      <c r="I1464">
        <v>60</v>
      </c>
      <c r="J1464">
        <v>40</v>
      </c>
      <c r="K1464">
        <v>75</v>
      </c>
      <c r="L1464">
        <v>0</v>
      </c>
      <c r="M1464">
        <f>VLOOKUP(A1464,[1]kanji_data!$A:$N,14,FALSE)</f>
        <v>0</v>
      </c>
    </row>
    <row r="1465">
      <c r="A1465" t="str">
        <v>済</v>
      </c>
      <c r="B1465">
        <v>11</v>
      </c>
      <c r="C1465" t="b">
        <v>1</v>
      </c>
      <c r="D1465" t="str">
        <v>サイ セイ</v>
      </c>
      <c r="E1465" t="str">
        <v>す（ます） す（む） すく（う） な（す） わた（す） わた（る）</v>
      </c>
      <c r="F1465">
        <v>0</v>
      </c>
      <c r="G1465" t="str">
        <v>すくう。たすける。困難からすくう。 すむ。すます。なす。成る。成し遂げる。 わたる。わたす。川をわたる。渡し場。 通る。通過する。 中国の川の名。済水。 すむ。すます。終える。</v>
      </c>
      <c r="H1465" t="str">
        <v>#慈愛 #海・水</v>
      </c>
      <c r="I1465">
        <v>10</v>
      </c>
      <c r="J1465">
        <v>60</v>
      </c>
      <c r="K1465">
        <v>65</v>
      </c>
      <c r="L1465">
        <v>0</v>
      </c>
      <c r="M1465">
        <f>VLOOKUP(A1465,[1]kanji_data!$A:$N,14,FALSE)</f>
        <v>0</v>
      </c>
    </row>
    <row r="1466">
      <c r="A1466" t="str">
        <v>剰</v>
      </c>
      <c r="B1466">
        <v>11</v>
      </c>
      <c r="C1466" t="b">
        <v>1</v>
      </c>
      <c r="D1466" t="str">
        <v>ジョウ</v>
      </c>
      <c r="E1466" t="str">
        <v>あま（す） あまつさ（え） あま（る）</v>
      </c>
      <c r="F1466">
        <v>0</v>
      </c>
      <c r="G1466" t="str">
        <v>あます。あまる。余分。残り。 あまつさえ。その上。そればかりか。おまけに。</v>
      </c>
      <c r="I1466">
        <v>10</v>
      </c>
      <c r="J1466">
        <v>50</v>
      </c>
      <c r="K1466">
        <v>50</v>
      </c>
      <c r="L1466">
        <v>1</v>
      </c>
    </row>
    <row r="1467">
      <c r="A1467" t="str">
        <v>捨</v>
      </c>
      <c r="B1467">
        <v>11</v>
      </c>
      <c r="C1467" t="b">
        <v>1</v>
      </c>
      <c r="D1467" t="str">
        <v>シャ</v>
      </c>
      <c r="E1467" t="str">
        <v>す（てる） ほどこ（す）</v>
      </c>
      <c r="F1467">
        <v>0</v>
      </c>
      <c r="G1467" t="str">
        <v>すてる。不要なものを手放す。 すてる。放っておく。あきらめる。 ほどこす。寺などに金品を寄付する。</v>
      </c>
      <c r="H1467" t="str">
        <v>#天空</v>
      </c>
      <c r="I1467">
        <v>10</v>
      </c>
      <c r="J1467">
        <v>50</v>
      </c>
      <c r="K1467">
        <v>50</v>
      </c>
      <c r="L1467">
        <v>1</v>
      </c>
    </row>
    <row r="1468">
      <c r="A1468" t="str">
        <v>推</v>
      </c>
      <c r="B1468">
        <v>11</v>
      </c>
      <c r="C1468" t="b">
        <v>1</v>
      </c>
      <c r="D1468" t="str">
        <v>スイ</v>
      </c>
      <c r="E1468" t="str">
        <v>お（す）</v>
      </c>
      <c r="F1468">
        <v>0</v>
      </c>
      <c r="G1468" t="str">
        <v>おす。おして前に進める。 おす。おし上げる。 おす。おし広げる。 おす。すすめる。推薦する。選んで他人にうながす。例：推薦 推奨 おす。おしはかる。考える。ある物事から他の物事の予測を立てる。例：推測 類推 移り変わる。状態などが変化していく。</v>
      </c>
      <c r="H1468" t="str">
        <v>#天空</v>
      </c>
      <c r="I1468">
        <v>10</v>
      </c>
      <c r="J1468">
        <v>70</v>
      </c>
      <c r="K1468">
        <v>50</v>
      </c>
      <c r="L1468">
        <v>1</v>
      </c>
    </row>
    <row r="1469">
      <c r="A1469" t="str">
        <v>盛</v>
      </c>
      <c r="B1469">
        <v>11</v>
      </c>
      <c r="C1469" t="b">
        <v>1</v>
      </c>
      <c r="D1469" t="str">
        <v>セイ ジョウ</v>
      </c>
      <c r="E1469" t="str">
        <v>も（る） さか（る） さか（ん）</v>
      </c>
      <c r="F1469" t="str">
        <v>さかり しげ しげる たけ もり</v>
      </c>
      <c r="G1469" t="str">
        <v>もる。器にものをいれる。高く積む。 もりもの。器にもられた穀物。神に供えるもの。 さかん。さかる。勢いがある。さかんになる。もりたてる。 もる。薬を調合して服用させる。 さかる。さかり。動物の発情期。</v>
      </c>
      <c r="H1469" t="str">
        <v>#天空 #繁栄</v>
      </c>
      <c r="I1469">
        <v>90</v>
      </c>
      <c r="J1469">
        <v>70</v>
      </c>
      <c r="K1469">
        <v>50</v>
      </c>
      <c r="L1469">
        <v>0</v>
      </c>
      <c r="M1469">
        <f>VLOOKUP(A1469,[1]kanji_data!$A:$N,14,FALSE)</f>
        <v>0</v>
      </c>
    </row>
    <row r="1470">
      <c r="A1470" t="str">
        <v>据</v>
      </c>
      <c r="B1470">
        <v>11</v>
      </c>
      <c r="C1470" t="b">
        <v>1</v>
      </c>
      <c r="D1470" t="str">
        <v>キョ</v>
      </c>
      <c r="E1470" t="str">
        <v>す（える） す（わる）</v>
      </c>
      <c r="F1470">
        <v>0</v>
      </c>
      <c r="G1470" t="str">
        <v>よる。よりどころ。よりどころとする。＝拠 すえる。すえおく。場所を定めてしっかりと置く。 すわる。じっとして動かないようになる。また、しっかりと定まる。</v>
      </c>
      <c r="I1470">
        <v>10</v>
      </c>
      <c r="J1470">
        <v>50</v>
      </c>
      <c r="K1470">
        <v>50</v>
      </c>
      <c r="L1470">
        <v>1</v>
      </c>
    </row>
    <row r="1471">
      <c r="A1471" t="str">
        <v>旋</v>
      </c>
      <c r="B1471">
        <v>11</v>
      </c>
      <c r="C1471" t="b">
        <v>1</v>
      </c>
      <c r="D1471" t="str">
        <v>セン</v>
      </c>
      <c r="E1471" t="str">
        <v>めぐ（る）</v>
      </c>
      <c r="F1471">
        <v>0</v>
      </c>
      <c r="G1471" t="str">
        <v>めぐる。まわる。ぐるぐるまわる。 かえる。もどる。もどってくる。</v>
      </c>
      <c r="I1471">
        <v>10</v>
      </c>
      <c r="J1471">
        <v>100</v>
      </c>
      <c r="K1471">
        <v>25</v>
      </c>
      <c r="L1471">
        <v>0</v>
      </c>
      <c r="M1471">
        <f>VLOOKUP(A1471,[1]kanji_data!$A:$N,14,FALSE)</f>
        <v>0</v>
      </c>
    </row>
    <row r="1472">
      <c r="A1472" t="str">
        <v>曹</v>
      </c>
      <c r="B1472">
        <v>11</v>
      </c>
      <c r="C1472" t="b">
        <v>1</v>
      </c>
      <c r="D1472" t="str">
        <v>ソウ ゾウ</v>
      </c>
      <c r="E1472" t="str">
        <v>つかさ ともがら</v>
      </c>
      <c r="F1472">
        <v>0</v>
      </c>
      <c r="G1472" t="str">
        <v>つかさ。役人。また、役所。 ともがら。やから。なかま。 へや。役所の部局。</v>
      </c>
      <c r="I1472">
        <v>10</v>
      </c>
      <c r="J1472">
        <v>50</v>
      </c>
      <c r="K1472">
        <v>50</v>
      </c>
      <c r="L1472">
        <v>1</v>
      </c>
    </row>
    <row r="1473">
      <c r="A1473" t="str">
        <v>頂</v>
      </c>
      <c r="B1473">
        <v>11</v>
      </c>
      <c r="C1473" t="b">
        <v>1</v>
      </c>
      <c r="D1473" t="str">
        <v>チョウ テイ</v>
      </c>
      <c r="E1473" t="str">
        <v>いただき いただ（く）</v>
      </c>
      <c r="F1473" t="str">
        <v>かみ</v>
      </c>
      <c r="G1473" t="str">
        <v>いただき。てっぺん。いちばん高い所。 いただき。あたま。頭のてっぺん。 いただく。頭などの上に物をのせる。 いただく。もらう、食べる、飲むなどの丁寧な言い方。</v>
      </c>
      <c r="H1473" t="str">
        <v>#品格 #繁栄</v>
      </c>
      <c r="I1473">
        <v>5</v>
      </c>
      <c r="J1473">
        <v>100</v>
      </c>
      <c r="K1473">
        <v>25</v>
      </c>
      <c r="L1473">
        <v>0</v>
      </c>
      <c r="M1473">
        <f>VLOOKUP(A1473,[1]kanji_data!$A:$N,14,FALSE)</f>
        <v>0</v>
      </c>
    </row>
    <row r="1474">
      <c r="A1474" t="str">
        <v>脳</v>
      </c>
      <c r="B1474">
        <v>11</v>
      </c>
      <c r="C1474" t="b">
        <v>1</v>
      </c>
      <c r="D1474" t="str">
        <v>ノウ ドウ</v>
      </c>
      <c r="E1474">
        <v>0</v>
      </c>
      <c r="F1474">
        <v>0</v>
      </c>
      <c r="G1474" t="str">
        <v>のう。のうみそ。頭蓋骨の中にあり、精神をつかさどる器官。 頭。頭のはたらき。精神のはたらき。 中心となるもの。主要なもの。重要なもの。</v>
      </c>
      <c r="H1474" t="str">
        <v>#心・志</v>
      </c>
      <c r="I1474">
        <v>10</v>
      </c>
      <c r="J1474">
        <v>50</v>
      </c>
      <c r="K1474">
        <v>50</v>
      </c>
      <c r="L1474">
        <v>1</v>
      </c>
    </row>
    <row r="1475">
      <c r="A1475" t="str">
        <v>釣</v>
      </c>
      <c r="B1475">
        <v>11</v>
      </c>
      <c r="C1475" t="b">
        <v>1</v>
      </c>
      <c r="D1475" t="str">
        <v>チョウ</v>
      </c>
      <c r="E1475" t="str">
        <v>つ（る）</v>
      </c>
      <c r="F1475">
        <v>0</v>
      </c>
      <c r="G1475" t="str">
        <v>つる。水中の魚を針でつる。 つる。さそいだす。おびきだす。 つり。魚つり。 つり。おつり。つり銭。 つる。つりさげる。ぶらさげる。</v>
      </c>
      <c r="I1475">
        <v>10</v>
      </c>
      <c r="J1475">
        <v>50</v>
      </c>
      <c r="K1475">
        <v>50</v>
      </c>
      <c r="L1475">
        <v>1</v>
      </c>
    </row>
    <row r="1476">
      <c r="A1476" t="str">
        <v>悼</v>
      </c>
      <c r="B1476">
        <v>11</v>
      </c>
      <c r="C1476" t="b">
        <v>1</v>
      </c>
      <c r="D1476" t="str">
        <v>トウ</v>
      </c>
      <c r="E1476" t="str">
        <v>いた（む）</v>
      </c>
      <c r="F1476">
        <v>0</v>
      </c>
      <c r="G1476" t="str">
        <v>いたむ。人の死を悲しみなげく。</v>
      </c>
      <c r="I1476">
        <v>10</v>
      </c>
      <c r="J1476">
        <v>50</v>
      </c>
      <c r="K1476">
        <v>50</v>
      </c>
      <c r="L1476">
        <v>1</v>
      </c>
    </row>
    <row r="1477">
      <c r="A1477" t="str">
        <v>瓶</v>
      </c>
      <c r="B1477">
        <v>11</v>
      </c>
      <c r="C1477" t="b">
        <v>1</v>
      </c>
      <c r="D1477" t="str">
        <v>ビン ヘイ</v>
      </c>
      <c r="E1477" t="str">
        <v>かめ</v>
      </c>
      <c r="F1477">
        <v>0</v>
      </c>
      <c r="G1477" t="str">
        <v>かめ。酒などの液体を入れる容器。口が小さく、とっくりに似た形をしている。 つるべ。水をくむのに用いる器。 びん。ガラス製の容器。</v>
      </c>
      <c r="I1477">
        <v>10</v>
      </c>
      <c r="J1477">
        <v>50</v>
      </c>
      <c r="K1477">
        <v>50</v>
      </c>
      <c r="L1477">
        <v>1</v>
      </c>
    </row>
    <row r="1478">
      <c r="A1478" t="str">
        <v>累</v>
      </c>
      <c r="B1478">
        <v>11</v>
      </c>
      <c r="C1478" t="b">
        <v>1</v>
      </c>
      <c r="D1478" t="str">
        <v>ルイ</v>
      </c>
      <c r="E1478" t="str">
        <v>かさ（なる） かさ（ねる） しき（りに） しば（る） わずら（わす）</v>
      </c>
      <c r="F1478">
        <v>0</v>
      </c>
      <c r="G1478" t="str">
        <v>つなぐ。つなげる。しばる。 かさねる。かさなる。積む。積み重なる。積み重ねる。 しきりに。しばしば。次々に。 わずらわせる。まきぞえをくわす。手数をかける。係わり合いになる。</v>
      </c>
      <c r="I1478">
        <v>10</v>
      </c>
      <c r="J1478">
        <v>50</v>
      </c>
      <c r="K1478">
        <v>50</v>
      </c>
      <c r="L1478">
        <v>0</v>
      </c>
    </row>
    <row r="1479">
      <c r="A1479" t="str">
        <v>郵</v>
      </c>
      <c r="B1479">
        <v>11</v>
      </c>
      <c r="C1479" t="b">
        <v>1</v>
      </c>
      <c r="D1479" t="str">
        <v>ユウ ユ</v>
      </c>
      <c r="E1479" t="str">
        <v>しゅくば</v>
      </c>
      <c r="F1479">
        <v>0</v>
      </c>
      <c r="G1479" t="str">
        <v>しゅくば。継ぎ場。うまつぎば。手紙や命令などを運ぶ人馬の中継ぎ場。 しゅくつぎ。早馬。ひきゃく。 手紙や物品などを送る。 こや。畑の中の小屋。 あやまち。とが。とがめる。 すぐれる。</v>
      </c>
      <c r="H1479" t="str">
        <v>#繁栄</v>
      </c>
      <c r="I1479">
        <v>10</v>
      </c>
      <c r="J1479">
        <v>50</v>
      </c>
      <c r="K1479">
        <v>50</v>
      </c>
      <c r="L1479">
        <v>1</v>
      </c>
    </row>
    <row r="1480">
      <c r="A1480" t="str">
        <v>惧</v>
      </c>
      <c r="B1480">
        <v>11</v>
      </c>
      <c r="C1480" t="b">
        <v>1</v>
      </c>
      <c r="D1480" t="str">
        <v>グ ク</v>
      </c>
      <c r="E1480" t="str">
        <v>おそ（れる）</v>
      </c>
      <c r="F1480">
        <v>0</v>
      </c>
      <c r="G1480" t="str">
        <v>おそれる。おそれてびくびくする。 おどろく。びっくりする。</v>
      </c>
      <c r="I1480">
        <v>10</v>
      </c>
      <c r="J1480">
        <v>50</v>
      </c>
      <c r="K1480">
        <v>50</v>
      </c>
      <c r="L1480">
        <v>1</v>
      </c>
    </row>
    <row r="1481">
      <c r="A1481" t="str">
        <v>欲</v>
      </c>
      <c r="B1481">
        <v>11</v>
      </c>
      <c r="C1481" t="b">
        <v>1</v>
      </c>
      <c r="D1481" t="str">
        <v>ヨク</v>
      </c>
      <c r="E1481" t="str">
        <v>ほ（しい） ほっ（する）</v>
      </c>
      <c r="F1481">
        <v>0</v>
      </c>
      <c r="G1481" t="str">
        <v>ほっする。ほしい。欲しがる。望む。 ほしいと思う気持ち。また、願い求める気持ち。 「ほっす」と読み、「～したい」「～しようと思う」「～が望ましい」などの意を表す。 「ほっす」と読み、「今にも～しそうだ」「今にも～しようとする」などの意を表す。</v>
      </c>
      <c r="H1481" t="str">
        <v>#心・志</v>
      </c>
      <c r="I1481">
        <v>10</v>
      </c>
      <c r="J1481">
        <v>50</v>
      </c>
      <c r="K1481">
        <v>50</v>
      </c>
      <c r="L1481">
        <v>1</v>
      </c>
    </row>
    <row r="1482">
      <c r="A1482" t="str">
        <v>陰</v>
      </c>
      <c r="B1482">
        <v>11</v>
      </c>
      <c r="C1482" t="b">
        <v>1</v>
      </c>
      <c r="D1482" t="str">
        <v>イン オン アン</v>
      </c>
      <c r="E1482" t="str">
        <v>かげ かげ（る） くも（る） くら（い） ひそ（か）</v>
      </c>
      <c r="F1482">
        <v>0</v>
      </c>
      <c r="G1482" t="str">
        <v>かげ。日の当たらない暗いところ。 くらい。うすぐらい。 くもる。かげる。暗くなる。 山の北側。川の南側。 ひそか。かげにかくれた。 ひそかに。こっそりと。 おおう。かくす。おおいかくす。 消極的なもの。静的なもの。 喪に服するための小屋。</v>
      </c>
      <c r="H1482" t="str">
        <v>#海・水</v>
      </c>
      <c r="I1482">
        <v>10</v>
      </c>
      <c r="J1482">
        <v>50</v>
      </c>
      <c r="K1482">
        <v>50</v>
      </c>
      <c r="L1482">
        <v>1</v>
      </c>
    </row>
    <row r="1483">
      <c r="A1483" t="str">
        <v>頃</v>
      </c>
      <c r="B1483">
        <v>11</v>
      </c>
      <c r="C1483" t="b">
        <v>1</v>
      </c>
      <c r="D1483" t="str">
        <v>ケイ キョウ キ</v>
      </c>
      <c r="E1483" t="str">
        <v>ころ かたあし しばら（く）</v>
      </c>
      <c r="F1483">
        <v>0</v>
      </c>
      <c r="G1483" t="str">
        <v>ころ。このごろ。近ごろ。 しばらく。わずかの時間。短い時間。 面積の単位。一頃は、百畝（ほ）。 かたむく。かたむける。＝傾 かたあし。片足を踏みだす。また、片足をあげる。</v>
      </c>
      <c r="I1483">
        <v>10</v>
      </c>
      <c r="J1483">
        <v>50</v>
      </c>
      <c r="K1483">
        <v>50</v>
      </c>
      <c r="L1483">
        <v>1</v>
      </c>
    </row>
    <row r="1484">
      <c r="A1484" t="str">
        <v>乾</v>
      </c>
      <c r="B1484">
        <v>11</v>
      </c>
      <c r="C1484" t="b">
        <v>1</v>
      </c>
      <c r="D1484" t="str">
        <v>カン ケン</v>
      </c>
      <c r="E1484" t="str">
        <v>かわ（かす） かわ（く） いぬい ひ ほ（す）</v>
      </c>
      <c r="F1484" t="str">
        <v>きみ すすむ</v>
      </c>
      <c r="G1484" t="str">
        <v>かわく。かわかす。ほす。水分がなくなる。水分をなくす。 うわべの。表面上の。 易（エキ）の卦。八卦の一つ。天・天子・君主・男性などの象徴。また、六十四卦の一つ。 つよい。すこやか。剛健。 いぬい。北西の方位。</v>
      </c>
      <c r="H1484" t="str">
        <v>#勇気</v>
      </c>
      <c r="I1484">
        <v>40</v>
      </c>
      <c r="J1484">
        <v>100</v>
      </c>
      <c r="K1484">
        <v>25</v>
      </c>
      <c r="L1484">
        <v>0</v>
      </c>
      <c r="M1484">
        <f>VLOOKUP(A1484,[1]kanji_data!$A:$N,14,FALSE)</f>
        <v>0</v>
      </c>
    </row>
    <row r="1485">
      <c r="A1485" t="str">
        <v>痕</v>
      </c>
      <c r="B1485">
        <v>11</v>
      </c>
      <c r="C1485" t="b">
        <v>1</v>
      </c>
      <c r="D1485" t="str">
        <v>コン</v>
      </c>
      <c r="E1485" t="str">
        <v>あと</v>
      </c>
      <c r="F1485">
        <v>0</v>
      </c>
      <c r="G1485" t="str">
        <v>あと。傷あと。何かがあったあと。例：痕跡</v>
      </c>
      <c r="I1485">
        <v>10</v>
      </c>
      <c r="J1485">
        <v>50</v>
      </c>
      <c r="K1485">
        <v>50</v>
      </c>
      <c r="L1485">
        <v>1</v>
      </c>
    </row>
    <row r="1486">
      <c r="A1486" t="str">
        <v>斬</v>
      </c>
      <c r="B1486">
        <v>11</v>
      </c>
      <c r="C1486" t="b">
        <v>1</v>
      </c>
      <c r="D1486" t="str">
        <v>ザン サン</v>
      </c>
      <c r="E1486" t="str">
        <v>き（る）</v>
      </c>
      <c r="F1486">
        <v>0</v>
      </c>
      <c r="G1486" t="str">
        <v>きる。刃物で切る。切り殺す。 たえる。たちきれる。とぎれる。</v>
      </c>
      <c r="I1486">
        <v>10</v>
      </c>
      <c r="J1486">
        <v>50</v>
      </c>
      <c r="K1486">
        <v>50</v>
      </c>
      <c r="L1486">
        <v>1</v>
      </c>
    </row>
    <row r="1487">
      <c r="A1487" t="str">
        <v>羞</v>
      </c>
      <c r="B1487">
        <v>11</v>
      </c>
      <c r="C1487" t="b">
        <v>1</v>
      </c>
      <c r="D1487" t="str">
        <v>シュウ</v>
      </c>
      <c r="E1487" t="str">
        <v>すす（める） はじ は（じる） はずかし（め） はずかし（める）</v>
      </c>
      <c r="F1487">
        <v>0</v>
      </c>
      <c r="G1487" t="str">
        <v>すすめる。ごちそうをすすめる。食べ物を供える。 ごちそう。供え物。 はじらう。はじる。はずかしく思う。 はずかしめる。恥をかかせる。</v>
      </c>
      <c r="I1487">
        <v>10</v>
      </c>
      <c r="J1487">
        <v>50</v>
      </c>
      <c r="K1487">
        <v>50</v>
      </c>
      <c r="L1487">
        <v>1</v>
      </c>
    </row>
    <row r="1488">
      <c r="A1488" t="str">
        <v>彩</v>
      </c>
      <c r="B1488">
        <v>11</v>
      </c>
      <c r="C1488" t="b">
        <v>1</v>
      </c>
      <c r="D1488" t="str">
        <v>サイ</v>
      </c>
      <c r="E1488" t="str">
        <v>いろど（る） あや</v>
      </c>
      <c r="F1488" t="str">
        <v>あ いろ さ たみ</v>
      </c>
      <c r="G1488" t="str">
        <v>いろどる。色をつける。色を配合する。 いろどり。あや。模様。配色。 姿。様子。</v>
      </c>
      <c r="H1488" t="str">
        <v>#花・彩</v>
      </c>
      <c r="I1488">
        <v>100</v>
      </c>
      <c r="J1488">
        <v>30</v>
      </c>
      <c r="K1488">
        <v>90</v>
      </c>
      <c r="L1488">
        <v>0</v>
      </c>
      <c r="M1488">
        <f>VLOOKUP(A1488,[1]kanji_data!$A:$N,14,FALSE)</f>
        <v>0</v>
      </c>
    </row>
    <row r="1489">
      <c r="A1489" t="str">
        <v>惨</v>
      </c>
      <c r="B1489">
        <v>11</v>
      </c>
      <c r="C1489" t="b">
        <v>1</v>
      </c>
      <c r="D1489" t="str">
        <v>サン ザン</v>
      </c>
      <c r="E1489" t="str">
        <v>みじ（め） いた（ましい） いた（む） むご（い）</v>
      </c>
      <c r="F1489">
        <v>0</v>
      </c>
      <c r="G1489" t="str">
        <v>みじめ。いたましい。むごい。見るにたえないほどひどい。 いたむ。いたみ悲しむ。いたましい思いをする。</v>
      </c>
      <c r="H1489" t="str">
        <v>#心・志</v>
      </c>
      <c r="I1489">
        <v>0</v>
      </c>
      <c r="J1489">
        <v>50</v>
      </c>
      <c r="K1489">
        <v>50</v>
      </c>
      <c r="L1489">
        <v>1</v>
      </c>
    </row>
    <row r="1490">
      <c r="A1490" t="str">
        <v>執</v>
      </c>
      <c r="B1490">
        <v>11</v>
      </c>
      <c r="C1490" t="b">
        <v>1</v>
      </c>
      <c r="D1490" t="str">
        <v>シツ シュウ</v>
      </c>
      <c r="E1490" t="str">
        <v>と（る） とら（える）</v>
      </c>
      <c r="F1490">
        <v>0</v>
      </c>
      <c r="G1490" t="str">
        <v>とる。手にとる。手に持つ。 とる。つかさどる。とりあつかう。とり行う。 とる。しっかりと守る。しっかりと保つ。 とらえる。つかまえる。 友人。同志。親しい人。</v>
      </c>
      <c r="H1490" t="str">
        <v>#心・志 #調和</v>
      </c>
      <c r="I1490">
        <v>10</v>
      </c>
      <c r="J1490">
        <v>50</v>
      </c>
      <c r="K1490">
        <v>50</v>
      </c>
      <c r="L1490">
        <v>1</v>
      </c>
    </row>
    <row r="1491">
      <c r="A1491" t="str">
        <v>曽</v>
      </c>
      <c r="B1491">
        <v>11</v>
      </c>
      <c r="C1491" t="b">
        <v>1</v>
      </c>
      <c r="D1491" t="str">
        <v>ゾ ソウ ソ ゾウ</v>
      </c>
      <c r="E1491" t="str">
        <v>かさ（なる） かつ（て） すなわ（ち） ま（す）</v>
      </c>
      <c r="F1491" t="str">
        <v>つね なり ます</v>
      </c>
      <c r="G1491" t="str">
        <v>かつて。これまで。以前に。 かさなる。幾重にもかさなる。 ます。ふえる。ふやす。＝増 「すなわち」と読み、「ところが」「なんと」「いったいぜんたい」などの意を表す。</v>
      </c>
      <c r="I1491">
        <v>15</v>
      </c>
      <c r="J1491">
        <v>55</v>
      </c>
      <c r="K1491">
        <v>55</v>
      </c>
      <c r="L1491">
        <v>0</v>
      </c>
      <c r="M1491">
        <f>VLOOKUP(A1491,[1]kanji_data!$A:$N,14,FALSE)</f>
        <v>0</v>
      </c>
    </row>
    <row r="1492">
      <c r="A1492" t="str">
        <v>釈</v>
      </c>
      <c r="B1492">
        <v>11</v>
      </c>
      <c r="C1492" t="b">
        <v>1</v>
      </c>
      <c r="D1492" t="str">
        <v>シャク セキ</v>
      </c>
      <c r="E1492" t="str">
        <v>お（く） と（かす） と（く） ゆる（す）</v>
      </c>
      <c r="F1492">
        <v>0</v>
      </c>
      <c r="G1492" t="str">
        <v>とく。ときあかす。 言い訳をする。 衣服をぬぐ。ときはなつ。 理解する。 とける。消えてなくなる。 とかす。うすくする。うすめる。 捨てる。放つ。 おく。おいておく。そのままにしておく。</v>
      </c>
      <c r="H1492" t="str">
        <v>#天空</v>
      </c>
      <c r="I1492">
        <v>10</v>
      </c>
      <c r="J1492">
        <v>55</v>
      </c>
      <c r="K1492">
        <v>60</v>
      </c>
      <c r="L1492">
        <v>0</v>
      </c>
      <c r="M1492">
        <f>VLOOKUP(A1492,[1]kanji_data!$A:$N,14,FALSE)</f>
        <v>0</v>
      </c>
    </row>
    <row r="1493">
      <c r="A1493" t="str">
        <v>唾</v>
      </c>
      <c r="B1493">
        <v>11</v>
      </c>
      <c r="C1493" t="b">
        <v>1</v>
      </c>
      <c r="D1493" t="str">
        <v>ダ タ</v>
      </c>
      <c r="E1493" t="str">
        <v>つば つばき</v>
      </c>
      <c r="F1493">
        <v>0</v>
      </c>
      <c r="G1493" t="str">
        <v>つば。つばき。口中に分泌される液体。 つばす。つばする。つばきす。つばきする。つばを吐く。</v>
      </c>
      <c r="I1493">
        <v>10</v>
      </c>
      <c r="J1493">
        <v>50</v>
      </c>
      <c r="K1493">
        <v>50</v>
      </c>
      <c r="L1493">
        <v>1</v>
      </c>
    </row>
    <row r="1494">
      <c r="A1494" t="str">
        <v>貪</v>
      </c>
      <c r="B1494">
        <v>11</v>
      </c>
      <c r="C1494" t="b">
        <v>1</v>
      </c>
      <c r="D1494" t="str">
        <v>ドン タン</v>
      </c>
      <c r="E1494" t="str">
        <v>むさぼ（る）</v>
      </c>
      <c r="F1494">
        <v>0</v>
      </c>
      <c r="G1494" t="str">
        <v>むさぼる。よくばる。ほしがる。 むさぼり。よくばり。 探る。</v>
      </c>
      <c r="I1494">
        <v>10</v>
      </c>
      <c r="J1494">
        <v>50</v>
      </c>
      <c r="K1494">
        <v>50</v>
      </c>
      <c r="L1494">
        <v>1</v>
      </c>
    </row>
    <row r="1495">
      <c r="A1495" t="str">
        <v>脱</v>
      </c>
      <c r="B1495">
        <v>11</v>
      </c>
      <c r="C1495" t="b">
        <v>1</v>
      </c>
      <c r="D1495" t="str">
        <v>ダツ タイ タツ</v>
      </c>
      <c r="E1495" t="str">
        <v>ぬ（ぐ） ぬ（げる）</v>
      </c>
      <c r="F1495">
        <v>0</v>
      </c>
      <c r="G1495" t="str">
        <v>ぬぐ。ぬげる。身につけてる衣服を取り去る。 ぬける。ぬけ落ちる。 ぬけ出す。ぬける。のがれる。 おろそか。おおまか。粗末な。粗略な。 もし。かりに。 「脱脱」はのびやかなさま。</v>
      </c>
      <c r="H1495" t="str">
        <v>#天空</v>
      </c>
      <c r="I1495">
        <v>10</v>
      </c>
      <c r="J1495">
        <v>50</v>
      </c>
      <c r="K1495">
        <v>50</v>
      </c>
      <c r="L1495">
        <v>1</v>
      </c>
    </row>
    <row r="1496">
      <c r="A1496" t="str">
        <v>捻</v>
      </c>
      <c r="B1496">
        <v>11</v>
      </c>
      <c r="C1496" t="b">
        <v>1</v>
      </c>
      <c r="D1496" t="str">
        <v>ネン デン</v>
      </c>
      <c r="E1496" t="str">
        <v>ねじ（る） ひね（る）</v>
      </c>
      <c r="F1496">
        <v>0</v>
      </c>
      <c r="G1496" t="str">
        <v>ひねる。ねじる。指先でつまんでねじる。 つまむ。指先でつまむ。</v>
      </c>
      <c r="I1496">
        <v>10</v>
      </c>
      <c r="J1496">
        <v>50</v>
      </c>
      <c r="K1496">
        <v>50</v>
      </c>
      <c r="L1496">
        <v>1</v>
      </c>
    </row>
    <row r="1497">
      <c r="A1497" t="str">
        <v>訣</v>
      </c>
      <c r="B1497">
        <v>11</v>
      </c>
      <c r="C1497" t="b">
        <v>0</v>
      </c>
      <c r="D1497" t="str">
        <v>ケツ</v>
      </c>
      <c r="E1497" t="str">
        <v>おくぎ わか（れる）</v>
      </c>
      <c r="F1497">
        <v>0</v>
      </c>
      <c r="G1497" t="str">
        <v>わかれる。人と離れ離れになる。また、死別する。 おくぎ。奥義。奥の手。</v>
      </c>
      <c r="I1497">
        <v>10</v>
      </c>
      <c r="J1497">
        <v>50</v>
      </c>
      <c r="K1497">
        <v>50</v>
      </c>
      <c r="L1497">
        <v>1</v>
      </c>
    </row>
    <row r="1498">
      <c r="A1498" t="str">
        <v>捲</v>
      </c>
      <c r="B1498">
        <v>11</v>
      </c>
      <c r="C1498" t="b">
        <v>0</v>
      </c>
      <c r="D1498" t="str">
        <v>ケン</v>
      </c>
      <c r="E1498" t="str">
        <v>ま（く） まく（る） めく（る）</v>
      </c>
      <c r="F1498">
        <v>0</v>
      </c>
      <c r="G1498" t="str">
        <v>まく。くるくるまく。まきつける。 まくる。物を端からまき上げる。 めくる。はがす。また、はがすように上げる。</v>
      </c>
      <c r="I1498">
        <v>10</v>
      </c>
      <c r="J1498">
        <v>50</v>
      </c>
      <c r="K1498">
        <v>50</v>
      </c>
      <c r="L1498">
        <v>1</v>
      </c>
    </row>
    <row r="1499">
      <c r="A1499" t="str">
        <v>牽</v>
      </c>
      <c r="B1499">
        <v>11</v>
      </c>
      <c r="C1499" t="b">
        <v>0</v>
      </c>
      <c r="D1499" t="str">
        <v>ケン</v>
      </c>
      <c r="E1499" t="str">
        <v>つら（なる） ひ（く）</v>
      </c>
      <c r="F1499" t="str">
        <v>くる とき とし ひき</v>
      </c>
      <c r="G1499" t="str">
        <v>ひく。ひっぱる。引きつける。 とらわれる。つながれる。自由を失う。 引き連れる。率いる。</v>
      </c>
      <c r="I1499">
        <v>15</v>
      </c>
      <c r="J1499">
        <v>50</v>
      </c>
      <c r="K1499">
        <v>50</v>
      </c>
      <c r="L1499">
        <v>1</v>
      </c>
    </row>
    <row r="1500">
      <c r="A1500" t="str">
        <v>惚</v>
      </c>
      <c r="B1500">
        <v>11</v>
      </c>
      <c r="C1500" t="b">
        <v>0</v>
      </c>
      <c r="D1500" t="str">
        <v>コツ</v>
      </c>
      <c r="E1500" t="str">
        <v>とぼ（ける） ほう（ける） ぼ（ける） ほ（れる）</v>
      </c>
      <c r="F1500">
        <v>0</v>
      </c>
      <c r="G1500" t="str">
        <v>うっとりする。ぼうっとする。 ほのか。かすか。ぼんやりしている。 ほれる。心がひきつけられる。恋い慕う。 とぼける。ぼける。ほうける。ぼんやりする。</v>
      </c>
      <c r="I1500">
        <v>10</v>
      </c>
      <c r="J1500">
        <v>50</v>
      </c>
      <c r="K1500">
        <v>50</v>
      </c>
      <c r="L1500">
        <v>1</v>
      </c>
    </row>
    <row r="1501">
      <c r="A1501" t="str">
        <v>猛</v>
      </c>
      <c r="B1501">
        <v>11</v>
      </c>
      <c r="C1501" t="b">
        <v>1</v>
      </c>
      <c r="D1501" t="str">
        <v>モウ</v>
      </c>
      <c r="E1501" t="str">
        <v>たけ（し）</v>
      </c>
      <c r="F1501" t="str">
        <v>たか たけ たけお たけき たけし たける つよし</v>
      </c>
      <c r="G1501" t="str">
        <v>たけし。たける。たけだけしい。荒々しい。はげしい。</v>
      </c>
      <c r="H1501" t="str">
        <v>#勇気</v>
      </c>
      <c r="I1501">
        <v>95</v>
      </c>
      <c r="J1501">
        <v>100</v>
      </c>
      <c r="K1501">
        <v>20</v>
      </c>
      <c r="L1501">
        <v>0</v>
      </c>
      <c r="M1501">
        <f>VLOOKUP(A1501,[1]kanji_data!$A:$N,14,FALSE)</f>
        <v>0</v>
      </c>
    </row>
    <row r="1502">
      <c r="A1502" t="str">
        <v>悉</v>
      </c>
      <c r="B1502">
        <v>11</v>
      </c>
      <c r="C1502" t="b">
        <v>0</v>
      </c>
      <c r="D1502" t="str">
        <v>シツ</v>
      </c>
      <c r="E1502" t="str">
        <v>ことごと（く） つく（す） つぶさ（に）</v>
      </c>
      <c r="F1502">
        <v>0</v>
      </c>
      <c r="G1502" t="str">
        <v>つくす。すべてを出しつくす。知りつくす。 ことごとく。すべて。みな。全部。 つぶさに。細かい点まで詳しく。</v>
      </c>
      <c r="I1502">
        <v>10</v>
      </c>
      <c r="J1502">
        <v>50</v>
      </c>
      <c r="K1502">
        <v>50</v>
      </c>
      <c r="L1502">
        <v>1</v>
      </c>
    </row>
    <row r="1503">
      <c r="A1503" t="str">
        <v>這</v>
      </c>
      <c r="B1503">
        <v>11</v>
      </c>
      <c r="C1503" t="b">
        <v>0</v>
      </c>
      <c r="D1503" t="str">
        <v>シャ</v>
      </c>
      <c r="E1503" t="str">
        <v>こ（の） これ は（う）</v>
      </c>
      <c r="F1503">
        <v>0</v>
      </c>
      <c r="G1503" t="str">
        <v>この。これ。 はう。はらばう。はって進む。</v>
      </c>
      <c r="I1503">
        <v>10</v>
      </c>
      <c r="J1503">
        <v>50</v>
      </c>
      <c r="K1503">
        <v>50</v>
      </c>
      <c r="L1503">
        <v>1</v>
      </c>
    </row>
    <row r="1504">
      <c r="A1504" t="str">
        <v>雀</v>
      </c>
      <c r="B1504">
        <v>11</v>
      </c>
      <c r="C1504" t="b">
        <v>0</v>
      </c>
      <c r="D1504" t="str">
        <v>ジャク</v>
      </c>
      <c r="E1504" t="str">
        <v>すずめ</v>
      </c>
      <c r="F1504" t="str">
        <v>す すず わか</v>
      </c>
      <c r="G1504" t="str">
        <v>すずめ。小鳥の名。 すずめ色。すずめの羽のような色。</v>
      </c>
      <c r="I1504">
        <v>15</v>
      </c>
      <c r="J1504">
        <v>50</v>
      </c>
      <c r="K1504">
        <v>50</v>
      </c>
      <c r="L1504">
        <v>1</v>
      </c>
    </row>
    <row r="1505">
      <c r="A1505" t="str">
        <v>逗</v>
      </c>
      <c r="B1505">
        <v>11</v>
      </c>
      <c r="C1505" t="b">
        <v>0</v>
      </c>
      <c r="D1505" t="str">
        <v>ズ トウ</v>
      </c>
      <c r="E1505" t="str">
        <v>とど（まる）</v>
      </c>
      <c r="F1505" t="str">
        <v>すみ</v>
      </c>
      <c r="G1505" t="str">
        <v>とどまる。とどめる。たちどまる。 くぎり。文の切れ目。 投げる。</v>
      </c>
      <c r="I1505">
        <v>15</v>
      </c>
      <c r="J1505">
        <v>50</v>
      </c>
      <c r="K1505">
        <v>50</v>
      </c>
      <c r="L1505">
        <v>1</v>
      </c>
    </row>
    <row r="1506">
      <c r="A1506" t="str">
        <v>貫</v>
      </c>
      <c r="B1506">
        <v>11</v>
      </c>
      <c r="C1506" t="b">
        <v>1</v>
      </c>
      <c r="D1506" t="str">
        <v>カン ワン</v>
      </c>
      <c r="E1506" t="str">
        <v>つらぬ（く） ぬき ぬ（く） ひ（く）</v>
      </c>
      <c r="F1506" t="str">
        <v>か つら つらね とおる ぬく ひろ みち みつ やす よし</v>
      </c>
      <c r="G1506" t="str">
        <v>つきとおす。つらぬく。やりとおす。続く。 さし。ぜにさし。 すじみち。すじ。条理。 本籍。戸籍。にんべつ。 事。 ならう。なれる。 弓を引く。引く。 かん。重量の単位。 武士の知行高の単位。</v>
      </c>
      <c r="H1506" t="str">
        <v>#勇気</v>
      </c>
      <c r="I1506">
        <v>90</v>
      </c>
      <c r="J1506">
        <v>100</v>
      </c>
      <c r="K1506">
        <v>30</v>
      </c>
      <c r="L1506">
        <v>0</v>
      </c>
      <c r="M1506">
        <f>VLOOKUP(A1506,[1]kanji_data!$A:$N,14,FALSE)</f>
        <v>0</v>
      </c>
    </row>
    <row r="1507">
      <c r="A1507" t="str">
        <v>菊</v>
      </c>
      <c r="B1507">
        <v>11</v>
      </c>
      <c r="C1507" t="b">
        <v>1</v>
      </c>
      <c r="D1507" t="str">
        <v>キク</v>
      </c>
      <c r="E1507">
        <v>0</v>
      </c>
      <c r="F1507" t="str">
        <v>あき ひ</v>
      </c>
      <c r="G1507" t="str">
        <v>きく。キク科の多年草。</v>
      </c>
      <c r="H1507" t="str">
        <v>#花・彩</v>
      </c>
      <c r="I1507">
        <v>85</v>
      </c>
      <c r="J1507">
        <v>25</v>
      </c>
      <c r="K1507">
        <v>85</v>
      </c>
      <c r="L1507">
        <v>0</v>
      </c>
      <c r="M1507">
        <f>VLOOKUP(A1507,[1]kanji_data!$A:$N,14,FALSE)</f>
        <v>0</v>
      </c>
    </row>
    <row r="1508">
      <c r="A1508" t="str">
        <v>虚</v>
      </c>
      <c r="B1508">
        <v>11</v>
      </c>
      <c r="C1508" t="b">
        <v>1</v>
      </c>
      <c r="D1508" t="str">
        <v>キョ コ</v>
      </c>
      <c r="E1508" t="str">
        <v>うつ（ける） うつ（ろ） うろ むな（しい）</v>
      </c>
      <c r="F1508">
        <v>0</v>
      </c>
      <c r="G1508" t="str">
        <v>むなしい。何もない。中身がない。からっぽ。うわべだけの。 むなしくする。からにする。 弱い。からだが弱い。 うつろ。穴。 おか。大きな丘。 たてものなどのあと。例：廃虚 二十八宿の一つ。とみてぼし。</v>
      </c>
      <c r="H1508" t="str">
        <v>#自然</v>
      </c>
      <c r="I1508">
        <v>10</v>
      </c>
      <c r="J1508">
        <v>50</v>
      </c>
      <c r="K1508">
        <v>50</v>
      </c>
      <c r="L1508">
        <v>1</v>
      </c>
    </row>
    <row r="1509">
      <c r="A1509" t="str">
        <v>偶</v>
      </c>
      <c r="B1509">
        <v>11</v>
      </c>
      <c r="C1509" t="b">
        <v>1</v>
      </c>
      <c r="D1509" t="str">
        <v>グウ</v>
      </c>
      <c r="E1509" t="str">
        <v>たぐい たまたま ひとがた</v>
      </c>
      <c r="F1509">
        <v>0</v>
      </c>
      <c r="G1509" t="str">
        <v>たぐい。対になる。つれあい。仲間。 たまたま。思いがけず。 ひとがた。でく。木や土で作った人の形をしたもの。 二で割り切れる。偶数。 あう。遭遇する。</v>
      </c>
      <c r="H1509" t="str">
        <v>#心・志 #調和</v>
      </c>
      <c r="I1509">
        <v>10</v>
      </c>
      <c r="J1509">
        <v>50</v>
      </c>
      <c r="K1509">
        <v>50</v>
      </c>
      <c r="L1509">
        <v>1</v>
      </c>
    </row>
    <row r="1510">
      <c r="A1510" t="str">
        <v>啓</v>
      </c>
      <c r="B1510">
        <v>11</v>
      </c>
      <c r="C1510" t="b">
        <v>1</v>
      </c>
      <c r="D1510" t="str">
        <v>ケイ</v>
      </c>
      <c r="E1510" t="str">
        <v>ひら（く） もう（す）</v>
      </c>
      <c r="F1510" t="str">
        <v>あき さとし のり はる ひ ひろ ゆき よし</v>
      </c>
      <c r="G1510" t="str">
        <v>ひらく。あける。開放する。開け放す。 ひらく。教え導く。教え諭す。理解させる。 ひらく。物事を始める。物事を起こす。開拓する。 先に立って導く。軍の先鋒。先払い。 もうす。申し述べる。申し上げる。 公文書。上申書。 立春。立夏。</v>
      </c>
      <c r="H1510" t="str">
        <v>#知性 #繁栄</v>
      </c>
      <c r="I1510">
        <v>100</v>
      </c>
      <c r="J1510">
        <v>80</v>
      </c>
      <c r="K1510">
        <v>50</v>
      </c>
      <c r="L1510">
        <v>0</v>
      </c>
      <c r="M1510">
        <f>VLOOKUP(A1510,[1]kanji_data!$A:$N,14,FALSE)</f>
        <v>0</v>
      </c>
    </row>
    <row r="1511">
      <c r="A1511" t="str">
        <v>釧</v>
      </c>
      <c r="B1511">
        <v>11</v>
      </c>
      <c r="C1511" t="b">
        <v>0</v>
      </c>
      <c r="D1511" t="str">
        <v>セン</v>
      </c>
      <c r="E1511" t="str">
        <v>うでわ くしろ</v>
      </c>
      <c r="F1511">
        <v>0</v>
      </c>
      <c r="G1511" t="str">
        <v>くしろ。うでわ。腕につける輪形の飾り。</v>
      </c>
      <c r="I1511">
        <v>10</v>
      </c>
      <c r="J1511">
        <v>50</v>
      </c>
      <c r="K1511">
        <v>50</v>
      </c>
      <c r="L1511">
        <v>0</v>
      </c>
    </row>
    <row r="1512">
      <c r="A1512" t="str">
        <v>梯</v>
      </c>
      <c r="B1512">
        <v>11</v>
      </c>
      <c r="C1512" t="b">
        <v>0</v>
      </c>
      <c r="D1512" t="str">
        <v>タイ テイ</v>
      </c>
      <c r="E1512" t="str">
        <v>はしご</v>
      </c>
      <c r="F1512">
        <v>0</v>
      </c>
      <c r="G1512" t="str">
        <v>はしご。高い所に登るための道具。 手引き。案内。 もたれる。もたれかかる。</v>
      </c>
      <c r="I1512">
        <v>10</v>
      </c>
      <c r="J1512">
        <v>85</v>
      </c>
      <c r="K1512">
        <v>50</v>
      </c>
      <c r="L1512">
        <v>0</v>
      </c>
      <c r="M1512">
        <f>VLOOKUP(A1512,[1]kanji_data!$A:$N,14,FALSE)</f>
        <v>0</v>
      </c>
    </row>
    <row r="1513">
      <c r="A1513" t="str">
        <v>紺</v>
      </c>
      <c r="B1513">
        <v>11</v>
      </c>
      <c r="C1513" t="b">
        <v>1</v>
      </c>
      <c r="D1513" t="str">
        <v>コン</v>
      </c>
      <c r="E1513">
        <v>0</v>
      </c>
      <c r="F1513">
        <v>0</v>
      </c>
      <c r="G1513" t="str">
        <v>こん。こん色。少し赤みがかった濃い青色。</v>
      </c>
      <c r="H1513" t="str">
        <v>#海・水 #花・彩</v>
      </c>
      <c r="I1513">
        <v>70</v>
      </c>
      <c r="J1513">
        <v>20</v>
      </c>
      <c r="K1513">
        <v>100</v>
      </c>
      <c r="L1513">
        <v>0</v>
      </c>
      <c r="M1513">
        <f>VLOOKUP(A1513,[1]kanji_data!$A:$N,14,FALSE)</f>
        <v>0</v>
      </c>
    </row>
    <row r="1514">
      <c r="A1514" t="str">
        <v>桶</v>
      </c>
      <c r="B1514">
        <v>11</v>
      </c>
      <c r="C1514" t="b">
        <v>0</v>
      </c>
      <c r="D1514" t="str">
        <v>トウ</v>
      </c>
      <c r="E1514" t="str">
        <v>おけ</v>
      </c>
      <c r="F1514">
        <v>0</v>
      </c>
      <c r="G1514" t="str">
        <v>おけ。筒型の容器。</v>
      </c>
      <c r="I1514">
        <v>10</v>
      </c>
      <c r="J1514">
        <v>50</v>
      </c>
      <c r="K1514">
        <v>50</v>
      </c>
      <c r="L1514">
        <v>1</v>
      </c>
    </row>
    <row r="1515">
      <c r="A1515" t="str">
        <v>萄</v>
      </c>
      <c r="B1515">
        <v>11</v>
      </c>
      <c r="C1515" t="b">
        <v>0</v>
      </c>
      <c r="D1515" t="str">
        <v>トウ ドウ</v>
      </c>
      <c r="E1515">
        <v>0</v>
      </c>
      <c r="F1515">
        <v>0</v>
      </c>
      <c r="G1515" t="str">
        <v>果実の「葡萄（ぶどう）」や国名の「葡萄牙（ポルトガル）」などに用いられる字。</v>
      </c>
      <c r="I1515">
        <v>10</v>
      </c>
      <c r="J1515">
        <v>50</v>
      </c>
      <c r="K1515">
        <v>50</v>
      </c>
      <c r="L1515">
        <v>1</v>
      </c>
    </row>
    <row r="1516">
      <c r="A1516" t="str">
        <v>惜</v>
      </c>
      <c r="B1516">
        <v>11</v>
      </c>
      <c r="C1516" t="b">
        <v>1</v>
      </c>
      <c r="D1516" t="str">
        <v>セキ シャク</v>
      </c>
      <c r="E1516" t="str">
        <v>お（しい） お（しむ）</v>
      </c>
      <c r="F1516">
        <v>0</v>
      </c>
      <c r="G1516" t="str">
        <v>おしい。もったいない。残念だ。 おしむ。残念に思う。もったいないと思う。また、大切にする。</v>
      </c>
      <c r="H1516" t="str">
        <v>#心・志 #慈愛</v>
      </c>
      <c r="I1516">
        <v>10</v>
      </c>
      <c r="J1516">
        <v>50</v>
      </c>
      <c r="K1516">
        <v>50</v>
      </c>
      <c r="L1516">
        <v>1</v>
      </c>
    </row>
    <row r="1517">
      <c r="A1517" t="str">
        <v>菩</v>
      </c>
      <c r="B1517">
        <v>11</v>
      </c>
      <c r="C1517" t="b">
        <v>0</v>
      </c>
      <c r="D1517" t="str">
        <v>ホ ボ</v>
      </c>
      <c r="E1517">
        <v>0</v>
      </c>
      <c r="F1517">
        <v>0</v>
      </c>
      <c r="G1517" t="str">
        <v>草・香草の名前。 むしろ。しきもの。 梵語（ボンゴ）の音訳に用いる字。</v>
      </c>
      <c r="I1517">
        <v>10</v>
      </c>
      <c r="J1517">
        <v>50</v>
      </c>
      <c r="K1517">
        <v>50</v>
      </c>
      <c r="L1517">
        <v>0</v>
      </c>
    </row>
    <row r="1518">
      <c r="A1518" t="str">
        <v>掠</v>
      </c>
      <c r="B1518">
        <v>11</v>
      </c>
      <c r="C1518" t="b">
        <v>0</v>
      </c>
      <c r="D1518" t="str">
        <v>リャク リョウ</v>
      </c>
      <c r="E1518" t="str">
        <v>かす（める） かす（る） かす（れる） さら（う） むちう（つ）</v>
      </c>
      <c r="F1518">
        <v>0</v>
      </c>
      <c r="G1518" t="str">
        <v>かすめる。かすめとる。うばいとる。 かすめる。かすめて通る。すれすれに通りすぎる。 むちうつ。むちでたたく。 書法「永字八法」の一つ。筆画の撇。長い左はらいのこと。 さらう。不意をついて奪い去る。</v>
      </c>
      <c r="I1518">
        <v>10</v>
      </c>
      <c r="J1518">
        <v>50</v>
      </c>
      <c r="K1518">
        <v>50</v>
      </c>
      <c r="L1518">
        <v>1</v>
      </c>
    </row>
    <row r="1519">
      <c r="A1519" t="str">
        <v>淋</v>
      </c>
      <c r="B1519">
        <v>11</v>
      </c>
      <c r="C1519" t="b">
        <v>0</v>
      </c>
      <c r="D1519" t="str">
        <v>リン</v>
      </c>
      <c r="E1519" t="str">
        <v>さび（しい） したた（る） そそ（ぐ） りんびょう</v>
      </c>
      <c r="F1519">
        <v>0</v>
      </c>
      <c r="G1519" t="str">
        <v>そそぐ。水をそそぐ。うすおす。 したたる。水が絶えずにしたたり落ちるさま。 性病の一種。淋病（りんびょう）。 さびしい。乏しい。閑散としたさま。</v>
      </c>
      <c r="I1519">
        <v>10</v>
      </c>
      <c r="J1519">
        <v>50</v>
      </c>
      <c r="K1519">
        <v>50</v>
      </c>
      <c r="L1519">
        <v>1</v>
      </c>
    </row>
    <row r="1520">
      <c r="A1520" t="str">
        <v>逮</v>
      </c>
      <c r="B1520">
        <v>11</v>
      </c>
      <c r="C1520" t="b">
        <v>1</v>
      </c>
      <c r="D1520" t="str">
        <v>タイ テイ</v>
      </c>
      <c r="E1520" t="str">
        <v>およ（ぶ） とら（える）</v>
      </c>
      <c r="F1520">
        <v>0</v>
      </c>
      <c r="G1520" t="str">
        <v>およぶ。とどく。追いつく。 とらえる。つかまえる。 「逮逮（ていてい）」は、おだやかなさま。やすらかなさま。</v>
      </c>
      <c r="H1520" t="str">
        <v>#慈愛</v>
      </c>
      <c r="I1520">
        <v>10</v>
      </c>
      <c r="J1520">
        <v>50</v>
      </c>
      <c r="K1520">
        <v>50</v>
      </c>
      <c r="L1520">
        <v>1</v>
      </c>
    </row>
    <row r="1521">
      <c r="A1521" t="str">
        <v>圈</v>
      </c>
      <c r="B1521">
        <v>11</v>
      </c>
      <c r="C1521" t="b">
        <v>0</v>
      </c>
      <c r="D1521" t="str">
        <v>ケン</v>
      </c>
      <c r="E1521" t="str">
        <v>かこ（い）</v>
      </c>
      <c r="F1521">
        <v>0</v>
      </c>
      <c r="G1521" t="str">
        <v>かこい。家畜を飼うためのかこい。 まげもの。木をまるく曲げてつくった容器。 まるい。まるい形のもの。 限られた一定の範囲。また、仕切られた範囲。</v>
      </c>
      <c r="I1521">
        <v>10</v>
      </c>
      <c r="J1521">
        <v>50</v>
      </c>
      <c r="K1521">
        <v>50</v>
      </c>
      <c r="L1521">
        <v>1</v>
      </c>
    </row>
    <row r="1522">
      <c r="A1522" t="str">
        <v>条</v>
      </c>
      <c r="B1522">
        <v>11</v>
      </c>
      <c r="C1522" t="b">
        <v>1</v>
      </c>
      <c r="D1522" t="str">
        <v>ジョウ</v>
      </c>
      <c r="E1522" t="str">
        <v>えだ すじ</v>
      </c>
      <c r="F1522">
        <v>0</v>
      </c>
      <c r="G1522" t="str">
        <v>えだ。小枝。細長い枝。 すじ。道筋。道理。 のびる。のびやか。 ひとつひとつ並べて述べる。また、並べて書いたもの。 細長いもの。また、細長いものを数えることば。 じょう。～ゆえに。～だから。</v>
      </c>
      <c r="I1522">
        <v>10</v>
      </c>
      <c r="J1522">
        <v>55</v>
      </c>
      <c r="K1522">
        <v>55</v>
      </c>
      <c r="L1522">
        <v>0</v>
      </c>
      <c r="M1522">
        <f>VLOOKUP(A1522,[1]kanji_data!$A:$N,14,FALSE)</f>
        <v>0</v>
      </c>
    </row>
    <row r="1523">
      <c r="A1523" t="str">
        <v>従</v>
      </c>
      <c r="B1523">
        <v>10</v>
      </c>
      <c r="C1523" t="b">
        <v>1</v>
      </c>
      <c r="D1523" t="str">
        <v>ジュウ ジュ ショウ</v>
      </c>
      <c r="E1523" t="str">
        <v>したが（う） したが（える）</v>
      </c>
      <c r="F1523">
        <v>0</v>
      </c>
      <c r="G1523" t="str">
        <v>したがう。したがえる。ついて行くつれて行く。 したがう。言う通りにする。言うことをきく。 したがう。仕事にたずさわる。 「より」と読み、「～より」「～から」「～によって」の意を表わす。 ほしいまま。心のまま。勝手気まま。ほしいままにする。＝縦 たて。南北の方向。＝縦 けらい。つきしたがう人。主人の共をする人。 「従容」は、落ち着いているさま。ゆとりのあるさま。 したがって。それゆえ。それだから。</v>
      </c>
      <c r="I1523">
        <v>10</v>
      </c>
      <c r="J1523">
        <v>65</v>
      </c>
      <c r="K1523">
        <v>60</v>
      </c>
      <c r="L1523">
        <v>0</v>
      </c>
      <c r="M1523">
        <f>VLOOKUP(A1523,[1]kanji_data!$A:$N,14,FALSE)</f>
        <v>0</v>
      </c>
    </row>
    <row r="1524">
      <c r="A1524" t="str">
        <v>巣</v>
      </c>
      <c r="B1524">
        <v>11</v>
      </c>
      <c r="C1524" t="b">
        <v>1</v>
      </c>
      <c r="D1524" t="str">
        <v>ソウ</v>
      </c>
      <c r="E1524" t="str">
        <v>す</v>
      </c>
      <c r="F1524">
        <v>0</v>
      </c>
      <c r="G1524" t="str">
        <v>す。鳥のすみか。また、獣や虫などのすみか。 かくれが。盗賊などの隠れひそむ所。</v>
      </c>
      <c r="I1524">
        <v>10</v>
      </c>
      <c r="J1524">
        <v>50</v>
      </c>
      <c r="K1524">
        <v>50</v>
      </c>
      <c r="L1524">
        <v>1</v>
      </c>
    </row>
    <row r="1525">
      <c r="A1525" t="str">
        <v>陶</v>
      </c>
      <c r="B1525">
        <v>11</v>
      </c>
      <c r="C1525" t="b">
        <v>1</v>
      </c>
      <c r="D1525" t="str">
        <v>トウ ヨウ</v>
      </c>
      <c r="E1525" t="str">
        <v>すえ</v>
      </c>
      <c r="F1525" t="str">
        <v>す よし</v>
      </c>
      <c r="G1525" t="str">
        <v>すえ。すえもの。やきもの。 やきものをつくる。やきものを焼く。また、その人。 みちびく。教化する。 よろこぶ。たのしむ。心地よい。 うれえる。心をふさぐ。 くつろぐ。やわらぎ楽しむ。 「皐陶」は、伝説上の人物の名。舜の臣。</v>
      </c>
      <c r="H1525" t="str">
        <v>#幸福</v>
      </c>
      <c r="I1525">
        <v>85</v>
      </c>
      <c r="J1525">
        <v>65</v>
      </c>
      <c r="K1525">
        <v>55</v>
      </c>
      <c r="L1525">
        <v>0</v>
      </c>
      <c r="M1525">
        <f>VLOOKUP(A1525,[1]kanji_data!$A:$N,14,FALSE)</f>
        <v>0</v>
      </c>
    </row>
    <row r="1526">
      <c r="A1526" t="str">
        <v>涙</v>
      </c>
      <c r="B1526">
        <v>11</v>
      </c>
      <c r="C1526" t="b">
        <v>1</v>
      </c>
      <c r="D1526" t="str">
        <v>ルイ</v>
      </c>
      <c r="E1526" t="str">
        <v>なみだ</v>
      </c>
      <c r="F1526">
        <v>0</v>
      </c>
      <c r="G1526" t="str">
        <v>なみだ。 なみだを流す。泣く。</v>
      </c>
      <c r="I1526">
        <v>10</v>
      </c>
      <c r="J1526">
        <v>50</v>
      </c>
      <c r="K1526">
        <v>50</v>
      </c>
      <c r="L1526">
        <v>1</v>
      </c>
    </row>
    <row r="1527">
      <c r="A1527" t="str">
        <v>萊</v>
      </c>
      <c r="B1527">
        <v>11</v>
      </c>
      <c r="C1527" t="b">
        <v>0</v>
      </c>
      <c r="D1527" t="str">
        <v>ライ</v>
      </c>
      <c r="E1527" t="str">
        <v>あかざ あれち</v>
      </c>
      <c r="F1527">
        <v>0</v>
      </c>
      <c r="G1527" t="str">
        <v>あかざ。あかざ科の一年草。 荒れ地。草むら。 草を刈る。除草する。</v>
      </c>
      <c r="I1527">
        <v>10</v>
      </c>
      <c r="J1527">
        <v>50</v>
      </c>
      <c r="K1527">
        <v>50</v>
      </c>
      <c r="L1527">
        <v>1</v>
      </c>
    </row>
    <row r="1528">
      <c r="A1528" t="str">
        <v>場</v>
      </c>
      <c r="B1528">
        <v>12</v>
      </c>
      <c r="C1528" t="b">
        <v>1</v>
      </c>
      <c r="D1528" t="str">
        <v>ジョウ</v>
      </c>
      <c r="E1528" t="str">
        <v>ば</v>
      </c>
      <c r="F1528">
        <v>0</v>
      </c>
      <c r="G1528" t="str">
        <v>神を祭るために清められた所。 人が集まったり何かを催したりする所。 とき。ひととき。 ば。演劇の一つの場面。</v>
      </c>
      <c r="I1528">
        <v>10</v>
      </c>
      <c r="J1528">
        <v>50</v>
      </c>
      <c r="K1528">
        <v>50</v>
      </c>
      <c r="L1528">
        <v>1</v>
      </c>
    </row>
    <row r="1529">
      <c r="A1529" t="str">
        <v>買</v>
      </c>
      <c r="B1529">
        <v>12</v>
      </c>
      <c r="C1529" t="b">
        <v>1</v>
      </c>
      <c r="D1529" t="str">
        <v>バイ</v>
      </c>
      <c r="E1529" t="str">
        <v>か（う）</v>
      </c>
      <c r="F1529">
        <v>0</v>
      </c>
      <c r="G1529" t="str">
        <v>かう。代金をはらって品物を求める。 求める。あさる。まねく。 かう。値打ちを認める。高い評価をする。</v>
      </c>
      <c r="I1529">
        <v>10</v>
      </c>
      <c r="J1529">
        <v>50</v>
      </c>
      <c r="K1529">
        <v>50</v>
      </c>
      <c r="L1529">
        <v>1</v>
      </c>
    </row>
    <row r="1530">
      <c r="A1530" t="str">
        <v>運</v>
      </c>
      <c r="B1530">
        <v>12</v>
      </c>
      <c r="C1530" t="b">
        <v>1</v>
      </c>
      <c r="D1530" t="str">
        <v>ウン</v>
      </c>
      <c r="E1530" t="str">
        <v>はこ（ぶ） さだめ めぐ（る）</v>
      </c>
      <c r="F1530" t="str">
        <v>かず やす ゆき</v>
      </c>
      <c r="G1530" t="str">
        <v>はこぶ。物を動かす。 めぐる。まわる。 めぐらす。まわす。働かせる。 めぐりあわせ。めぐり。</v>
      </c>
      <c r="I1530">
        <v>15</v>
      </c>
      <c r="J1530">
        <v>100</v>
      </c>
      <c r="K1530">
        <v>30</v>
      </c>
      <c r="L1530">
        <v>0</v>
      </c>
      <c r="M1530">
        <f>VLOOKUP(A1530,[1]kanji_data!$A:$N,14,FALSE)</f>
        <v>0</v>
      </c>
    </row>
    <row r="1531">
      <c r="A1531" t="str">
        <v>軽</v>
      </c>
      <c r="B1531">
        <v>12</v>
      </c>
      <c r="C1531" t="b">
        <v>1</v>
      </c>
      <c r="D1531" t="str">
        <v>ケイ キン</v>
      </c>
      <c r="E1531" t="str">
        <v>かる（い） かろ（やか）</v>
      </c>
      <c r="F1531" t="str">
        <v>かる とし</v>
      </c>
      <c r="G1531" t="str">
        <v>かるい。目方が少ない。身分が低い。値段が安い。 かろやか。すばしっこい。身軽に動く。 かろんじる。かろんずる。あなどる。みくびる。 かるくする。少なくする。 かるがるしい。かるはずみな。落ち着きがない。 かるがるしく。むやみに。かるはずみに。</v>
      </c>
      <c r="I1531">
        <v>15</v>
      </c>
      <c r="J1531">
        <v>50</v>
      </c>
      <c r="K1531">
        <v>50</v>
      </c>
      <c r="L1531">
        <v>1</v>
      </c>
    </row>
    <row r="1532">
      <c r="A1532" t="str">
        <v>着</v>
      </c>
      <c r="B1532">
        <v>12</v>
      </c>
      <c r="C1532" t="b">
        <v>1</v>
      </c>
      <c r="D1532" t="str">
        <v>チャク ジャク</v>
      </c>
      <c r="E1532" t="str">
        <v>き（せる） き（る） つ（く） つ（ける）</v>
      </c>
      <c r="F1532">
        <v>0</v>
      </c>
      <c r="G1532" t="str">
        <v>つく。くっつく。つける。くっつける。 きる。衣服を身につける。 つく。とどく。例：到着 ちゃく。衣服を数えるための助数詞。 ちゃく。到着の順位を数えることば。</v>
      </c>
      <c r="I1532">
        <v>10</v>
      </c>
      <c r="J1532">
        <v>50</v>
      </c>
      <c r="K1532">
        <v>50</v>
      </c>
      <c r="L1532">
        <v>1</v>
      </c>
    </row>
    <row r="1533">
      <c r="A1533" t="str">
        <v>隆</v>
      </c>
      <c r="B1533">
        <v>11</v>
      </c>
      <c r="C1533" t="b">
        <v>1</v>
      </c>
      <c r="D1533" t="str">
        <v>リュウ</v>
      </c>
      <c r="E1533" t="str">
        <v>さか（ん） たか（い）</v>
      </c>
      <c r="F1533" t="str">
        <v>お おき しげ たかし とき なが もり ゆたか</v>
      </c>
      <c r="G1533" t="str">
        <v>たかい。高く盛り上がっている。 さかん。盛大。勢いがある。 たっとい。身分や位が高い。</v>
      </c>
      <c r="H1533" t="str">
        <v>#繁栄</v>
      </c>
      <c r="I1533">
        <v>100</v>
      </c>
      <c r="J1533">
        <v>100</v>
      </c>
      <c r="K1533">
        <v>25</v>
      </c>
      <c r="L1533">
        <v>0</v>
      </c>
      <c r="M1533">
        <f>VLOOKUP(A1533,[1]kanji_data!$A:$N,14,FALSE)</f>
        <v>0</v>
      </c>
    </row>
    <row r="1534">
      <c r="A1534" t="str">
        <v>街</v>
      </c>
      <c r="B1534">
        <v>12</v>
      </c>
      <c r="C1534" t="b">
        <v>1</v>
      </c>
      <c r="D1534" t="str">
        <v>ガイ カイ</v>
      </c>
      <c r="E1534" t="str">
        <v>まち ちまた</v>
      </c>
      <c r="F1534">
        <v>0</v>
      </c>
      <c r="G1534" t="str">
        <v>まち。ちまた。まちなか。 よつまた。十字路。 大通り。</v>
      </c>
      <c r="H1534" t="str">
        <v>#調和 #伝統</v>
      </c>
      <c r="I1534">
        <v>45</v>
      </c>
      <c r="J1534">
        <v>40</v>
      </c>
      <c r="K1534">
        <v>45</v>
      </c>
      <c r="L1534">
        <v>0</v>
      </c>
    </row>
    <row r="1535">
      <c r="A1535" t="str">
        <v>陵</v>
      </c>
      <c r="B1535">
        <v>11</v>
      </c>
      <c r="C1535" t="b">
        <v>1</v>
      </c>
      <c r="D1535" t="str">
        <v>リョウ</v>
      </c>
      <c r="E1535" t="str">
        <v>みささぎ おか しの（ぐ）</v>
      </c>
      <c r="F1535">
        <v>0</v>
      </c>
      <c r="G1535" t="str">
        <v>おか。大きなおか。 みささぎ。天子の墓。 しのぐ。のりこえる。超越する。＝凌 しのぐ。おかす。おしのける。＝凌</v>
      </c>
      <c r="H1535" t="str">
        <v>#勇気</v>
      </c>
      <c r="I1535">
        <v>10</v>
      </c>
      <c r="J1535">
        <v>75</v>
      </c>
      <c r="K1535">
        <v>40</v>
      </c>
      <c r="L1535">
        <v>0</v>
      </c>
      <c r="M1535">
        <f>VLOOKUP(A1535,[1]kanji_data!$A:$N,14,FALSE)</f>
        <v>0</v>
      </c>
    </row>
    <row r="1536">
      <c r="A1536" t="str">
        <v>尉</v>
      </c>
      <c r="B1536">
        <v>11</v>
      </c>
      <c r="C1536" t="b">
        <v>1</v>
      </c>
      <c r="D1536" t="str">
        <v>イ ウツ</v>
      </c>
      <c r="E1536" t="str">
        <v>じょう</v>
      </c>
      <c r="F1536">
        <v>0</v>
      </c>
      <c r="G1536" t="str">
        <v>官名。警察や軍事などをつかさどる官。 なぐさめる。やすんじる。＝慰 火のし。布地のしわをのばす道具。＝熨 じょう。四等官で、衛門府・兵衛府などの第三位。 じょう。おきな。男性の老人。</v>
      </c>
      <c r="H1536" t="str">
        <v>#慈愛</v>
      </c>
      <c r="I1536">
        <v>10</v>
      </c>
      <c r="J1536">
        <v>75</v>
      </c>
      <c r="K1536">
        <v>40</v>
      </c>
      <c r="L1536">
        <v>1</v>
      </c>
    </row>
    <row r="1537">
      <c r="A1537" t="str">
        <v>逸</v>
      </c>
      <c r="B1537">
        <v>11</v>
      </c>
      <c r="C1537" t="b">
        <v>1</v>
      </c>
      <c r="D1537" t="str">
        <v>イツ イチ</v>
      </c>
      <c r="E1537" t="str">
        <v>うしな（う） すぐ（れる） そ（らす） そ（れる） はぐ（れる） はし（る） はや（る）</v>
      </c>
      <c r="F1537" t="str">
        <v>すぐる とし はつ はや はやし まさ まさる やす やすし</v>
      </c>
      <c r="G1537" t="str">
        <v>はしる。にげる。にがす。そらす。 なくなる。見失う。失う。 隠れる。世間から隠れる。 すぐれる。抜きんでる。 楽しむ。気ままに楽しむ。喜ぶ。 あやまち。あやまる。みだら。 ゆるす。ゆるやか。 はやる。興奮する。気がせく。</v>
      </c>
      <c r="H1537" t="str">
        <v>#勇気 #幸福 #繁栄</v>
      </c>
      <c r="I1537">
        <v>90</v>
      </c>
      <c r="J1537">
        <v>70</v>
      </c>
      <c r="K1537">
        <v>55</v>
      </c>
      <c r="L1537">
        <v>0</v>
      </c>
      <c r="M1537">
        <f>VLOOKUP(A1537,[1]kanji_data!$A:$N,14,FALSE)</f>
        <v>0</v>
      </c>
    </row>
    <row r="1538">
      <c r="A1538" t="str">
        <v>象</v>
      </c>
      <c r="B1538">
        <v>12</v>
      </c>
      <c r="C1538" t="b">
        <v>1</v>
      </c>
      <c r="D1538" t="str">
        <v>ショウ ゾウ</v>
      </c>
      <c r="E1538" t="str">
        <v>かたち かたど（る）</v>
      </c>
      <c r="F1538">
        <v>0</v>
      </c>
      <c r="G1538" t="str">
        <v>ぞう。大きな耳と長い鼻を持つ動物。 かたち。ようす。ありさま。しるし。 かたどる。のっとる。なぞらえる。 のり。道理。おきて。 通訳。</v>
      </c>
      <c r="I1538">
        <v>10</v>
      </c>
      <c r="J1538">
        <v>80</v>
      </c>
      <c r="K1538">
        <v>45</v>
      </c>
      <c r="L1538">
        <v>0</v>
      </c>
      <c r="M1538">
        <f>VLOOKUP(A1538,[1]kanji_data!$A:$N,14,FALSE)</f>
        <v>0</v>
      </c>
    </row>
    <row r="1539">
      <c r="A1539" t="str">
        <v>隊</v>
      </c>
      <c r="B1539">
        <v>12</v>
      </c>
      <c r="C1539" t="b">
        <v>1</v>
      </c>
      <c r="D1539" t="str">
        <v>タイ ツイ</v>
      </c>
      <c r="E1539" t="str">
        <v>お（ちる） くみ</v>
      </c>
      <c r="F1539">
        <v>0</v>
      </c>
      <c r="G1539" t="str">
        <v>くみ。まとまり。集団。兵士の集団。 おちる。＝堕</v>
      </c>
      <c r="I1539">
        <v>10</v>
      </c>
      <c r="J1539">
        <v>50</v>
      </c>
      <c r="K1539">
        <v>50</v>
      </c>
      <c r="L1539">
        <v>1</v>
      </c>
    </row>
    <row r="1540">
      <c r="A1540" t="str">
        <v>絶</v>
      </c>
      <c r="B1540">
        <v>12</v>
      </c>
      <c r="C1540" t="b">
        <v>1</v>
      </c>
      <c r="D1540" t="str">
        <v>ゼツ ゼチ セツ</v>
      </c>
      <c r="E1540" t="str">
        <v>た（える） た（つ） た（やす） はなは（だ） わた（る）</v>
      </c>
      <c r="F1540">
        <v>0</v>
      </c>
      <c r="G1540" t="str">
        <v>たえる。たちきれる。途切れる。ほろびる。 たつ。たやす。断ち切る。うちきる。やめる。とめる。 はなはだ。きわめて。この上ない。 わたる。横切る。 へだたる。かけ離れる。遠く離れている。 断る。拒む。 すぐれている。このうえない。</v>
      </c>
      <c r="I1540">
        <v>10</v>
      </c>
      <c r="J1540">
        <v>50</v>
      </c>
      <c r="K1540">
        <v>50</v>
      </c>
      <c r="L1540">
        <v>1</v>
      </c>
    </row>
    <row r="1541">
      <c r="A1541" t="str">
        <v>備</v>
      </c>
      <c r="B1541">
        <v>12</v>
      </c>
      <c r="C1541" t="b">
        <v>1</v>
      </c>
      <c r="D1541" t="str">
        <v>ビ ヒ</v>
      </c>
      <c r="E1541" t="str">
        <v>そな（える） そな（わる） つぶさ（に）</v>
      </c>
      <c r="F1541">
        <v>0</v>
      </c>
      <c r="G1541" t="str">
        <v>そなえる。整える。用意する。 そなわる。十分に整っている。 つぶさに。全て。みな。ことごとく。</v>
      </c>
      <c r="I1541">
        <v>10</v>
      </c>
      <c r="J1541">
        <v>80</v>
      </c>
      <c r="K1541">
        <v>50</v>
      </c>
      <c r="L1541">
        <v>0</v>
      </c>
      <c r="M1541">
        <f>VLOOKUP(A1541,[1]kanji_data!$A:$N,14,FALSE)</f>
        <v>0</v>
      </c>
    </row>
    <row r="1542">
      <c r="A1542" t="str">
        <v>揮</v>
      </c>
      <c r="B1542">
        <v>12</v>
      </c>
      <c r="C1542" t="b">
        <v>1</v>
      </c>
      <c r="D1542" t="str">
        <v>キ</v>
      </c>
      <c r="E1542" t="str">
        <v>ふる（う）</v>
      </c>
      <c r="F1542">
        <v>0</v>
      </c>
      <c r="G1542" t="str">
        <v>ふるう。ふり回す。ふり動かす。 ふるう。はらいのける。まきちらす。</v>
      </c>
      <c r="I1542">
        <v>10</v>
      </c>
      <c r="J1542">
        <v>100</v>
      </c>
      <c r="K1542">
        <v>25</v>
      </c>
      <c r="L1542">
        <v>0</v>
      </c>
      <c r="M1542">
        <f>VLOOKUP(A1542,[1]kanji_data!$A:$N,14,FALSE)</f>
        <v>0</v>
      </c>
    </row>
    <row r="1543">
      <c r="A1543" t="str">
        <v>装</v>
      </c>
      <c r="B1543">
        <v>12</v>
      </c>
      <c r="C1543" t="b">
        <v>1</v>
      </c>
      <c r="D1543" t="str">
        <v>ソウ ショウ</v>
      </c>
      <c r="E1543" t="str">
        <v>よそお（う） よそ（う）</v>
      </c>
      <c r="F1543">
        <v>0</v>
      </c>
      <c r="G1543" t="str">
        <v>よそおう。よそう。身支度をする。よそおい。 つつむ。衣服でつつむ。たばねる。つめる。 つける。取りつける。ととのえる。仕掛ける。そなえ付ける。</v>
      </c>
      <c r="I1543">
        <v>10</v>
      </c>
      <c r="J1543">
        <v>50</v>
      </c>
      <c r="K1543">
        <v>50</v>
      </c>
      <c r="L1543">
        <v>1</v>
      </c>
    </row>
    <row r="1544">
      <c r="A1544" t="str">
        <v>圏</v>
      </c>
      <c r="B1544">
        <v>12</v>
      </c>
      <c r="C1544" t="b">
        <v>1</v>
      </c>
      <c r="D1544" t="str">
        <v>ケン</v>
      </c>
      <c r="E1544" t="str">
        <v>かこ（い）</v>
      </c>
      <c r="F1544">
        <v>0</v>
      </c>
      <c r="G1544" t="str">
        <v>かこい。家畜を飼うためのかこい。 まげもの。木をまるく曲げてつくった容器。 まるい。まるい形のもの。 限られた一定の範囲。また、仕切られた範囲。</v>
      </c>
      <c r="I1544">
        <v>10</v>
      </c>
      <c r="J1544">
        <v>50</v>
      </c>
      <c r="K1544">
        <v>50</v>
      </c>
      <c r="L1544">
        <v>1</v>
      </c>
    </row>
    <row r="1545">
      <c r="A1545" t="str">
        <v>蛍</v>
      </c>
      <c r="B1545">
        <v>11</v>
      </c>
      <c r="C1545" t="b">
        <v>1</v>
      </c>
      <c r="D1545" t="str">
        <v>ケイ</v>
      </c>
      <c r="E1545" t="str">
        <v>ほたる</v>
      </c>
      <c r="F1545" t="str">
        <v>ほた</v>
      </c>
      <c r="G1545" t="str">
        <v>ほたる。ホタル科の昆虫。水辺に多くみられ、夜には発光することで知られる。</v>
      </c>
      <c r="H1545" t="str">
        <v>#海・水</v>
      </c>
      <c r="I1545">
        <v>60</v>
      </c>
      <c r="J1545">
        <v>60</v>
      </c>
      <c r="K1545">
        <v>55</v>
      </c>
      <c r="L1545">
        <v>0</v>
      </c>
      <c r="M1545">
        <f>VLOOKUP(A1545,[1]kanji_data!$A:$N,14,FALSE)</f>
        <v>0</v>
      </c>
    </row>
    <row r="1546">
      <c r="A1546" t="str">
        <v>渓</v>
      </c>
      <c r="B1546">
        <v>11</v>
      </c>
      <c r="C1546" t="b">
        <v>1</v>
      </c>
      <c r="D1546" t="str">
        <v>ケイ</v>
      </c>
      <c r="E1546" t="str">
        <v>たに</v>
      </c>
      <c r="F1546">
        <v>0</v>
      </c>
      <c r="G1546" t="str">
        <v>谷。谷川。谷間。</v>
      </c>
      <c r="H1546" t="str">
        <v>#海・水</v>
      </c>
      <c r="I1546">
        <v>60</v>
      </c>
      <c r="J1546">
        <v>25</v>
      </c>
      <c r="K1546">
        <v>100</v>
      </c>
      <c r="L1546">
        <v>0</v>
      </c>
      <c r="M1546">
        <f>VLOOKUP(A1546,[1]kanji_data!$A:$N,14,FALSE)</f>
        <v>0</v>
      </c>
    </row>
    <row r="1547">
      <c r="A1547" t="str">
        <v>斎</v>
      </c>
      <c r="B1547">
        <v>11</v>
      </c>
      <c r="C1547" t="b">
        <v>1</v>
      </c>
      <c r="D1547" t="str">
        <v>サイ</v>
      </c>
      <c r="E1547" t="str">
        <v>いつ（く） つつし（む） とき ものいみ</v>
      </c>
      <c r="F1547" t="str">
        <v>いつ いつき いつく いわい きよ きよし ただ ひとし よし</v>
      </c>
      <c r="G1547" t="str">
        <v>つつしむ。ものいみ。神仏を祭るとき、飲食や行動を慎んで、心身を清める。 へや。ものいみのための部屋。学問などのための部屋。 とき。僧の食事。仏事の食事。 いつく。いつき。心身を清めて神につかえる。</v>
      </c>
      <c r="H1547" t="str">
        <v>#知性</v>
      </c>
      <c r="I1547">
        <v>60</v>
      </c>
      <c r="J1547">
        <v>60</v>
      </c>
      <c r="K1547">
        <v>70</v>
      </c>
      <c r="L1547">
        <v>0</v>
      </c>
      <c r="M1547">
        <f>VLOOKUP(A1547,[1]kanji_data!$A:$N,14,FALSE)</f>
        <v>0</v>
      </c>
    </row>
    <row r="1548">
      <c r="A1548" t="str">
        <v>崎</v>
      </c>
      <c r="B1548">
        <v>11</v>
      </c>
      <c r="C1548" t="b">
        <v>1</v>
      </c>
      <c r="D1548" t="str">
        <v>キ</v>
      </c>
      <c r="E1548" t="str">
        <v>さき</v>
      </c>
      <c r="F1548">
        <v>0</v>
      </c>
      <c r="G1548" t="str">
        <v>けわしい。山や山道などが険しい。 さき。みさき。海や湖などへ突き出した陸地の先端。</v>
      </c>
      <c r="H1548" t="str">
        <v>#海・水</v>
      </c>
      <c r="I1548">
        <v>10</v>
      </c>
      <c r="J1548">
        <v>55</v>
      </c>
      <c r="K1548">
        <v>55</v>
      </c>
      <c r="L1548">
        <v>0</v>
      </c>
      <c r="M1548">
        <f>VLOOKUP(A1548,[1]kanji_data!$A:$N,14,FALSE)</f>
        <v>0</v>
      </c>
    </row>
    <row r="1549">
      <c r="A1549" t="str">
        <v>蛇</v>
      </c>
      <c r="B1549">
        <v>11</v>
      </c>
      <c r="C1549" t="b">
        <v>1</v>
      </c>
      <c r="D1549" t="str">
        <v>ジャ ダ イ タ</v>
      </c>
      <c r="E1549" t="str">
        <v>へび</v>
      </c>
      <c r="F1549">
        <v>0</v>
      </c>
      <c r="G1549" t="str">
        <v>へび。くちなわ。爬虫類の一種。 「委蛇」は、どじょうのこと。 星の名。 「委蛇」は、のびのびするさま。曲がりくねったさま。なよなよしたさま。</v>
      </c>
      <c r="H1549" t="str">
        <v>#天空</v>
      </c>
      <c r="I1549">
        <v>10</v>
      </c>
      <c r="J1549">
        <v>50</v>
      </c>
      <c r="K1549">
        <v>50</v>
      </c>
      <c r="L1549">
        <v>1</v>
      </c>
    </row>
    <row r="1550">
      <c r="A1550" t="str">
        <v>煮</v>
      </c>
      <c r="B1550">
        <v>12</v>
      </c>
      <c r="C1550" t="b">
        <v>1</v>
      </c>
      <c r="D1550" t="str">
        <v>シャ</v>
      </c>
      <c r="E1550" t="str">
        <v>に（える） に（やす） に（る）</v>
      </c>
      <c r="F1550">
        <v>0</v>
      </c>
      <c r="G1550" t="str">
        <v>にる。にえる。にやす。水に入れて熱する。</v>
      </c>
      <c r="I1550">
        <v>10</v>
      </c>
      <c r="J1550">
        <v>50</v>
      </c>
      <c r="K1550">
        <v>50</v>
      </c>
      <c r="L1550">
        <v>1</v>
      </c>
    </row>
    <row r="1551">
      <c r="A1551" t="str">
        <v>粛</v>
      </c>
      <c r="B1551">
        <v>11</v>
      </c>
      <c r="C1551" t="b">
        <v>1</v>
      </c>
      <c r="D1551" t="str">
        <v>シュク</v>
      </c>
      <c r="E1551" t="str">
        <v>つつし（む）</v>
      </c>
      <c r="F1551" t="str">
        <v>しゅ</v>
      </c>
      <c r="G1551" t="str">
        <v>つつしむ。かしこまる。うやうやしくする。 きびしい。きびしくする。ただす。</v>
      </c>
      <c r="H1551" t="str">
        <v>#品格 #心・志</v>
      </c>
      <c r="I1551">
        <v>90</v>
      </c>
      <c r="J1551">
        <v>60</v>
      </c>
      <c r="K1551">
        <v>70</v>
      </c>
      <c r="L1551">
        <v>0</v>
      </c>
      <c r="M1551">
        <f>VLOOKUP(A1551,[1]kanji_data!$A:$N,14,FALSE)</f>
        <v>0</v>
      </c>
    </row>
    <row r="1552">
      <c r="A1552" t="str">
        <v>淑</v>
      </c>
      <c r="B1552">
        <v>11</v>
      </c>
      <c r="C1552" t="b">
        <v>1</v>
      </c>
      <c r="D1552" t="str">
        <v>シュク</v>
      </c>
      <c r="E1552" t="str">
        <v>しと（やか） よ（い）</v>
      </c>
      <c r="F1552" t="str">
        <v>きみ きよ きよし すえ すみ とし ひで ふかし よし</v>
      </c>
      <c r="G1552" t="str">
        <v>よい。しとやか。善良である。品がある。上品である。 きよい。きよらか。美しい。 よくする。よしとする。よしとして慕う。</v>
      </c>
      <c r="H1552" t="str">
        <v>#品格 #海・水 #花・彩</v>
      </c>
      <c r="I1552">
        <v>70</v>
      </c>
      <c r="J1552">
        <v>5</v>
      </c>
      <c r="K1552">
        <v>100</v>
      </c>
      <c r="L1552">
        <v>0</v>
      </c>
      <c r="M1552">
        <f>VLOOKUP(A1552,[1]kanji_data!$A:$N,14,FALSE)</f>
        <v>0</v>
      </c>
    </row>
    <row r="1553">
      <c r="A1553" t="str">
        <v>庶</v>
      </c>
      <c r="B1553">
        <v>11</v>
      </c>
      <c r="C1553" t="b">
        <v>1</v>
      </c>
      <c r="D1553" t="str">
        <v>ショ</v>
      </c>
      <c r="E1553" t="str">
        <v>おお（い） こいねが（う） もろもろ</v>
      </c>
      <c r="F1553">
        <v>0</v>
      </c>
      <c r="G1553" t="str">
        <v>もろもろ。数が多い。多くのもの。いろいろ。さまざま。 おおい。人や物がおおい。 正妻ではない女性の生んだ子。 こいねがう。望む。希望する。 ちかい。ほとんど～のようである。ほとんど～と同じである。</v>
      </c>
      <c r="H1553" t="str">
        <v>#繁栄</v>
      </c>
      <c r="I1553">
        <v>10</v>
      </c>
      <c r="J1553">
        <v>50</v>
      </c>
      <c r="K1553">
        <v>50</v>
      </c>
      <c r="L1553">
        <v>1</v>
      </c>
    </row>
    <row r="1554">
      <c r="A1554" t="str">
        <v>渉</v>
      </c>
      <c r="B1554">
        <v>11</v>
      </c>
      <c r="C1554" t="b">
        <v>1</v>
      </c>
      <c r="D1554" t="str">
        <v>ショウ</v>
      </c>
      <c r="E1554" t="str">
        <v>かか（わる） わた（る）</v>
      </c>
      <c r="F1554" t="str">
        <v>さだ たか ただ わたり わたる</v>
      </c>
      <c r="G1554" t="str">
        <v>かかわる。関係する。あずかる。 わたる。川を歩いて渡る。水中を歩いて渡る。 わたる。歩き回る。各方面で広く見聞する。研究する。</v>
      </c>
      <c r="H1554" t="str">
        <v>#海・水</v>
      </c>
      <c r="I1554">
        <v>30</v>
      </c>
      <c r="J1554">
        <v>90</v>
      </c>
      <c r="K1554">
        <v>35</v>
      </c>
      <c r="L1554">
        <v>0</v>
      </c>
      <c r="M1554">
        <f>VLOOKUP(A1554,[1]kanji_data!$A:$N,14,FALSE)</f>
        <v>0</v>
      </c>
    </row>
    <row r="1555">
      <c r="A1555" t="str">
        <v>畳</v>
      </c>
      <c r="B1555">
        <v>12</v>
      </c>
      <c r="C1555" t="b">
        <v>1</v>
      </c>
      <c r="D1555" t="str">
        <v>ジョウ チョウ</v>
      </c>
      <c r="E1555" t="str">
        <v>たたみ たた（む） かさ（なる） かさ（ねる）</v>
      </c>
      <c r="F1555">
        <v>0</v>
      </c>
      <c r="G1555" t="str">
        <v>たたむ。かさねる。かさなる。積み重ねる。 たたむ。折りたたむ。平らなものを折り重ねる。 たたみ。いぐさで作った敷き物。また、たたみを数えることば。</v>
      </c>
      <c r="I1555">
        <v>10</v>
      </c>
      <c r="J1555">
        <v>50</v>
      </c>
      <c r="K1555">
        <v>50</v>
      </c>
      <c r="L1555">
        <v>1</v>
      </c>
    </row>
    <row r="1556">
      <c r="A1556" t="str">
        <v>塔</v>
      </c>
      <c r="B1556">
        <v>12</v>
      </c>
      <c r="C1556" t="b">
        <v>1</v>
      </c>
      <c r="D1556" t="str">
        <v>トウ</v>
      </c>
      <c r="E1556">
        <v>0</v>
      </c>
      <c r="F1556" t="str">
        <v>と</v>
      </c>
      <c r="G1556" t="str">
        <v>細くて高さの高い建造物。 梵語の「卒塔婆」を略したもの。仏骨を納めるための建物。</v>
      </c>
      <c r="I1556">
        <v>15</v>
      </c>
      <c r="J1556">
        <v>50</v>
      </c>
      <c r="K1556">
        <v>50</v>
      </c>
      <c r="L1556">
        <v>1</v>
      </c>
    </row>
    <row r="1557">
      <c r="A1557" t="str">
        <v>紳</v>
      </c>
      <c r="B1557">
        <v>11</v>
      </c>
      <c r="C1557" t="b">
        <v>1</v>
      </c>
      <c r="D1557" t="str">
        <v>シン</v>
      </c>
      <c r="E1557" t="str">
        <v>おおおび</v>
      </c>
      <c r="F1557" t="str">
        <v>おび</v>
      </c>
      <c r="G1557" t="str">
        <v>大帯。高位の人が礼装に用いた太い帯。 地位や教養のある立派な人のこと。</v>
      </c>
      <c r="H1557" t="str">
        <v>#品格</v>
      </c>
      <c r="I1557">
        <v>15</v>
      </c>
      <c r="J1557">
        <v>55</v>
      </c>
      <c r="K1557">
        <v>65</v>
      </c>
      <c r="L1557">
        <v>0</v>
      </c>
      <c r="M1557">
        <f>VLOOKUP(A1557,[1]kanji_data!$A:$N,14,FALSE)</f>
        <v>0</v>
      </c>
    </row>
    <row r="1558">
      <c r="A1558" t="str">
        <v>崇</v>
      </c>
      <c r="B1558">
        <v>11</v>
      </c>
      <c r="C1558" t="b">
        <v>1</v>
      </c>
      <c r="D1558" t="str">
        <v>スウ シュウ</v>
      </c>
      <c r="E1558" t="str">
        <v>あが（める） お（わる） たか（い） たっと（ぶ） とうと（ぶ）</v>
      </c>
      <c r="F1558" t="str">
        <v>かた し たかし たけ</v>
      </c>
      <c r="G1558" t="str">
        <v>たかい。山が高くそびえる。 とうとぶ。たっとぶ。あがめる。敬う。尊敬する。重んじる。敬意をはらう。 おわる。おえる。おわらせる。</v>
      </c>
      <c r="H1558" t="str">
        <v>#品格 #心・志</v>
      </c>
      <c r="I1558">
        <v>70</v>
      </c>
      <c r="J1558">
        <v>95</v>
      </c>
      <c r="K1558">
        <v>40</v>
      </c>
      <c r="L1558">
        <v>0</v>
      </c>
      <c r="M1558">
        <f>VLOOKUP(A1558,[1]kanji_data!$A:$N,14,FALSE)</f>
        <v>0</v>
      </c>
    </row>
    <row r="1559">
      <c r="A1559" t="str">
        <v>鈍</v>
      </c>
      <c r="B1559">
        <v>12</v>
      </c>
      <c r="C1559" t="b">
        <v>1</v>
      </c>
      <c r="D1559" t="str">
        <v>ドン トン</v>
      </c>
      <c r="E1559" t="str">
        <v>にぶ（い） にぶ（る） なま（る） にび のろ（い）</v>
      </c>
      <c r="F1559">
        <v>0</v>
      </c>
      <c r="G1559" t="str">
        <v>にぶい。刃物などの切れ味が悪い。 にぶい。のろい。のろま。 にぶる。にぶくなる。にぶらせる。 にび。にび色。濃い灰色。</v>
      </c>
      <c r="I1559">
        <v>10</v>
      </c>
      <c r="J1559">
        <v>50</v>
      </c>
      <c r="K1559">
        <v>50</v>
      </c>
      <c r="L1559">
        <v>1</v>
      </c>
    </row>
    <row r="1560">
      <c r="A1560" t="str">
        <v>普</v>
      </c>
      <c r="B1560">
        <v>12</v>
      </c>
      <c r="C1560" t="b">
        <v>1</v>
      </c>
      <c r="D1560" t="str">
        <v>フ</v>
      </c>
      <c r="E1560" t="str">
        <v>あまね（く）</v>
      </c>
      <c r="F1560" t="str">
        <v>ひろ ひろし ゆき</v>
      </c>
      <c r="G1560" t="str">
        <v>あまねく。あまねし。広く行きわたる。</v>
      </c>
      <c r="I1560">
        <v>15</v>
      </c>
      <c r="J1560">
        <v>80</v>
      </c>
      <c r="K1560">
        <v>45</v>
      </c>
      <c r="L1560">
        <v>0</v>
      </c>
      <c r="M1560">
        <f>VLOOKUP(A1560,[1]kanji_data!$A:$N,14,FALSE)</f>
        <v>0</v>
      </c>
    </row>
    <row r="1561">
      <c r="A1561" t="str">
        <v>傍</v>
      </c>
      <c r="B1561">
        <v>12</v>
      </c>
      <c r="C1561" t="b">
        <v>1</v>
      </c>
      <c r="D1561" t="str">
        <v>ボウ ホウ</v>
      </c>
      <c r="E1561" t="str">
        <v>かたわ（ら） そ（う） そば はた わき</v>
      </c>
      <c r="F1561">
        <v>0</v>
      </c>
      <c r="G1561" t="str">
        <v>かたわら。そば。はた。わき。ほとり。 つくり。漢字を構成する右側の部分。 そう。近づく。そばに寄る。寄り添う。</v>
      </c>
      <c r="I1561">
        <v>10</v>
      </c>
      <c r="J1561">
        <v>50</v>
      </c>
      <c r="K1561">
        <v>50</v>
      </c>
      <c r="L1561">
        <v>1</v>
      </c>
    </row>
    <row r="1562">
      <c r="A1562" t="str">
        <v>眺</v>
      </c>
      <c r="B1562">
        <v>11</v>
      </c>
      <c r="C1562" t="b">
        <v>1</v>
      </c>
      <c r="D1562" t="str">
        <v>チョウ</v>
      </c>
      <c r="E1562" t="str">
        <v>なが（める）</v>
      </c>
      <c r="F1562">
        <v>0</v>
      </c>
      <c r="G1562" t="str">
        <v>ながめる。遠くを見る。見渡す。 ながめ。見晴らし。景色。</v>
      </c>
      <c r="H1562" t="str">
        <v>#天空</v>
      </c>
      <c r="I1562">
        <v>10</v>
      </c>
      <c r="J1562">
        <v>75</v>
      </c>
      <c r="K1562">
        <v>45</v>
      </c>
      <c r="L1562">
        <v>1</v>
      </c>
    </row>
    <row r="1563">
      <c r="A1563" t="str">
        <v>絡</v>
      </c>
      <c r="B1563">
        <v>12</v>
      </c>
      <c r="C1563" t="b">
        <v>1</v>
      </c>
      <c r="D1563" t="str">
        <v>ラク</v>
      </c>
      <c r="E1563" t="str">
        <v>から（まる） から（む） から（める） から（げる） つな（ぐ） まと（う）</v>
      </c>
      <c r="F1563">
        <v>0</v>
      </c>
      <c r="G1563" t="str">
        <v>からまる。からむ。からめる。まとう。まとわる。まといつく。 つながる。つなぐ。続く。 すじ。すじみち。いとすじ。例：脈絡 きずな。たづな。馬をつなぐ綱。</v>
      </c>
      <c r="I1563">
        <v>10</v>
      </c>
      <c r="J1563">
        <v>50</v>
      </c>
      <c r="K1563">
        <v>50</v>
      </c>
      <c r="L1563">
        <v>1</v>
      </c>
    </row>
    <row r="1564">
      <c r="A1564" t="str">
        <v>腕</v>
      </c>
      <c r="B1564">
        <v>12</v>
      </c>
      <c r="C1564" t="b">
        <v>1</v>
      </c>
      <c r="D1564" t="str">
        <v>ワン</v>
      </c>
      <c r="E1564" t="str">
        <v>うで かいな</v>
      </c>
      <c r="F1564">
        <v>0</v>
      </c>
      <c r="G1564" t="str">
        <v>うで。かいな。二の腕。 手首。 うで。うでまえ。技量。例：手腕 うでのように本体から出た部分。</v>
      </c>
      <c r="I1564">
        <v>10</v>
      </c>
      <c r="J1564">
        <v>50</v>
      </c>
      <c r="K1564">
        <v>50</v>
      </c>
      <c r="L1564">
        <v>1</v>
      </c>
    </row>
    <row r="1565">
      <c r="A1565" t="str">
        <v>棋</v>
      </c>
      <c r="B1565">
        <v>12</v>
      </c>
      <c r="C1565" t="b">
        <v>1</v>
      </c>
      <c r="D1565" t="str">
        <v>キ ゴ</v>
      </c>
      <c r="E1565">
        <v>0</v>
      </c>
      <c r="F1565">
        <v>0</v>
      </c>
      <c r="G1565" t="str">
        <v>将棋や囲碁など、駒を使って競うもの。また、将棋の駒や碁石。</v>
      </c>
      <c r="I1565">
        <v>10</v>
      </c>
      <c r="J1565">
        <v>55</v>
      </c>
      <c r="K1565">
        <v>55</v>
      </c>
      <c r="L1565">
        <v>0</v>
      </c>
      <c r="M1565">
        <f>VLOOKUP(A1565,[1]kanji_data!$A:$N,14,FALSE)</f>
        <v>0</v>
      </c>
    </row>
    <row r="1566">
      <c r="A1566" t="str">
        <v>軟</v>
      </c>
      <c r="B1566">
        <v>11</v>
      </c>
      <c r="C1566" t="b">
        <v>1</v>
      </c>
      <c r="D1566" t="str">
        <v>ナン ゼン ネン</v>
      </c>
      <c r="E1566" t="str">
        <v>やわ（らか） やわ（らかい）</v>
      </c>
      <c r="F1566">
        <v>0</v>
      </c>
      <c r="G1566" t="str">
        <v>やわらか。やわらかい。しなやか。 よわい。かよわい。しっかりしていない。 やさしい。おだやか。</v>
      </c>
      <c r="H1566" t="str">
        <v>#慈愛</v>
      </c>
      <c r="I1566">
        <v>10</v>
      </c>
      <c r="J1566">
        <v>50</v>
      </c>
      <c r="K1566">
        <v>50</v>
      </c>
      <c r="L1566">
        <v>1</v>
      </c>
    </row>
    <row r="1567">
      <c r="A1567" t="str">
        <v>培</v>
      </c>
      <c r="B1567">
        <v>11</v>
      </c>
      <c r="C1567" t="b">
        <v>1</v>
      </c>
      <c r="D1567" t="str">
        <v>バイ ハイ ホウ</v>
      </c>
      <c r="E1567" t="str">
        <v>つちか（う） おか</v>
      </c>
      <c r="F1567">
        <v>0</v>
      </c>
      <c r="G1567" t="str">
        <v>つちかう。草木の根本に土をかける。転じて、養い育てるの意。 のせる。土をのせかける。 おか。つか。小さな丘や塚。</v>
      </c>
      <c r="H1567" t="str">
        <v>#天空 #自然</v>
      </c>
      <c r="I1567">
        <v>10</v>
      </c>
      <c r="J1567">
        <v>70</v>
      </c>
      <c r="K1567">
        <v>50</v>
      </c>
      <c r="L1567">
        <v>1</v>
      </c>
    </row>
    <row r="1568">
      <c r="A1568" t="str">
        <v>雇</v>
      </c>
      <c r="B1568">
        <v>12</v>
      </c>
      <c r="C1568" t="b">
        <v>1</v>
      </c>
      <c r="D1568" t="str">
        <v>コ</v>
      </c>
      <c r="E1568" t="str">
        <v>やと（う）</v>
      </c>
      <c r="F1568">
        <v>0</v>
      </c>
      <c r="G1568" t="str">
        <v>やとう。賃金を払って人を使う。</v>
      </c>
      <c r="I1568">
        <v>10</v>
      </c>
      <c r="J1568">
        <v>50</v>
      </c>
      <c r="K1568">
        <v>50</v>
      </c>
      <c r="L1568">
        <v>1</v>
      </c>
    </row>
    <row r="1569">
      <c r="A1569" t="str">
        <v>絞</v>
      </c>
      <c r="B1569">
        <v>12</v>
      </c>
      <c r="C1569" t="b">
        <v>1</v>
      </c>
      <c r="D1569" t="str">
        <v>コウ</v>
      </c>
      <c r="E1569" t="str">
        <v>しぼ（る） し（まる） し（める） くび（る）</v>
      </c>
      <c r="F1569">
        <v>0</v>
      </c>
      <c r="G1569" t="str">
        <v>しめる。くびる。くくりしめる。 きびしい。きびしくする。 もえぎ色。 しぼる。水分をしぼりとる。</v>
      </c>
      <c r="I1569">
        <v>10</v>
      </c>
      <c r="J1569">
        <v>50</v>
      </c>
      <c r="K1569">
        <v>50</v>
      </c>
      <c r="L1569">
        <v>1</v>
      </c>
    </row>
    <row r="1570">
      <c r="A1570" t="str">
        <v>湿</v>
      </c>
      <c r="B1570">
        <v>12</v>
      </c>
      <c r="C1570" t="b">
        <v>1</v>
      </c>
      <c r="D1570" t="str">
        <v>シツ</v>
      </c>
      <c r="E1570" t="str">
        <v>しめ（す） しめ（る） うるお（い） うるお（す）</v>
      </c>
      <c r="F1570">
        <v>0</v>
      </c>
      <c r="G1570" t="str">
        <v>しめす。しめる。うるおす。うるおう。 じめじめしている。水気を帯びている。</v>
      </c>
      <c r="I1570">
        <v>10</v>
      </c>
      <c r="J1570">
        <v>50</v>
      </c>
      <c r="K1570">
        <v>50</v>
      </c>
      <c r="L1570">
        <v>1</v>
      </c>
    </row>
    <row r="1571">
      <c r="A1571" t="str">
        <v>偏</v>
      </c>
      <c r="B1571">
        <v>11</v>
      </c>
      <c r="C1571" t="b">
        <v>1</v>
      </c>
      <c r="D1571" t="str">
        <v>ヘン</v>
      </c>
      <c r="E1571" t="str">
        <v>かたよ（る） ひとえ（に）</v>
      </c>
      <c r="F1571">
        <v>0</v>
      </c>
      <c r="G1571" t="str">
        <v>かたよる。不公平。中正でない。 ひとえに。もっぱら。一途に。 中央から離れた。田舎の。 片側。片方。半分。 漢字を構成する左側の部分。</v>
      </c>
      <c r="H1571" t="str">
        <v>#品格</v>
      </c>
      <c r="I1571">
        <v>10</v>
      </c>
      <c r="J1571">
        <v>50</v>
      </c>
      <c r="K1571">
        <v>50</v>
      </c>
      <c r="L1571">
        <v>1</v>
      </c>
    </row>
    <row r="1572">
      <c r="A1572" t="str">
        <v>堀</v>
      </c>
      <c r="B1572">
        <v>11</v>
      </c>
      <c r="C1572" t="b">
        <v>1</v>
      </c>
      <c r="D1572" t="str">
        <v>クツ コツ</v>
      </c>
      <c r="E1572" t="str">
        <v>ほり あな</v>
      </c>
      <c r="F1572">
        <v>0</v>
      </c>
      <c r="G1572" t="str">
        <v>あな。あなぐら。あなむろ。地下に設けた部屋。 ほり。地面を掘って水を通した川や池。</v>
      </c>
      <c r="H1572" t="str">
        <v>#海・水</v>
      </c>
      <c r="I1572">
        <v>10</v>
      </c>
      <c r="J1572">
        <v>55</v>
      </c>
      <c r="K1572">
        <v>55</v>
      </c>
      <c r="L1572">
        <v>1</v>
      </c>
    </row>
    <row r="1573">
      <c r="A1573" t="str">
        <v>麻</v>
      </c>
      <c r="B1573">
        <v>11</v>
      </c>
      <c r="C1573" t="b">
        <v>1</v>
      </c>
      <c r="D1573" t="str">
        <v>マ バ</v>
      </c>
      <c r="E1573" t="str">
        <v>あさ しび（れる）</v>
      </c>
      <c r="F1573" t="str">
        <v>お ぬさ</v>
      </c>
      <c r="G1573" t="str">
        <v>あさ。アサ科（クワ科）の一年草。 しびれる。感覚が失われる。 ごま。ゴマ科の一年草。</v>
      </c>
      <c r="H1573" t="str">
        <v>#自然</v>
      </c>
      <c r="I1573">
        <v>90</v>
      </c>
      <c r="J1573">
        <v>95</v>
      </c>
      <c r="K1573">
        <v>30</v>
      </c>
      <c r="L1573">
        <v>0</v>
      </c>
      <c r="M1573">
        <f>VLOOKUP(A1573,[1]kanji_data!$A:$N,14,FALSE)</f>
        <v>0</v>
      </c>
    </row>
    <row r="1574">
      <c r="A1574" t="str">
        <v>唯</v>
      </c>
      <c r="B1574">
        <v>11</v>
      </c>
      <c r="C1574" t="b">
        <v>1</v>
      </c>
      <c r="D1574" t="str">
        <v>ユイ イ</v>
      </c>
      <c r="E1574" t="str">
        <v>ただ</v>
      </c>
      <c r="F1574" t="str">
        <v>ゆ</v>
      </c>
      <c r="G1574" t="str">
        <v>ただ。「ただ～だけ」「ただ～のみ」の限定または強調の意。 これ。語調を整える語。 はい。返事。すぐさま丁寧に答える返事。</v>
      </c>
      <c r="H1574" t="str">
        <v>#心・志</v>
      </c>
      <c r="I1574">
        <v>80</v>
      </c>
      <c r="J1574">
        <v>60</v>
      </c>
      <c r="K1574">
        <v>55</v>
      </c>
      <c r="L1574">
        <v>0</v>
      </c>
      <c r="M1574">
        <f>VLOOKUP(A1574,[1]kanji_data!$A:$N,14,FALSE)</f>
        <v>0</v>
      </c>
    </row>
    <row r="1575">
      <c r="A1575" t="str">
        <v>悠</v>
      </c>
      <c r="B1575">
        <v>11</v>
      </c>
      <c r="C1575" t="b">
        <v>1</v>
      </c>
      <c r="D1575" t="str">
        <v>ユウ</v>
      </c>
      <c r="E1575" t="str">
        <v>とお（い） はる（か）</v>
      </c>
      <c r="F1575" t="str">
        <v>ちか ちかし はるか ひさ ひさし ゆ</v>
      </c>
      <c r="G1575" t="str">
        <v>とおい。はるか。どこまでも長く続く。 ゆとりがある。ゆったりしている。</v>
      </c>
      <c r="H1575" t="str">
        <v>#健康</v>
      </c>
      <c r="I1575">
        <v>100</v>
      </c>
      <c r="J1575">
        <v>80</v>
      </c>
      <c r="K1575">
        <v>45</v>
      </c>
      <c r="L1575">
        <v>0</v>
      </c>
      <c r="M1575">
        <f>VLOOKUP(A1575,[1]kanji_data!$A:$N,14,FALSE)</f>
        <v>0</v>
      </c>
    </row>
    <row r="1576">
      <c r="A1576" t="str">
        <v>婿</v>
      </c>
      <c r="B1576">
        <v>12</v>
      </c>
      <c r="C1576" t="b">
        <v>1</v>
      </c>
      <c r="D1576" t="str">
        <v>セイ</v>
      </c>
      <c r="E1576" t="str">
        <v>むこ</v>
      </c>
      <c r="F1576">
        <v>0</v>
      </c>
      <c r="G1576" t="str">
        <v>むこ。娘の夫。</v>
      </c>
      <c r="I1576">
        <v>10</v>
      </c>
      <c r="J1576">
        <v>50</v>
      </c>
      <c r="K1576">
        <v>50</v>
      </c>
      <c r="L1576">
        <v>1</v>
      </c>
    </row>
    <row r="1577">
      <c r="A1577" t="str">
        <v>涼</v>
      </c>
      <c r="B1577">
        <v>11</v>
      </c>
      <c r="C1577" t="b">
        <v>1</v>
      </c>
      <c r="D1577" t="str">
        <v>リョウ</v>
      </c>
      <c r="E1577" t="str">
        <v>すず（しい） すず（む） うす（い）</v>
      </c>
      <c r="F1577" t="str">
        <v>あつ すけ</v>
      </c>
      <c r="G1577" t="str">
        <v>すずしい。すずしさ。心地よい冷たさ。さわやかなさま。 うすい。少ない。物寂しい。乏しい。 思いやりのないさま。 悲しみ。うれい。悲しむ。うれえる。 すずしい。さわやかである。 すずむ。</v>
      </c>
      <c r="H1577" t="str">
        <v>#心・志 #慈愛</v>
      </c>
      <c r="I1577">
        <v>100</v>
      </c>
      <c r="J1577">
        <v>25</v>
      </c>
      <c r="K1577">
        <v>100</v>
      </c>
      <c r="L1577">
        <v>0</v>
      </c>
      <c r="M1577">
        <f>VLOOKUP(A1577,[1]kanji_data!$A:$N,14,FALSE)</f>
        <v>0</v>
      </c>
    </row>
    <row r="1578">
      <c r="A1578" t="str">
        <v>痘</v>
      </c>
      <c r="B1578">
        <v>12</v>
      </c>
      <c r="C1578" t="b">
        <v>1</v>
      </c>
      <c r="D1578" t="str">
        <v>トウ</v>
      </c>
      <c r="E1578" t="str">
        <v>もがさ</v>
      </c>
      <c r="F1578">
        <v>0</v>
      </c>
      <c r="G1578" t="str">
        <v>もがさ。ほうそう。天然痘。感染症。伝染病。</v>
      </c>
      <c r="I1578">
        <v>10</v>
      </c>
      <c r="J1578">
        <v>50</v>
      </c>
      <c r="K1578">
        <v>50</v>
      </c>
      <c r="L1578">
        <v>1</v>
      </c>
    </row>
    <row r="1579">
      <c r="A1579" t="str">
        <v>募</v>
      </c>
      <c r="B1579">
        <v>12</v>
      </c>
      <c r="C1579" t="b">
        <v>1</v>
      </c>
      <c r="D1579" t="str">
        <v>ボ モ</v>
      </c>
      <c r="E1579" t="str">
        <v>つの（る）</v>
      </c>
      <c r="F1579">
        <v>0</v>
      </c>
      <c r="G1579" t="str">
        <v>つのる。もとめる。広く呼びかけて人材やお金などを集める。 つのる。ひどくなる。増長する。激化する。</v>
      </c>
      <c r="I1579">
        <v>10</v>
      </c>
      <c r="J1579">
        <v>50</v>
      </c>
      <c r="K1579">
        <v>50</v>
      </c>
      <c r="L1579">
        <v>1</v>
      </c>
    </row>
    <row r="1580">
      <c r="A1580" t="str">
        <v>淫</v>
      </c>
      <c r="B1580">
        <v>11</v>
      </c>
      <c r="C1580" t="b">
        <v>1</v>
      </c>
      <c r="D1580" t="str">
        <v>イン</v>
      </c>
      <c r="E1580" t="str">
        <v>みだ（ら） あふ（れる） おお（きい） ながあめ ふけ（る） ほしいまま みだ（す） みだら</v>
      </c>
      <c r="F1580">
        <v>0</v>
      </c>
      <c r="G1580" t="str">
        <v>みだら。男女関係において不純である。ふしだらなさま。だらしがないさま。 みだす。みだれる。まどわる。心をまどわす。 あふれる。うるおう。おぼれる。ふける。度を越す。 大きい。はなはだしい。 ながあめ。何日も降り続く雨。 ほしいまま。わがまま。身分をわきまえない。</v>
      </c>
      <c r="H1580" t="str">
        <v>#海・水</v>
      </c>
      <c r="I1580">
        <v>0</v>
      </c>
      <c r="J1580">
        <v>50</v>
      </c>
      <c r="K1580">
        <v>50</v>
      </c>
      <c r="L1580">
        <v>1</v>
      </c>
    </row>
    <row r="1581">
      <c r="A1581" t="str">
        <v>揺</v>
      </c>
      <c r="B1581">
        <v>12</v>
      </c>
      <c r="C1581" t="b">
        <v>1</v>
      </c>
      <c r="D1581" t="str">
        <v>ヨウ</v>
      </c>
      <c r="E1581" t="str">
        <v>ゆ（さぶる） ゆ（すぶる） ゆ（する） ゆ（らぐ） ゆ（る） ゆ（るぐ） ゆ（れる）</v>
      </c>
      <c r="F1581" t="str">
        <v>たま</v>
      </c>
      <c r="G1581" t="str">
        <v>ゆれる。ゆらぐ。ゆるぐ。ゆれ動く。ゆらゆらと動く。 ゆする。ゆすぶる。ゆさぶる。ゆる。ゆり動かす。ゆすって動かす。</v>
      </c>
      <c r="I1581">
        <v>15</v>
      </c>
      <c r="J1581">
        <v>50</v>
      </c>
      <c r="K1581">
        <v>50</v>
      </c>
      <c r="L1581">
        <v>1</v>
      </c>
    </row>
    <row r="1582">
      <c r="A1582" t="str">
        <v>亀</v>
      </c>
      <c r="B1582">
        <v>11</v>
      </c>
      <c r="C1582" t="b">
        <v>1</v>
      </c>
      <c r="D1582" t="str">
        <v>キ キュウ キン</v>
      </c>
      <c r="E1582" t="str">
        <v>かめ あかぎれ</v>
      </c>
      <c r="F1582" t="str">
        <v>あや すすむ たか たかし たから ながし ひさ ひさし</v>
      </c>
      <c r="G1582" t="str">
        <v>かめ。甲羅をもつ爬虫類の一種。 かめの甲羅、またその模様。 「亀茲」は、古代の国名。 あかぎれ。ひび。ひび割れ。</v>
      </c>
      <c r="H1582" t="str">
        <v>#自然</v>
      </c>
      <c r="I1582">
        <v>80</v>
      </c>
      <c r="J1582">
        <v>85</v>
      </c>
      <c r="K1582">
        <v>35</v>
      </c>
      <c r="L1582">
        <v>0</v>
      </c>
      <c r="M1582">
        <f>VLOOKUP(A1582,[1]kanji_data!$A:$N,14,FALSE)</f>
        <v>0</v>
      </c>
    </row>
    <row r="1583">
      <c r="A1583" t="str">
        <v>裂</v>
      </c>
      <c r="B1583">
        <v>12</v>
      </c>
      <c r="C1583" t="b">
        <v>1</v>
      </c>
      <c r="D1583" t="str">
        <v>レツ</v>
      </c>
      <c r="E1583" t="str">
        <v>さ（く） さ（ける） きれ</v>
      </c>
      <c r="F1583">
        <v>0</v>
      </c>
      <c r="G1583" t="str">
        <v>きれ。きれはし。布のきれはし。 さく。ひきさく。さきやぶる。 やぶれる。さける。ばらばらになる。くずれる。 刑罰の一種。</v>
      </c>
      <c r="I1583">
        <v>10</v>
      </c>
      <c r="J1583">
        <v>50</v>
      </c>
      <c r="K1583">
        <v>50</v>
      </c>
      <c r="L1583">
        <v>1</v>
      </c>
    </row>
    <row r="1584">
      <c r="A1584" t="str">
        <v>閑</v>
      </c>
      <c r="B1584">
        <v>12</v>
      </c>
      <c r="C1584" t="b">
        <v>1</v>
      </c>
      <c r="D1584" t="str">
        <v>カン</v>
      </c>
      <c r="E1584" t="str">
        <v>しず（か） なら（う） ひま</v>
      </c>
      <c r="F1584" t="str">
        <v>しず のり まもる もり やす より</v>
      </c>
      <c r="G1584" t="str">
        <v>ひま。いとま。用事のない時間。 しずか。のどか。落ち着いている。 しきり。かこい。わく。 のり。きまり。規則。 ふせぐ。まもる。 ならう。なれる。習熟する。 おろそか。大切でない。</v>
      </c>
      <c r="I1584">
        <v>15</v>
      </c>
      <c r="J1584">
        <v>10</v>
      </c>
      <c r="K1584">
        <v>100</v>
      </c>
      <c r="L1584">
        <v>0</v>
      </c>
      <c r="M1584">
        <f>VLOOKUP(A1584,[1]kanji_data!$A:$N,14,FALSE)</f>
        <v>0</v>
      </c>
    </row>
    <row r="1585">
      <c r="A1585" t="str">
        <v>梗</v>
      </c>
      <c r="B1585">
        <v>11</v>
      </c>
      <c r="C1585" t="b">
        <v>1</v>
      </c>
      <c r="D1585" t="str">
        <v>コウ キョウ</v>
      </c>
      <c r="E1585" t="str">
        <v>おおむ（ね） かた（い） つよ（い） でく ふさ（がる）</v>
      </c>
      <c r="F1585" t="str">
        <v>たけ な なお</v>
      </c>
      <c r="G1585" t="str">
        <v>やまにれ。ニレ科の落葉高木。かたいとげがある。 かたい。つよい。 ふさがる。ふさぐ。さえぎる。 おおむね。あらまし。 でく。人形。木ぼりの人形。</v>
      </c>
      <c r="H1585" t="str">
        <v>#勇気 #自然</v>
      </c>
      <c r="I1585">
        <v>15</v>
      </c>
      <c r="J1585">
        <v>50</v>
      </c>
      <c r="K1585">
        <v>50</v>
      </c>
      <c r="L1585">
        <v>1</v>
      </c>
    </row>
    <row r="1586">
      <c r="A1586" t="str">
        <v>隅</v>
      </c>
      <c r="B1586">
        <v>12</v>
      </c>
      <c r="C1586" t="b">
        <v>1</v>
      </c>
      <c r="D1586" t="str">
        <v>グウ</v>
      </c>
      <c r="E1586" t="str">
        <v>すみ</v>
      </c>
      <c r="F1586">
        <v>0</v>
      </c>
      <c r="G1586" t="str">
        <v>すみ。かたすみ。かど。</v>
      </c>
      <c r="I1586">
        <v>10</v>
      </c>
      <c r="J1586">
        <v>50</v>
      </c>
      <c r="K1586">
        <v>50</v>
      </c>
      <c r="L1586">
        <v>1</v>
      </c>
    </row>
    <row r="1587">
      <c r="A1587" t="str">
        <v>硝</v>
      </c>
      <c r="B1587">
        <v>12</v>
      </c>
      <c r="C1587" t="b">
        <v>1</v>
      </c>
      <c r="D1587" t="str">
        <v>ショウ</v>
      </c>
      <c r="E1587">
        <v>0</v>
      </c>
      <c r="F1587">
        <v>0</v>
      </c>
      <c r="G1587" t="str">
        <v>鉱物の名。火薬や硝子の原料となる。</v>
      </c>
      <c r="I1587">
        <v>10</v>
      </c>
      <c r="J1587">
        <v>50</v>
      </c>
      <c r="K1587">
        <v>50</v>
      </c>
      <c r="L1587">
        <v>1</v>
      </c>
    </row>
    <row r="1588">
      <c r="A1588" t="str">
        <v>埼</v>
      </c>
      <c r="B1588">
        <v>11</v>
      </c>
      <c r="C1588" t="b">
        <v>1</v>
      </c>
      <c r="D1588" t="str">
        <v>キ</v>
      </c>
      <c r="E1588" t="str">
        <v>さい さき</v>
      </c>
      <c r="F1588">
        <v>0</v>
      </c>
      <c r="G1588" t="str">
        <v>さき。みさき。海や湖などへ突き出した陸地の先端。 さい。県名「埼玉（さいたま）」に用いられる字。</v>
      </c>
      <c r="H1588" t="str">
        <v>#海・水</v>
      </c>
      <c r="I1588">
        <v>10</v>
      </c>
      <c r="J1588">
        <v>55</v>
      </c>
      <c r="K1588">
        <v>55</v>
      </c>
      <c r="L1588">
        <v>0</v>
      </c>
      <c r="M1588">
        <f>VLOOKUP(A1588,[1]kanji_data!$A:$N,14,FALSE)</f>
        <v>0</v>
      </c>
    </row>
    <row r="1589">
      <c r="A1589" t="str">
        <v>粧</v>
      </c>
      <c r="B1589">
        <v>12</v>
      </c>
      <c r="C1589" t="b">
        <v>1</v>
      </c>
      <c r="D1589" t="str">
        <v>ショウ ソウ</v>
      </c>
      <c r="E1589" t="str">
        <v>めか（す） よそお（う）</v>
      </c>
      <c r="F1589">
        <v>0</v>
      </c>
      <c r="G1589" t="str">
        <v>めかす。よそおう。容姿を装い飾る。 よそおい。飾り。</v>
      </c>
      <c r="I1589">
        <v>10</v>
      </c>
      <c r="J1589">
        <v>50</v>
      </c>
      <c r="K1589">
        <v>50</v>
      </c>
      <c r="L1589">
        <v>1</v>
      </c>
    </row>
    <row r="1590">
      <c r="A1590" t="str">
        <v>鹿</v>
      </c>
      <c r="B1590">
        <v>11</v>
      </c>
      <c r="C1590" t="b">
        <v>1</v>
      </c>
      <c r="D1590" t="str">
        <v>ロク</v>
      </c>
      <c r="E1590" t="str">
        <v>か しか</v>
      </c>
      <c r="F1590">
        <v>0</v>
      </c>
      <c r="G1590" t="str">
        <v>しか。か。シカ科の哺乳動物。四肢は細く、足が速い。また、雄には角がある。 帝位、王位など権力のある位のたとえ。 四角い米倉。穀物倉。 ふもと。山のふもと。＝麓</v>
      </c>
      <c r="H1590" t="str">
        <v>#勇気</v>
      </c>
      <c r="I1590">
        <v>10</v>
      </c>
      <c r="J1590">
        <v>50</v>
      </c>
      <c r="K1590">
        <v>50</v>
      </c>
      <c r="L1590">
        <v>0</v>
      </c>
      <c r="M1590">
        <f>VLOOKUP(A1590,[1]kanji_data!$A:$N,14,FALSE)</f>
        <v>0</v>
      </c>
    </row>
    <row r="1591">
      <c r="A1591" t="str">
        <v>詔</v>
      </c>
      <c r="B1591">
        <v>12</v>
      </c>
      <c r="C1591" t="b">
        <v>1</v>
      </c>
      <c r="D1591" t="str">
        <v>ショウ</v>
      </c>
      <c r="E1591" t="str">
        <v>みことのり つ（げる）</v>
      </c>
      <c r="F1591">
        <v>0</v>
      </c>
      <c r="G1591" t="str">
        <v>みことのり。天子の命令。天子のことば。 つげる。上の者が下の者につげる。 みちびく。教えみちびく。</v>
      </c>
      <c r="I1591">
        <v>10</v>
      </c>
      <c r="J1591">
        <v>50</v>
      </c>
      <c r="K1591">
        <v>50</v>
      </c>
      <c r="L1591">
        <v>1</v>
      </c>
    </row>
    <row r="1592">
      <c r="A1592" t="str">
        <v>戚</v>
      </c>
      <c r="B1592">
        <v>11</v>
      </c>
      <c r="C1592" t="b">
        <v>1</v>
      </c>
      <c r="D1592" t="str">
        <v>セキ</v>
      </c>
      <c r="E1592" t="str">
        <v>いた（む） うれ（える） みうち</v>
      </c>
      <c r="F1592">
        <v>0</v>
      </c>
      <c r="G1592" t="str">
        <v>みうち。親族。親類。特に女性（母や妻）の身内。 いたむ。うれえる。うれい悲しむ。 おの。まさかり。小ぶりのおの。</v>
      </c>
      <c r="H1592" t="str">
        <v>#心・志</v>
      </c>
      <c r="I1592">
        <v>10</v>
      </c>
      <c r="J1592">
        <v>50</v>
      </c>
      <c r="K1592">
        <v>50</v>
      </c>
      <c r="L1592">
        <v>1</v>
      </c>
    </row>
    <row r="1593">
      <c r="A1593" t="str">
        <v>診</v>
      </c>
      <c r="B1593">
        <v>12</v>
      </c>
      <c r="C1593" t="b">
        <v>1</v>
      </c>
      <c r="D1593" t="str">
        <v>シン</v>
      </c>
      <c r="E1593" t="str">
        <v>み（る）</v>
      </c>
      <c r="F1593">
        <v>0</v>
      </c>
      <c r="G1593" t="str">
        <v>みる。しっかりと調べる。 みる。病気の状態を調べる。</v>
      </c>
      <c r="I1593">
        <v>10</v>
      </c>
      <c r="J1593">
        <v>50</v>
      </c>
      <c r="K1593">
        <v>50</v>
      </c>
      <c r="L1593">
        <v>1</v>
      </c>
    </row>
    <row r="1594">
      <c r="A1594" t="str">
        <v>爽</v>
      </c>
      <c r="B1594">
        <v>11</v>
      </c>
      <c r="C1594" t="b">
        <v>1</v>
      </c>
      <c r="D1594" t="str">
        <v>ソウ ショウ</v>
      </c>
      <c r="E1594" t="str">
        <v>さわ（やか） あき（らか） たが（う）</v>
      </c>
      <c r="F1594" t="str">
        <v>あきら さ さや さわ</v>
      </c>
      <c r="G1594" t="str">
        <v>あきらか。明るい。夜明けの明るさ。 さわやか。すがすがしい。 たがう。たがえる。間違える。誤る。違反する。 傷つく。損なう。失う。ばらばらになる。</v>
      </c>
      <c r="H1594" t="str">
        <v>#天空</v>
      </c>
      <c r="I1594">
        <v>100</v>
      </c>
      <c r="J1594">
        <v>50</v>
      </c>
      <c r="K1594">
        <v>70</v>
      </c>
      <c r="L1594">
        <v>0</v>
      </c>
      <c r="M1594">
        <f>VLOOKUP(A1594,[1]kanji_data!$A:$N,14,FALSE)</f>
        <v>0</v>
      </c>
    </row>
    <row r="1595">
      <c r="A1595" t="str">
        <v>疎</v>
      </c>
      <c r="B1595">
        <v>12</v>
      </c>
      <c r="C1595" t="b">
        <v>1</v>
      </c>
      <c r="D1595" t="str">
        <v>ソ ショ</v>
      </c>
      <c r="E1595" t="str">
        <v>うと（い） うと（む） うろ おろ おろ（か） おろそ（か） とお（す） とお（る） まば（ら）</v>
      </c>
      <c r="F1595">
        <v>0</v>
      </c>
      <c r="G1595" t="str">
        <v>うとい。親しくない。よく知らない。＝疏 うとんじる。うとんずる。うとむ。とおざける。＝疏 おろそか。おろそかにする。＝疏 あらい。おおまか。おおざっぱ。まばら。＝疏 とおる。通ずる。通じさせる。＝疏 分ける。分かれる。分かつ。＝疏 除く。取り除く。洗い去る。＝疏</v>
      </c>
      <c r="I1595">
        <v>10</v>
      </c>
      <c r="J1595">
        <v>50</v>
      </c>
      <c r="K1595">
        <v>50</v>
      </c>
      <c r="L1595">
        <v>1</v>
      </c>
    </row>
    <row r="1596">
      <c r="A1596" t="str">
        <v>堆</v>
      </c>
      <c r="B1596">
        <v>11</v>
      </c>
      <c r="C1596" t="b">
        <v>1</v>
      </c>
      <c r="D1596" t="str">
        <v>タイ ツイ</v>
      </c>
      <c r="E1596" t="str">
        <v>うずたか（い）</v>
      </c>
      <c r="F1596">
        <v>0</v>
      </c>
      <c r="G1596" t="str">
        <v>うずたかい。土などが高く積みあがる。また、高く積み上げる。 丘。小高い丘。</v>
      </c>
      <c r="H1596" t="str">
        <v>#自然</v>
      </c>
      <c r="I1596">
        <v>10</v>
      </c>
      <c r="J1596">
        <v>50</v>
      </c>
      <c r="K1596">
        <v>50</v>
      </c>
      <c r="L1596">
        <v>1</v>
      </c>
    </row>
    <row r="1597">
      <c r="A1597" t="str">
        <v>堕</v>
      </c>
      <c r="B1597">
        <v>12</v>
      </c>
      <c r="C1597" t="b">
        <v>1</v>
      </c>
      <c r="D1597" t="str">
        <v>ダ キ</v>
      </c>
      <c r="E1597" t="str">
        <v>お（ちる） お（とす） お（ろす） こぼ（つ）</v>
      </c>
      <c r="F1597">
        <v>0</v>
      </c>
      <c r="G1597" t="str">
        <v>おちる。下におちる。また、おとす。 おとす。おろす。うしなう。外に出す。 おこたる。なまける。＝惰 こぼつ。こわす。</v>
      </c>
      <c r="I1597">
        <v>10</v>
      </c>
      <c r="J1597">
        <v>50</v>
      </c>
      <c r="K1597">
        <v>50</v>
      </c>
      <c r="L1597">
        <v>1</v>
      </c>
    </row>
    <row r="1598">
      <c r="A1598" t="str">
        <v>梨</v>
      </c>
      <c r="B1598">
        <v>11</v>
      </c>
      <c r="C1598" t="b">
        <v>1</v>
      </c>
      <c r="D1598" t="str">
        <v>リ</v>
      </c>
      <c r="E1598" t="str">
        <v>なし</v>
      </c>
      <c r="F1598" t="str">
        <v>りん</v>
      </c>
      <c r="G1598" t="str">
        <v>なし。バラ科の落葉高木。</v>
      </c>
      <c r="H1598" t="str">
        <v>#自然</v>
      </c>
      <c r="I1598">
        <v>100</v>
      </c>
      <c r="J1598">
        <v>25</v>
      </c>
      <c r="K1598">
        <v>85</v>
      </c>
      <c r="L1598">
        <v>0</v>
      </c>
      <c r="M1598">
        <f>VLOOKUP(A1598,[1]kanji_data!$A:$N,14,FALSE)</f>
        <v>0</v>
      </c>
    </row>
    <row r="1599">
      <c r="A1599" t="str">
        <v>惰</v>
      </c>
      <c r="B1599">
        <v>12</v>
      </c>
      <c r="C1599" t="b">
        <v>1</v>
      </c>
      <c r="D1599" t="str">
        <v>ダ タ</v>
      </c>
      <c r="E1599" t="str">
        <v>おこた（る）</v>
      </c>
      <c r="F1599">
        <v>0</v>
      </c>
      <c r="G1599" t="str">
        <v>おこたる。なまける。手を抜く。いいかげんにする。 あなどる。軽視する。</v>
      </c>
      <c r="I1599">
        <v>10</v>
      </c>
      <c r="J1599">
        <v>50</v>
      </c>
      <c r="K1599">
        <v>50</v>
      </c>
      <c r="L1599">
        <v>1</v>
      </c>
    </row>
    <row r="1600">
      <c r="A1600" t="str">
        <v>庵</v>
      </c>
      <c r="B1600">
        <v>11</v>
      </c>
      <c r="C1600" t="b">
        <v>0</v>
      </c>
      <c r="D1600" t="str">
        <v>アン</v>
      </c>
      <c r="E1600" t="str">
        <v>いおり</v>
      </c>
      <c r="F1600">
        <v>0</v>
      </c>
      <c r="G1600" t="str">
        <v>いおり。草ぶき屋根の小さな家。 文人の住居や書斎の雅号に用いる語。</v>
      </c>
      <c r="H1600" t="str">
        <v>#品格 #自然</v>
      </c>
      <c r="I1600">
        <v>10</v>
      </c>
      <c r="J1600">
        <v>5</v>
      </c>
      <c r="K1600">
        <v>100</v>
      </c>
      <c r="L1600">
        <v>0</v>
      </c>
      <c r="M1600">
        <f>VLOOKUP(A1600,[1]kanji_data!$A:$N,14,FALSE)</f>
        <v>0</v>
      </c>
    </row>
    <row r="1601">
      <c r="A1601" t="str">
        <v>惟</v>
      </c>
      <c r="B1601">
        <v>11</v>
      </c>
      <c r="C1601" t="b">
        <v>0</v>
      </c>
      <c r="D1601" t="str">
        <v>イ ユイ</v>
      </c>
      <c r="E1601" t="str">
        <v>おも（う） おも（うに） おもんみ（る） これ ただ</v>
      </c>
      <c r="F1601" t="str">
        <v>あり たもつ のぶ よし</v>
      </c>
      <c r="G1601" t="str">
        <v>おもう。おもうに。おもんみる。よく考える。よく考えてみる。 「ただ」と読み、「ただ～だけ」「ただ～のみ」と限定の意を表す。 「これ」と読み、文頭や句の間に置いて語調を整える意を表す。</v>
      </c>
      <c r="H1601" t="str">
        <v>#心・志 #知性</v>
      </c>
      <c r="I1601">
        <v>95</v>
      </c>
      <c r="J1601">
        <v>65</v>
      </c>
      <c r="K1601">
        <v>60</v>
      </c>
      <c r="L1601">
        <v>0</v>
      </c>
      <c r="M1601">
        <f>VLOOKUP(A1601,[1]kanji_data!$A:$N,14,FALSE)</f>
        <v>0</v>
      </c>
    </row>
    <row r="1602">
      <c r="A1602" t="str">
        <v>寅</v>
      </c>
      <c r="B1602">
        <v>11</v>
      </c>
      <c r="C1602" t="b">
        <v>0</v>
      </c>
      <c r="D1602" t="str">
        <v>イン</v>
      </c>
      <c r="E1602" t="str">
        <v>つつし（む） とら</v>
      </c>
      <c r="F1602" t="str">
        <v>とも のぶ</v>
      </c>
      <c r="G1602" t="str">
        <v>とら。十二支の三番目。方位では東北東。時刻では午前四時、および前後の二時間。動物では虎。 つつしむ。うやまう。かしこまる。</v>
      </c>
      <c r="H1602" t="str">
        <v>#心・志</v>
      </c>
      <c r="I1602">
        <v>85</v>
      </c>
      <c r="J1602">
        <v>85</v>
      </c>
      <c r="K1602">
        <v>30</v>
      </c>
      <c r="L1602">
        <v>0</v>
      </c>
      <c r="M1602">
        <f>VLOOKUP(A1602,[1]kanji_data!$A:$N,14,FALSE)</f>
        <v>0</v>
      </c>
    </row>
    <row r="1603">
      <c r="A1603" t="str">
        <v>凰</v>
      </c>
      <c r="B1603">
        <v>11</v>
      </c>
      <c r="C1603" t="b">
        <v>0</v>
      </c>
      <c r="D1603" t="str">
        <v>コウ オウ</v>
      </c>
      <c r="E1603" t="str">
        <v>おおとり</v>
      </c>
      <c r="F1603" t="str">
        <v>お</v>
      </c>
      <c r="G1603" t="str">
        <v>おおとり。めでたいときに現れるとされる伝説上の鳥。鳳凰（ほうおう）。雄を「鳳」、雌を「凰」という。</v>
      </c>
      <c r="H1603" t="str">
        <v>#勇気 #幸福</v>
      </c>
      <c r="I1603">
        <v>80</v>
      </c>
      <c r="J1603">
        <v>65</v>
      </c>
      <c r="K1603">
        <v>65</v>
      </c>
      <c r="L1603">
        <v>0</v>
      </c>
      <c r="M1603">
        <f>VLOOKUP(A1603,[1]kanji_data!$A:$N,14,FALSE)</f>
        <v>0</v>
      </c>
    </row>
    <row r="1604">
      <c r="A1604" t="str">
        <v>晦</v>
      </c>
      <c r="B1604">
        <v>11</v>
      </c>
      <c r="C1604" t="b">
        <v>0</v>
      </c>
      <c r="D1604" t="str">
        <v>カイ</v>
      </c>
      <c r="E1604" t="str">
        <v>くら（い） くら（ます） つごもり みそか</v>
      </c>
      <c r="F1604">
        <v>0</v>
      </c>
      <c r="G1604" t="str">
        <v>つごもり。みそか。陰暦で月の最終日。 くらい。よくみえない。よくわからない。 くらます。わからないようにする。みつけられないようにする。</v>
      </c>
      <c r="H1604" t="str">
        <v>#天空</v>
      </c>
      <c r="I1604">
        <v>10</v>
      </c>
      <c r="J1604">
        <v>50</v>
      </c>
      <c r="K1604">
        <v>50</v>
      </c>
      <c r="L1604">
        <v>1</v>
      </c>
    </row>
    <row r="1605">
      <c r="A1605" t="str">
        <v>菅</v>
      </c>
      <c r="B1605">
        <v>11</v>
      </c>
      <c r="C1605" t="b">
        <v>0</v>
      </c>
      <c r="D1605" t="str">
        <v>カン</v>
      </c>
      <c r="E1605" t="str">
        <v>すが すげ</v>
      </c>
      <c r="F1605">
        <v>0</v>
      </c>
      <c r="G1605" t="str">
        <v>すげ。すが。かやつりぐさ科の植物。 ふじばかま。キク科の多年生植物。</v>
      </c>
      <c r="H1605" t="str">
        <v>#自然</v>
      </c>
      <c r="I1605">
        <v>10</v>
      </c>
      <c r="J1605">
        <v>50</v>
      </c>
      <c r="K1605">
        <v>50</v>
      </c>
      <c r="L1605">
        <v>0</v>
      </c>
      <c r="M1605">
        <f>VLOOKUP(A1605,[1]kanji_data!$A:$N,14,FALSE)</f>
        <v>0</v>
      </c>
    </row>
    <row r="1606">
      <c r="A1606" t="str">
        <v>棚</v>
      </c>
      <c r="B1606">
        <v>12</v>
      </c>
      <c r="C1606" t="b">
        <v>1</v>
      </c>
      <c r="D1606" t="str">
        <v>ホウ</v>
      </c>
      <c r="E1606" t="str">
        <v>たな</v>
      </c>
      <c r="F1606">
        <v>0</v>
      </c>
      <c r="G1606" t="str">
        <v>たな。板などを水平にかけ渡して、物をのせるもの。</v>
      </c>
      <c r="I1606">
        <v>10</v>
      </c>
      <c r="J1606">
        <v>50</v>
      </c>
      <c r="K1606">
        <v>50</v>
      </c>
      <c r="L1606">
        <v>1</v>
      </c>
    </row>
    <row r="1607">
      <c r="A1607" t="str">
        <v>搭</v>
      </c>
      <c r="B1607">
        <v>13</v>
      </c>
      <c r="C1607" t="b">
        <v>1</v>
      </c>
      <c r="D1607" t="str">
        <v>トウ</v>
      </c>
      <c r="E1607" t="str">
        <v>の（せる） の（る）</v>
      </c>
      <c r="F1607">
        <v>0</v>
      </c>
      <c r="G1607" t="str">
        <v>のる。のせる。ある物の上にのる。ある物の上にのせる。 つける。くっつける。つなげる。 かける。ぶらさげる。つるす。</v>
      </c>
      <c r="I1607">
        <v>10</v>
      </c>
      <c r="J1607">
        <v>50</v>
      </c>
      <c r="K1607">
        <v>50</v>
      </c>
      <c r="L1607">
        <v>1</v>
      </c>
    </row>
    <row r="1608">
      <c r="A1608" t="str">
        <v>媒</v>
      </c>
      <c r="B1608">
        <v>12</v>
      </c>
      <c r="C1608" t="b">
        <v>1</v>
      </c>
      <c r="D1608" t="str">
        <v>バイ</v>
      </c>
      <c r="E1608" t="str">
        <v>なかだち</v>
      </c>
      <c r="F1608">
        <v>0</v>
      </c>
      <c r="G1608" t="str">
        <v>なかだち。仲介。間に入って関係をとりもつ。 なこうど。仲介人。関係をとりもつ人。 おとり。誘い寄せる働きをするもの。</v>
      </c>
      <c r="I1608">
        <v>10</v>
      </c>
      <c r="J1608">
        <v>50</v>
      </c>
      <c r="K1608">
        <v>50</v>
      </c>
      <c r="L1608">
        <v>1</v>
      </c>
    </row>
    <row r="1609">
      <c r="A1609" t="str">
        <v>遍</v>
      </c>
      <c r="B1609">
        <v>12</v>
      </c>
      <c r="C1609" t="b">
        <v>1</v>
      </c>
      <c r="D1609" t="str">
        <v>ヘン</v>
      </c>
      <c r="E1609" t="str">
        <v>あまね（く）</v>
      </c>
      <c r="F1609">
        <v>0</v>
      </c>
      <c r="G1609" t="str">
        <v>あまねく。あまねし。広く。まんべんなく。 回数を示す助数詞。</v>
      </c>
      <c r="I1609">
        <v>10</v>
      </c>
      <c r="J1609">
        <v>85</v>
      </c>
      <c r="K1609">
        <v>50</v>
      </c>
      <c r="L1609">
        <v>0</v>
      </c>
      <c r="M1609">
        <f>VLOOKUP(A1609,[1]kanji_data!$A:$N,14,FALSE)</f>
        <v>0</v>
      </c>
    </row>
    <row r="1610">
      <c r="A1610" t="str">
        <v>痢</v>
      </c>
      <c r="B1610">
        <v>12</v>
      </c>
      <c r="C1610" t="b">
        <v>1</v>
      </c>
      <c r="D1610" t="str">
        <v>リ</v>
      </c>
      <c r="E1610">
        <v>0</v>
      </c>
      <c r="F1610">
        <v>0</v>
      </c>
      <c r="G1610" t="str">
        <v>はらくだし。はらくだり。げり。</v>
      </c>
      <c r="I1610">
        <v>10</v>
      </c>
      <c r="J1610">
        <v>50</v>
      </c>
      <c r="K1610">
        <v>50</v>
      </c>
      <c r="L1610">
        <v>1</v>
      </c>
    </row>
    <row r="1611">
      <c r="A1611" t="str">
        <v>絃</v>
      </c>
      <c r="B1611">
        <v>11</v>
      </c>
      <c r="C1611" t="b">
        <v>0</v>
      </c>
      <c r="D1611" t="str">
        <v>ゲン</v>
      </c>
      <c r="E1611" t="str">
        <v>いと つる</v>
      </c>
      <c r="F1611" t="str">
        <v>お ふさ</v>
      </c>
      <c r="G1611" t="str">
        <v>いと。つる。弦楽器に張る糸。 弦楽器の総称。また、弦楽器を弾くこと。</v>
      </c>
      <c r="H1611" t="str">
        <v>#調和</v>
      </c>
      <c r="I1611">
        <v>100</v>
      </c>
      <c r="J1611">
        <v>55</v>
      </c>
      <c r="K1611">
        <v>55</v>
      </c>
      <c r="L1611">
        <v>0</v>
      </c>
      <c r="M1611">
        <f>VLOOKUP(A1611,[1]kanji_data!$A:$N,14,FALSE)</f>
        <v>0</v>
      </c>
    </row>
    <row r="1612">
      <c r="A1612" t="str">
        <v>硫</v>
      </c>
      <c r="B1612">
        <v>12</v>
      </c>
      <c r="C1612" t="b">
        <v>1</v>
      </c>
      <c r="D1612" t="str">
        <v>リュウ ル</v>
      </c>
      <c r="E1612">
        <v>0</v>
      </c>
      <c r="F1612">
        <v>0</v>
      </c>
      <c r="G1612" t="str">
        <v>硫黄（いおう）。非金属元素の一つ。</v>
      </c>
      <c r="I1612">
        <v>10</v>
      </c>
      <c r="J1612">
        <v>50</v>
      </c>
      <c r="K1612">
        <v>50</v>
      </c>
      <c r="L1612">
        <v>1</v>
      </c>
    </row>
    <row r="1613">
      <c r="A1613" t="str">
        <v>梧</v>
      </c>
      <c r="B1613">
        <v>11</v>
      </c>
      <c r="C1613" t="b">
        <v>0</v>
      </c>
      <c r="D1613" t="str">
        <v>ゴ</v>
      </c>
      <c r="E1613" t="str">
        <v>あおぎり</v>
      </c>
      <c r="F1613" t="str">
        <v>ひろ</v>
      </c>
      <c r="G1613" t="str">
        <v>あおぎり。アオギリ科の落葉高木。 「魁梧（かいご）」は、壮大なさま。大きくりっぱなさま。</v>
      </c>
      <c r="H1613" t="str">
        <v>#健康 #自然</v>
      </c>
      <c r="I1613">
        <v>85</v>
      </c>
      <c r="J1613">
        <v>45</v>
      </c>
      <c r="K1613">
        <v>65</v>
      </c>
      <c r="L1613">
        <v>0</v>
      </c>
      <c r="M1613">
        <f>VLOOKUP(A1613,[1]kanji_data!$A:$N,14,FALSE)</f>
        <v>0</v>
      </c>
    </row>
    <row r="1614">
      <c r="A1614" t="str">
        <v>皐</v>
      </c>
      <c r="B1614">
        <v>11</v>
      </c>
      <c r="C1614" t="b">
        <v>0</v>
      </c>
      <c r="D1614" t="str">
        <v>コウ</v>
      </c>
      <c r="E1614" t="str">
        <v>さつき さわ</v>
      </c>
      <c r="F1614" t="str">
        <v>さ さつ すすむ たか たかし</v>
      </c>
      <c r="G1614" t="str">
        <v>皐月。陰暦の五月の別称。 さわ。水辺の土地。岸辺。 高い。高い場所。 叫ぶ。大声で呼びかける。</v>
      </c>
      <c r="H1614" t="str">
        <v>#天空 #海・水</v>
      </c>
      <c r="I1614">
        <v>95</v>
      </c>
      <c r="J1614">
        <v>45</v>
      </c>
      <c r="K1614">
        <v>65</v>
      </c>
      <c r="L1614">
        <v>0</v>
      </c>
      <c r="M1614">
        <f>VLOOKUP(A1614,[1]kanji_data!$A:$N,14,FALSE)</f>
        <v>0</v>
      </c>
    </row>
    <row r="1615">
      <c r="A1615" t="str">
        <v>喉</v>
      </c>
      <c r="B1615">
        <v>12</v>
      </c>
      <c r="C1615" t="b">
        <v>1</v>
      </c>
      <c r="D1615" t="str">
        <v>コウ</v>
      </c>
      <c r="E1615" t="str">
        <v>のど</v>
      </c>
      <c r="F1615">
        <v>0</v>
      </c>
      <c r="G1615" t="str">
        <v>のど。口の奥の部分。 急所。要所。</v>
      </c>
      <c r="I1615">
        <v>10</v>
      </c>
      <c r="J1615">
        <v>50</v>
      </c>
      <c r="K1615">
        <v>50</v>
      </c>
      <c r="L1615">
        <v>1</v>
      </c>
    </row>
    <row r="1616">
      <c r="A1616" t="str">
        <v>砦</v>
      </c>
      <c r="B1616">
        <v>11</v>
      </c>
      <c r="C1616" t="b">
        <v>0</v>
      </c>
      <c r="D1616" t="str">
        <v>サイ</v>
      </c>
      <c r="E1616" t="str">
        <v>とりで</v>
      </c>
      <c r="F1616">
        <v>0</v>
      </c>
      <c r="G1616" t="str">
        <v>とりで。敵の侵入を防ぐための囲い。小さな城。 まがき。木や竹で作ったかきね。</v>
      </c>
      <c r="H1616" t="str">
        <v>#自然</v>
      </c>
      <c r="I1616">
        <v>10</v>
      </c>
      <c r="J1616">
        <v>100</v>
      </c>
      <c r="K1616">
        <v>20</v>
      </c>
      <c r="L1616">
        <v>1</v>
      </c>
    </row>
    <row r="1617">
      <c r="A1617" t="str">
        <v>笹</v>
      </c>
      <c r="B1617">
        <v>11</v>
      </c>
      <c r="C1617" t="b">
        <v>0</v>
      </c>
      <c r="D1617">
        <v>0</v>
      </c>
      <c r="E1617" t="str">
        <v>ささ</v>
      </c>
      <c r="F1617">
        <v>0</v>
      </c>
      <c r="G1617" t="str">
        <v>ささ。群生する細く小さな竹の総称。</v>
      </c>
      <c r="H1617" t="str">
        <v>#自然</v>
      </c>
      <c r="I1617">
        <v>10</v>
      </c>
      <c r="J1617">
        <v>50</v>
      </c>
      <c r="K1617">
        <v>50</v>
      </c>
      <c r="L1617">
        <v>0</v>
      </c>
      <c r="M1617">
        <f>VLOOKUP(A1617,[1]kanji_data!$A:$N,14,FALSE)</f>
        <v>0</v>
      </c>
    </row>
    <row r="1618">
      <c r="A1618" t="str">
        <v>偲</v>
      </c>
      <c r="B1618">
        <v>11</v>
      </c>
      <c r="C1618" t="b">
        <v>0</v>
      </c>
      <c r="D1618" t="str">
        <v>サイ シ</v>
      </c>
      <c r="E1618" t="str">
        <v>しの（ぶ）</v>
      </c>
      <c r="F1618" t="str">
        <v>しのぶ</v>
      </c>
      <c r="G1618" t="str">
        <v>頭がよい。才能がある。 互いに相手を思い励まし合うさま。 しのぶ。なつかしむ。思い慕う。</v>
      </c>
      <c r="H1618" t="str">
        <v>#心・志 #知性</v>
      </c>
      <c r="I1618">
        <v>90</v>
      </c>
      <c r="J1618">
        <v>5</v>
      </c>
      <c r="K1618">
        <v>100</v>
      </c>
      <c r="L1618">
        <v>0</v>
      </c>
      <c r="M1618">
        <f>VLOOKUP(A1618,[1]kanji_data!$A:$N,14,FALSE)</f>
        <v>0</v>
      </c>
    </row>
    <row r="1619">
      <c r="A1619" t="str">
        <v>梓</v>
      </c>
      <c r="B1619">
        <v>11</v>
      </c>
      <c r="C1619" t="b">
        <v>0</v>
      </c>
      <c r="D1619" t="str">
        <v>シ</v>
      </c>
      <c r="E1619" t="str">
        <v>あずさ はんぎ</v>
      </c>
      <c r="F1619" t="str">
        <v>あず</v>
      </c>
      <c r="G1619" t="str">
        <v>あずさ。ノウゼンカズラ科の落葉高木。 はんぎ。版材として用いられる木の板。また、それに文字を彫って印刷する。 あずさ。カバノキ科の落葉高木。</v>
      </c>
      <c r="H1619" t="str">
        <v>#自然</v>
      </c>
      <c r="I1619">
        <v>80</v>
      </c>
      <c r="J1619">
        <v>90</v>
      </c>
      <c r="K1619">
        <v>35</v>
      </c>
      <c r="L1619">
        <v>0</v>
      </c>
      <c r="M1619">
        <f>VLOOKUP(A1619,[1]kanji_data!$A:$N,14,FALSE)</f>
        <v>0</v>
      </c>
    </row>
    <row r="1620">
      <c r="A1620" t="str">
        <v>痩</v>
      </c>
      <c r="B1620">
        <v>12</v>
      </c>
      <c r="C1620" t="b">
        <v>1</v>
      </c>
      <c r="D1620" t="str">
        <v>ソウ シュウ</v>
      </c>
      <c r="E1620" t="str">
        <v>や（せる） こ（ける） ほそ（い）</v>
      </c>
      <c r="F1620">
        <v>0</v>
      </c>
      <c r="G1620" t="str">
        <v>やせる。やせほそる。やせこける。体がやせる。体が細くなる。 土地がやせる。 細い。体が細い。</v>
      </c>
      <c r="I1620">
        <v>10</v>
      </c>
      <c r="J1620">
        <v>50</v>
      </c>
      <c r="K1620">
        <v>50</v>
      </c>
      <c r="L1620">
        <v>1</v>
      </c>
    </row>
    <row r="1621">
      <c r="A1621" t="str">
        <v>貼</v>
      </c>
      <c r="B1621">
        <v>12</v>
      </c>
      <c r="C1621" t="b">
        <v>1</v>
      </c>
      <c r="D1621" t="str">
        <v>チョウ テン</v>
      </c>
      <c r="E1621" t="str">
        <v>は（る） つ（ける）</v>
      </c>
      <c r="F1621">
        <v>0</v>
      </c>
      <c r="G1621" t="str">
        <v>借金のかたにおく。抵当にする。 はる。はりつける。 つく。はりつく。よりつく。くっつく。 ちょう。薬の包みを数える助数詞。</v>
      </c>
      <c r="I1621">
        <v>10</v>
      </c>
      <c r="J1621">
        <v>50</v>
      </c>
      <c r="K1621">
        <v>50</v>
      </c>
      <c r="L1621">
        <v>1</v>
      </c>
    </row>
    <row r="1622">
      <c r="A1622" t="str">
        <v>椎</v>
      </c>
      <c r="B1622">
        <v>12</v>
      </c>
      <c r="C1622" t="b">
        <v>1</v>
      </c>
      <c r="D1622" t="str">
        <v>ツイ スイ</v>
      </c>
      <c r="E1622" t="str">
        <v>う（つ） しい せぼね つち</v>
      </c>
      <c r="F1622">
        <v>0</v>
      </c>
      <c r="G1622" t="str">
        <v>つち。物をうちたたく道具。 うつ。たたく。うちたたく。 にぶい。のろい。おろか。 せぼね。 しい。ブナ科の常緑高木。</v>
      </c>
      <c r="I1622">
        <v>10</v>
      </c>
      <c r="J1622">
        <v>55</v>
      </c>
      <c r="K1622">
        <v>55</v>
      </c>
      <c r="L1622">
        <v>0</v>
      </c>
      <c r="M1622">
        <f>VLOOKUP(A1622,[1]kanji_data!$A:$N,14,FALSE)</f>
        <v>0</v>
      </c>
    </row>
    <row r="1623">
      <c r="A1623" t="str">
        <v>惇</v>
      </c>
      <c r="B1623">
        <v>11</v>
      </c>
      <c r="C1623" t="b">
        <v>0</v>
      </c>
      <c r="D1623" t="str">
        <v>ジュン トン</v>
      </c>
      <c r="E1623" t="str">
        <v>あつ（い） まこと</v>
      </c>
      <c r="F1623" t="str">
        <v>あつし すなお つとむ とし</v>
      </c>
      <c r="G1623" t="str">
        <v>あつい。まこと。人情があつい。誠実である。真心のある。</v>
      </c>
      <c r="H1623" t="str">
        <v>#心・志</v>
      </c>
      <c r="I1623">
        <v>100</v>
      </c>
      <c r="J1623">
        <v>45</v>
      </c>
      <c r="K1623">
        <v>75</v>
      </c>
      <c r="L1623">
        <v>0</v>
      </c>
      <c r="M1623">
        <f>VLOOKUP(A1623,[1]kanji_data!$A:$N,14,FALSE)</f>
        <v>0</v>
      </c>
    </row>
    <row r="1624">
      <c r="A1624" t="str">
        <v>淳</v>
      </c>
      <c r="B1624">
        <v>11</v>
      </c>
      <c r="C1624" t="b">
        <v>0</v>
      </c>
      <c r="D1624" t="str">
        <v>ジュン</v>
      </c>
      <c r="E1624" t="str">
        <v>あつ（い） すなお</v>
      </c>
      <c r="F1624" t="str">
        <v>あき あつ あつし きよ きよし ただし とし ぬ まこと よし</v>
      </c>
      <c r="G1624" t="str">
        <v>あつい。情があつい。情が深い。まごころがある。 すなお。飾り気のない。混じり気がない。ありのまま。</v>
      </c>
      <c r="H1624" t="str">
        <v>#心・志</v>
      </c>
      <c r="I1624">
        <v>100</v>
      </c>
      <c r="J1624">
        <v>60</v>
      </c>
      <c r="K1624">
        <v>55</v>
      </c>
      <c r="L1624">
        <v>0</v>
      </c>
      <c r="M1624">
        <f>VLOOKUP(A1624,[1]kanji_data!$A:$N,14,FALSE)</f>
        <v>0</v>
      </c>
    </row>
    <row r="1625">
      <c r="A1625" t="str">
        <v>渚</v>
      </c>
      <c r="B1625">
        <v>11</v>
      </c>
      <c r="C1625" t="b">
        <v>0</v>
      </c>
      <c r="D1625" t="str">
        <v>ショ</v>
      </c>
      <c r="E1625" t="str">
        <v>なぎさ みぎわ</v>
      </c>
      <c r="F1625" t="str">
        <v>お さ な なぎ</v>
      </c>
      <c r="G1625" t="str">
        <v>なぎさ。みぎわ。みずぎわ。波打ち際。 す。なかす。河川や湖の中にできた小島。</v>
      </c>
      <c r="H1625" t="str">
        <v>#海・水</v>
      </c>
      <c r="I1625">
        <v>100</v>
      </c>
      <c r="J1625">
        <v>25</v>
      </c>
      <c r="K1625">
        <v>100</v>
      </c>
      <c r="L1625">
        <v>0</v>
      </c>
      <c r="M1625">
        <f>VLOOKUP(A1625,[1]kanji_data!$A:$N,14,FALSE)</f>
        <v>0</v>
      </c>
    </row>
    <row r="1626">
      <c r="A1626" t="str">
        <v>捷</v>
      </c>
      <c r="B1626">
        <v>11</v>
      </c>
      <c r="C1626" t="b">
        <v>0</v>
      </c>
      <c r="D1626" t="str">
        <v>ショウ</v>
      </c>
      <c r="E1626" t="str">
        <v>か（つ） はや（い）</v>
      </c>
      <c r="F1626" t="str">
        <v>さとし すぐる とし まさる</v>
      </c>
      <c r="G1626" t="str">
        <v>かつ。戦いに勝つ。争いに勝つ。 はやい。動きがすばやい。 はやみち。近道。近道をする。</v>
      </c>
      <c r="H1626" t="str">
        <v>#勇気 #繁栄</v>
      </c>
      <c r="I1626">
        <v>85</v>
      </c>
      <c r="J1626">
        <v>100</v>
      </c>
      <c r="K1626">
        <v>30</v>
      </c>
      <c r="L1626">
        <v>0</v>
      </c>
      <c r="M1626">
        <f>VLOOKUP(A1626,[1]kanji_data!$A:$N,14,FALSE)</f>
        <v>0</v>
      </c>
    </row>
    <row r="1627">
      <c r="A1627" t="str">
        <v>梢</v>
      </c>
      <c r="B1627">
        <v>11</v>
      </c>
      <c r="C1627" t="b">
        <v>0</v>
      </c>
      <c r="D1627" t="str">
        <v>ショウ</v>
      </c>
      <c r="E1627" t="str">
        <v>かじ こずえ</v>
      </c>
      <c r="F1627" t="str">
        <v>すえ たか</v>
      </c>
      <c r="G1627" t="str">
        <v>こずえ。木の枝の先。 すえ。さき。はし。 かじ。船の進行方向を操作するもの。</v>
      </c>
      <c r="H1627" t="str">
        <v>#自然</v>
      </c>
      <c r="I1627">
        <v>90</v>
      </c>
      <c r="J1627">
        <v>95</v>
      </c>
      <c r="K1627">
        <v>40</v>
      </c>
      <c r="L1627">
        <v>0</v>
      </c>
      <c r="M1627">
        <f>VLOOKUP(A1627,[1]kanji_data!$A:$N,14,FALSE)</f>
        <v>0</v>
      </c>
    </row>
    <row r="1628">
      <c r="A1628" t="str">
        <v>菖</v>
      </c>
      <c r="B1628">
        <v>11</v>
      </c>
      <c r="C1628" t="b">
        <v>0</v>
      </c>
      <c r="D1628" t="str">
        <v>ショウ</v>
      </c>
      <c r="E1628" t="str">
        <v>しょうぶ</v>
      </c>
      <c r="F1628" t="str">
        <v>あや あやめ</v>
      </c>
      <c r="G1628" t="str">
        <v>しょうぶ。はなしょうぶ。あやめ。</v>
      </c>
      <c r="H1628" t="str">
        <v>#自然 #花・彩</v>
      </c>
      <c r="I1628">
        <v>90</v>
      </c>
      <c r="J1628">
        <v>85</v>
      </c>
      <c r="K1628">
        <v>30</v>
      </c>
      <c r="L1628">
        <v>0</v>
      </c>
      <c r="M1628">
        <f>VLOOKUP(A1628,[1]kanji_data!$A:$N,14,FALSE)</f>
        <v>0</v>
      </c>
    </row>
    <row r="1629">
      <c r="A1629" t="str">
        <v>斑</v>
      </c>
      <c r="B1629">
        <v>12</v>
      </c>
      <c r="C1629" t="b">
        <v>1</v>
      </c>
      <c r="D1629" t="str">
        <v>ハン</v>
      </c>
      <c r="E1629" t="str">
        <v>ふ ぶち まだら</v>
      </c>
      <c r="F1629">
        <v>0</v>
      </c>
      <c r="G1629" t="str">
        <v>まだら。ふ。ぶち。濃い色とうすい色、また異なる色がいりまじるさま。</v>
      </c>
      <c r="I1629">
        <v>10</v>
      </c>
      <c r="J1629">
        <v>50</v>
      </c>
      <c r="K1629">
        <v>50</v>
      </c>
      <c r="L1629">
        <v>1</v>
      </c>
    </row>
    <row r="1630">
      <c r="A1630" t="str">
        <v>貿</v>
      </c>
      <c r="B1630">
        <v>12</v>
      </c>
      <c r="C1630" t="b">
        <v>1</v>
      </c>
      <c r="D1630" t="str">
        <v>ボウ</v>
      </c>
      <c r="E1630" t="str">
        <v>あきな（う）</v>
      </c>
      <c r="F1630">
        <v>0</v>
      </c>
      <c r="G1630" t="str">
        <v>かえる。互いに品物をとりかえる。 かう。品物と金銭をとりかえる。売り買いする。 かわる。いれかわる。 乱れる。</v>
      </c>
      <c r="I1630">
        <v>10</v>
      </c>
      <c r="J1630">
        <v>50</v>
      </c>
      <c r="K1630">
        <v>50</v>
      </c>
      <c r="L1630">
        <v>1</v>
      </c>
    </row>
    <row r="1631">
      <c r="A1631" t="str">
        <v>堰</v>
      </c>
      <c r="B1631">
        <v>12</v>
      </c>
      <c r="C1631" t="b">
        <v>0</v>
      </c>
      <c r="D1631" t="str">
        <v>エン</v>
      </c>
      <c r="E1631" t="str">
        <v>いせき せき せ（く）</v>
      </c>
      <c r="F1631">
        <v>0</v>
      </c>
      <c r="G1631" t="str">
        <v>せき。いせき。水流をせきとめるために土を積んでつくったもの。 せく。せきとめる。水の流れをせきとめる。</v>
      </c>
      <c r="I1631">
        <v>10</v>
      </c>
      <c r="J1631">
        <v>50</v>
      </c>
      <c r="K1631">
        <v>50</v>
      </c>
      <c r="L1631">
        <v>1</v>
      </c>
    </row>
    <row r="1632">
      <c r="A1632" t="str">
        <v>筈</v>
      </c>
      <c r="B1632">
        <v>12</v>
      </c>
      <c r="C1632" t="b">
        <v>0</v>
      </c>
      <c r="D1632" t="str">
        <v>カツ</v>
      </c>
      <c r="E1632" t="str">
        <v>はず やはず</v>
      </c>
      <c r="F1632">
        <v>0</v>
      </c>
      <c r="G1632" t="str">
        <v>やはず。はず。矢の末端にある弦にかけるところ。 当然そうなるという意。道理。期待や予想に合う。例：手筈 ゆはず。弓の両端の弦をかけるところ。</v>
      </c>
      <c r="I1632">
        <v>10</v>
      </c>
      <c r="J1632">
        <v>50</v>
      </c>
      <c r="K1632">
        <v>50</v>
      </c>
      <c r="L1632">
        <v>1</v>
      </c>
    </row>
    <row r="1633">
      <c r="A1633" t="str">
        <v>雫</v>
      </c>
      <c r="B1633">
        <v>11</v>
      </c>
      <c r="C1633" t="b">
        <v>0</v>
      </c>
      <c r="D1633" t="str">
        <v>ダ</v>
      </c>
      <c r="E1633" t="str">
        <v>しずく</v>
      </c>
      <c r="F1633">
        <v>0</v>
      </c>
      <c r="G1633" t="str">
        <v>しずく。したたる水。水のしたたり。</v>
      </c>
      <c r="H1633" t="str">
        <v>#海・水 #自然</v>
      </c>
      <c r="I1633">
        <v>10</v>
      </c>
      <c r="J1633">
        <v>55</v>
      </c>
      <c r="K1633">
        <v>60</v>
      </c>
      <c r="L1633">
        <v>0</v>
      </c>
      <c r="M1633">
        <f>VLOOKUP(A1633,[1]kanji_data!$A:$N,14,FALSE)</f>
        <v>0</v>
      </c>
    </row>
    <row r="1634">
      <c r="A1634" t="str">
        <v>寓</v>
      </c>
      <c r="B1634">
        <v>12</v>
      </c>
      <c r="C1634" t="b">
        <v>0</v>
      </c>
      <c r="D1634" t="str">
        <v>グ グウ</v>
      </c>
      <c r="E1634" t="str">
        <v>かこつ（ける） かりずまい やど（る） よ（せる）</v>
      </c>
      <c r="F1634">
        <v>0</v>
      </c>
      <c r="G1634" t="str">
        <v>よる。よせる。身をよせる。 よる。やどる。泊まる。 かりずまい。かりずまいする。 かこつける。ことよせる。こじつける。</v>
      </c>
      <c r="I1634">
        <v>10</v>
      </c>
      <c r="J1634">
        <v>50</v>
      </c>
      <c r="K1634">
        <v>50</v>
      </c>
      <c r="L1634">
        <v>1</v>
      </c>
    </row>
    <row r="1635">
      <c r="A1635" t="str">
        <v>琢</v>
      </c>
      <c r="B1635">
        <v>12</v>
      </c>
      <c r="C1635" t="b">
        <v>0</v>
      </c>
      <c r="D1635" t="str">
        <v>タク</v>
      </c>
      <c r="E1635" t="str">
        <v>みが（く）</v>
      </c>
      <c r="F1635" t="str">
        <v>あや たか</v>
      </c>
      <c r="G1635" t="str">
        <v>みがく。たたく。玉をみがく。形を整える。 技をみがく。学問をみがく。 えらぶ。選択する。 かざる。</v>
      </c>
      <c r="H1635" t="str">
        <v>#知性 #繁栄</v>
      </c>
      <c r="I1635">
        <v>100</v>
      </c>
      <c r="J1635">
        <v>70</v>
      </c>
      <c r="K1635">
        <v>50</v>
      </c>
      <c r="L1635">
        <v>0</v>
      </c>
      <c r="M1635">
        <f>VLOOKUP(A1635,[1]kanji_data!$A:$N,14,FALSE)</f>
        <v>0</v>
      </c>
    </row>
    <row r="1636">
      <c r="A1636" t="str">
        <v>喰</v>
      </c>
      <c r="B1636">
        <v>12</v>
      </c>
      <c r="C1636" t="b">
        <v>0</v>
      </c>
      <c r="D1636">
        <v>0</v>
      </c>
      <c r="E1636" t="str">
        <v>く（う） く（らう）</v>
      </c>
      <c r="F1636">
        <v>0</v>
      </c>
      <c r="G1636" t="str">
        <v>くう。くらう。食べる。食する。</v>
      </c>
      <c r="I1636">
        <v>10</v>
      </c>
      <c r="J1636">
        <v>50</v>
      </c>
      <c r="K1636">
        <v>50</v>
      </c>
      <c r="L1636">
        <v>1</v>
      </c>
    </row>
    <row r="1637">
      <c r="A1637" t="str">
        <v>紬</v>
      </c>
      <c r="B1637">
        <v>11</v>
      </c>
      <c r="C1637" t="b">
        <v>0</v>
      </c>
      <c r="D1637" t="str">
        <v>チュウ</v>
      </c>
      <c r="E1637" t="str">
        <v>つむぎ つむ（ぐ）</v>
      </c>
      <c r="F1637" t="str">
        <v>つ つむぐ</v>
      </c>
      <c r="G1637" t="str">
        <v>つむぎ。つむぎ織り。真綿で粗く織った絹織物。 つむぐ。繭（まゆ）や綿から繊維を引き出して糸にする。 引き出す。 つなぎ合わせる。つづる。</v>
      </c>
      <c r="H1637" t="str">
        <v>#花・彩</v>
      </c>
      <c r="I1637">
        <v>100</v>
      </c>
      <c r="J1637">
        <v>60</v>
      </c>
      <c r="K1637">
        <v>50</v>
      </c>
      <c r="L1637">
        <v>0</v>
      </c>
      <c r="M1637">
        <f>VLOOKUP(A1637,[1]kanji_data!$A:$N,14,FALSE)</f>
        <v>0</v>
      </c>
    </row>
    <row r="1638">
      <c r="A1638" t="str">
        <v>戟</v>
      </c>
      <c r="B1638">
        <v>12</v>
      </c>
      <c r="C1638" t="b">
        <v>0</v>
      </c>
      <c r="D1638" t="str">
        <v>ケキ ゲキ</v>
      </c>
      <c r="E1638" t="str">
        <v>ほこ</v>
      </c>
      <c r="F1638">
        <v>0</v>
      </c>
      <c r="G1638" t="str">
        <v>ほこ。二つの枝刃をもち、引っかけたり突き刺したりすることができるほこ。</v>
      </c>
      <c r="I1638">
        <v>10</v>
      </c>
      <c r="J1638">
        <v>50</v>
      </c>
      <c r="K1638">
        <v>50</v>
      </c>
      <c r="L1638">
        <v>1</v>
      </c>
    </row>
    <row r="1639">
      <c r="A1639" t="str">
        <v>淀</v>
      </c>
      <c r="B1639">
        <v>11</v>
      </c>
      <c r="C1639" t="b">
        <v>0</v>
      </c>
      <c r="D1639" t="str">
        <v>テン デン</v>
      </c>
      <c r="E1639" t="str">
        <v>よど よど（む）</v>
      </c>
      <c r="F1639">
        <v>0</v>
      </c>
      <c r="G1639" t="str">
        <v>よど。よどみ。水が滞って動きの無い所。水が浅くよどんでいる所。 よどむ。水や空気の流れが滞ってたまる。また、物事のすすまないさま。</v>
      </c>
      <c r="H1639" t="str">
        <v>#天空</v>
      </c>
      <c r="I1639">
        <v>10</v>
      </c>
      <c r="J1639">
        <v>50</v>
      </c>
      <c r="K1639">
        <v>50</v>
      </c>
      <c r="L1639">
        <v>1</v>
      </c>
    </row>
    <row r="1640">
      <c r="A1640" t="str">
        <v>兜</v>
      </c>
      <c r="B1640">
        <v>11</v>
      </c>
      <c r="C1640" t="b">
        <v>0</v>
      </c>
      <c r="D1640" t="str">
        <v>ト トウ</v>
      </c>
      <c r="E1640" t="str">
        <v>かぶと</v>
      </c>
      <c r="F1640">
        <v>0</v>
      </c>
      <c r="G1640" t="str">
        <v>かぶと。頭を守る防具。または、帽子。例：兜巾（ときん） 惑う。迷う。 取り囲む。包む。</v>
      </c>
      <c r="H1640" t="str">
        <v>#勇気</v>
      </c>
      <c r="I1640">
        <v>10</v>
      </c>
      <c r="J1640">
        <v>100</v>
      </c>
      <c r="K1640">
        <v>20</v>
      </c>
      <c r="L1640">
        <v>0</v>
      </c>
      <c r="M1640">
        <f>VLOOKUP(A1640,[1]kanji_data!$A:$N,14,FALSE)</f>
        <v>0</v>
      </c>
    </row>
    <row r="1641">
      <c r="A1641" t="str">
        <v>犀</v>
      </c>
      <c r="B1641">
        <v>12</v>
      </c>
      <c r="C1641" t="b">
        <v>0</v>
      </c>
      <c r="D1641" t="str">
        <v>サイ セイ</v>
      </c>
      <c r="E1641" t="str">
        <v>かた（い） するど（い）</v>
      </c>
      <c r="F1641" t="str">
        <v>かた</v>
      </c>
      <c r="G1641" t="str">
        <v>さい。サイ科の哺乳動物の総称。 堅い。鋭い。</v>
      </c>
      <c r="I1641">
        <v>15</v>
      </c>
      <c r="J1641">
        <v>55</v>
      </c>
      <c r="K1641">
        <v>55</v>
      </c>
      <c r="L1641">
        <v>0</v>
      </c>
      <c r="M1641">
        <f>VLOOKUP(A1641,[1]kanji_data!$A:$N,14,FALSE)</f>
        <v>0</v>
      </c>
    </row>
    <row r="1642">
      <c r="A1642" t="str">
        <v>祷</v>
      </c>
      <c r="B1642">
        <v>12</v>
      </c>
      <c r="C1642" t="b">
        <v>0</v>
      </c>
      <c r="D1642" t="str">
        <v>トウ</v>
      </c>
      <c r="E1642" t="str">
        <v>いの（る） まつ（る）</v>
      </c>
      <c r="F1642" t="str">
        <v>いのり いのる</v>
      </c>
      <c r="G1642" t="str">
        <v>いのる。いのり。神に願い求める。 まつる。</v>
      </c>
      <c r="H1642" t="str">
        <v>#幸福</v>
      </c>
      <c r="I1642">
        <v>35</v>
      </c>
      <c r="J1642">
        <v>60</v>
      </c>
      <c r="K1642">
        <v>60</v>
      </c>
      <c r="L1642">
        <v>0</v>
      </c>
      <c r="M1642">
        <f>VLOOKUP(A1642,[1]kanji_data!$A:$N,14,FALSE)</f>
        <v>0</v>
      </c>
    </row>
    <row r="1643">
      <c r="A1643" t="str">
        <v>斯</v>
      </c>
      <c r="B1643">
        <v>12</v>
      </c>
      <c r="C1643" t="b">
        <v>0</v>
      </c>
      <c r="D1643" t="str">
        <v>シ</v>
      </c>
      <c r="E1643" t="str">
        <v>か（かる） か（く） こ（の） これ</v>
      </c>
      <c r="F1643">
        <v>0</v>
      </c>
      <c r="G1643" t="str">
        <v>きる。切りさく。切り離す。 「この」「これ」「ここ」と読み、（近くの）物事を指し示す意を表す。 「かく」と読み、「このように」の意を表す。 「すなわち」と読み、「～であれば～となる」「～したら～する」などの意を表す。</v>
      </c>
      <c r="I1643">
        <v>10</v>
      </c>
      <c r="J1643">
        <v>50</v>
      </c>
      <c r="K1643">
        <v>50</v>
      </c>
      <c r="L1643">
        <v>1</v>
      </c>
    </row>
    <row r="1644">
      <c r="A1644" t="str">
        <v>梶</v>
      </c>
      <c r="B1644">
        <v>11</v>
      </c>
      <c r="C1644" t="b">
        <v>0</v>
      </c>
      <c r="D1644" t="str">
        <v>ビ ミ</v>
      </c>
      <c r="E1644" t="str">
        <v>かじ こずえ</v>
      </c>
      <c r="F1644" t="str">
        <v>み</v>
      </c>
      <c r="G1644" t="str">
        <v>こずえ。木のこずえ。木の枝の先。 かじ。船や車などの進行方向を操作するもの。 かじ。かじのき。クワ科の落葉高木。</v>
      </c>
      <c r="H1644" t="str">
        <v>#自然</v>
      </c>
      <c r="I1644">
        <v>85</v>
      </c>
      <c r="J1644">
        <v>55</v>
      </c>
      <c r="K1644">
        <v>55</v>
      </c>
      <c r="L1644">
        <v>0</v>
      </c>
      <c r="M1644">
        <f>VLOOKUP(A1644,[1]kanji_data!$A:$N,14,FALSE)</f>
        <v>0</v>
      </c>
    </row>
    <row r="1645">
      <c r="A1645" t="str">
        <v>畢</v>
      </c>
      <c r="B1645">
        <v>11</v>
      </c>
      <c r="C1645" t="b">
        <v>0</v>
      </c>
      <c r="D1645" t="str">
        <v>ヒツ</v>
      </c>
      <c r="E1645" t="str">
        <v>お（わる） ことごと（く）</v>
      </c>
      <c r="F1645">
        <v>0</v>
      </c>
      <c r="G1645" t="str">
        <v>終わる。終える。 完全に。ことごとく。みな。全て。 あみ。柄のついたあみ。 二十八宿の一つ。あめふりぼし。</v>
      </c>
      <c r="H1645" t="str">
        <v>#幸福</v>
      </c>
      <c r="I1645">
        <v>10</v>
      </c>
      <c r="J1645">
        <v>55</v>
      </c>
      <c r="K1645">
        <v>60</v>
      </c>
      <c r="L1645">
        <v>1</v>
      </c>
    </row>
    <row r="1646">
      <c r="A1646" t="str">
        <v>彪</v>
      </c>
      <c r="B1646">
        <v>11</v>
      </c>
      <c r="C1646" t="b">
        <v>0</v>
      </c>
      <c r="D1646" t="str">
        <v>ヒュウ ヒョウ</v>
      </c>
      <c r="E1646" t="str">
        <v>あや まだら</v>
      </c>
      <c r="F1646" t="str">
        <v>あきら こ たけ たけし つよし とら</v>
      </c>
      <c r="G1646" t="str">
        <v>まだら。虎の皮のまだら模様。 あや。模様。美しい模様。</v>
      </c>
      <c r="H1646" t="str">
        <v>#花・彩</v>
      </c>
      <c r="I1646">
        <v>90</v>
      </c>
      <c r="J1646">
        <v>100</v>
      </c>
      <c r="K1646">
        <v>30</v>
      </c>
      <c r="L1646">
        <v>0</v>
      </c>
      <c r="M1646">
        <f>VLOOKUP(A1646,[1]kanji_data!$A:$N,14,FALSE)</f>
        <v>0</v>
      </c>
    </row>
    <row r="1647">
      <c r="A1647" t="str">
        <v>彬</v>
      </c>
      <c r="B1647">
        <v>11</v>
      </c>
      <c r="C1647" t="b">
        <v>0</v>
      </c>
      <c r="D1647" t="str">
        <v>ヒン</v>
      </c>
      <c r="E1647" t="str">
        <v>あき（らか）</v>
      </c>
      <c r="F1647" t="str">
        <v>あきら あや ひで もり よし</v>
      </c>
      <c r="G1647" t="str">
        <v>「彬彬（ひんぴん）」は調和がとれているさま。外見と内面がともにそなわっているさま。 あきらか。はっきりしている。</v>
      </c>
      <c r="H1647" t="str">
        <v>#心・志 #知性 #調和</v>
      </c>
      <c r="I1647">
        <v>70</v>
      </c>
      <c r="J1647">
        <v>60</v>
      </c>
      <c r="K1647">
        <v>70</v>
      </c>
      <c r="L1647">
        <v>0</v>
      </c>
      <c r="M1647">
        <f>VLOOKUP(A1647,[1]kanji_data!$A:$N,14,FALSE)</f>
        <v>0</v>
      </c>
    </row>
    <row r="1648">
      <c r="A1648" t="str">
        <v>惹</v>
      </c>
      <c r="B1648">
        <v>12</v>
      </c>
      <c r="C1648" t="b">
        <v>0</v>
      </c>
      <c r="D1648" t="str">
        <v>ジャ ジャク</v>
      </c>
      <c r="E1648" t="str">
        <v>ひ（く） まね（く）</v>
      </c>
      <c r="F1648">
        <v>0</v>
      </c>
      <c r="G1648" t="str">
        <v>ひく。ひきつける。関心をもたせる。また、まねく。事件などをひき起こす。</v>
      </c>
      <c r="I1648">
        <v>10</v>
      </c>
      <c r="J1648">
        <v>50</v>
      </c>
      <c r="K1648">
        <v>50</v>
      </c>
      <c r="L1648">
        <v>1</v>
      </c>
    </row>
    <row r="1649">
      <c r="A1649" t="str">
        <v>疏</v>
      </c>
      <c r="B1649">
        <v>12</v>
      </c>
      <c r="C1649" t="b">
        <v>0</v>
      </c>
      <c r="D1649" t="str">
        <v>ショ ソ</v>
      </c>
      <c r="E1649" t="str">
        <v>あら（い） うと（い） うと（む） おろそ（か） とお（す） とお（る） まば（ら）</v>
      </c>
      <c r="F1649">
        <v>0</v>
      </c>
      <c r="G1649" t="str">
        <v>うとい。親しくない。よく知らない。＝疎 うとんじる。うとんずる。うとむ。とおざける。＝疎 おろそか。おろそかにする。＝疎 あらい。おおまか。おおざっぱ。まばら。＝疎 とおる。通ずる。通じさせる。＝疎 分ける。分かれる。分かつ。＝疎 除く。取り除く。洗い去る。＝疎 わけて示す。箇条書きにする。 ときあかす。</v>
      </c>
      <c r="I1649">
        <v>10</v>
      </c>
      <c r="J1649">
        <v>50</v>
      </c>
      <c r="K1649">
        <v>50</v>
      </c>
      <c r="L1649">
        <v>1</v>
      </c>
    </row>
    <row r="1650">
      <c r="A1650" t="str">
        <v>萌</v>
      </c>
      <c r="B1650">
        <v>11</v>
      </c>
      <c r="C1650" t="b">
        <v>0</v>
      </c>
      <c r="D1650" t="str">
        <v>ホウ ボウ モウ</v>
      </c>
      <c r="E1650" t="str">
        <v>きざ（す） たみ めぐ（む） めば（え） も（える） も（やし）</v>
      </c>
      <c r="F1650" t="str">
        <v>め めぐみ もえ</v>
      </c>
      <c r="G1650" t="str">
        <v>もえる。芽が出る。芽を出す。転じて、物事が起こり始める。きざす。きざし。 民。民衆。 「もえ、もえる」はある人物やものに対して、 深い思い込みを抱くようすをいう若者言葉。</v>
      </c>
      <c r="H1650" t="str">
        <v>#心・志 #自然 #花・彩</v>
      </c>
      <c r="I1650">
        <v>100</v>
      </c>
      <c r="J1650">
        <v>85</v>
      </c>
      <c r="K1650">
        <v>35</v>
      </c>
      <c r="L1650">
        <v>0</v>
      </c>
      <c r="M1650">
        <f>VLOOKUP(A1650,[1]kanji_data!$A:$N,14,FALSE)</f>
        <v>0</v>
      </c>
    </row>
    <row r="1651">
      <c r="A1651" t="str">
        <v>萠</v>
      </c>
      <c r="B1651">
        <v>11</v>
      </c>
      <c r="C1651" t="b">
        <v>0</v>
      </c>
      <c r="D1651" t="str">
        <v>ホウ ボウ モウ</v>
      </c>
      <c r="E1651" t="str">
        <v>きざ（す） たみ めぐ（む） めば（え） も（える） も（やし）</v>
      </c>
      <c r="F1651" t="str">
        <v>ほ めぐみ もえ</v>
      </c>
      <c r="G1651" t="str">
        <v>もえる。芽が出る。芽を出す。転じて、物事が起こり始める。きざす。きざし。 民。民衆。 「もえ、もえる」はある人物やものに対して、 深い思い込みを抱くようすをいう若者言葉。</v>
      </c>
      <c r="H1651" t="str">
        <v>#心・志 #自然</v>
      </c>
      <c r="I1651">
        <v>70</v>
      </c>
      <c r="J1651">
        <v>85</v>
      </c>
      <c r="K1651">
        <v>35</v>
      </c>
      <c r="L1651">
        <v>0</v>
      </c>
      <c r="M1651">
        <f>VLOOKUP(A1651,[1]kanji_data!$A:$N,14,FALSE)</f>
        <v>0</v>
      </c>
    </row>
    <row r="1652">
      <c r="A1652" t="str">
        <v>逢</v>
      </c>
      <c r="B1652">
        <v>11</v>
      </c>
      <c r="C1652" t="b">
        <v>0</v>
      </c>
      <c r="D1652" t="str">
        <v>ホウ</v>
      </c>
      <c r="E1652" t="str">
        <v>あ（う） おお（きい） むか（える）</v>
      </c>
      <c r="F1652" t="str">
        <v>あい おう ほ</v>
      </c>
      <c r="G1652" t="str">
        <v>会う。出会う。思いがけなく会う。 迎える。出迎える。 意を迎える。相手の気持ちに合わせる。 大きい。 ゆたか。</v>
      </c>
      <c r="H1652" t="str">
        <v>#心・志</v>
      </c>
      <c r="I1652">
        <v>85</v>
      </c>
      <c r="J1652">
        <v>35</v>
      </c>
      <c r="K1652">
        <v>75</v>
      </c>
      <c r="L1652">
        <v>0</v>
      </c>
      <c r="M1652">
        <f>VLOOKUP(A1652,[1]kanji_data!$A:$N,14,FALSE)</f>
        <v>0</v>
      </c>
    </row>
    <row r="1653">
      <c r="A1653" t="str">
        <v>椛</v>
      </c>
      <c r="B1653">
        <v>11</v>
      </c>
      <c r="C1653" t="b">
        <v>0</v>
      </c>
      <c r="D1653">
        <v>0</v>
      </c>
      <c r="E1653" t="str">
        <v>かば もみじ</v>
      </c>
      <c r="F1653" t="str">
        <v>か なぎ はな</v>
      </c>
      <c r="G1653" t="str">
        <v>紅葉（もみじ）。 かば。＝樺</v>
      </c>
      <c r="H1653" t="str">
        <v>#自然 #花・彩</v>
      </c>
      <c r="I1653">
        <v>80</v>
      </c>
      <c r="J1653">
        <v>25</v>
      </c>
      <c r="K1653">
        <v>85</v>
      </c>
      <c r="L1653">
        <v>0</v>
      </c>
      <c r="M1653">
        <f>VLOOKUP(A1653,[1]kanji_data!$A:$N,14,FALSE)</f>
        <v>0</v>
      </c>
    </row>
    <row r="1654">
      <c r="A1654" t="str">
        <v>甥</v>
      </c>
      <c r="B1654">
        <v>12</v>
      </c>
      <c r="C1654" t="b">
        <v>0</v>
      </c>
      <c r="D1654" t="str">
        <v>ショウ セイ</v>
      </c>
      <c r="E1654" t="str">
        <v>おい</v>
      </c>
      <c r="F1654">
        <v>0</v>
      </c>
      <c r="G1654" t="str">
        <v>自分の姉妹の子。兄弟の子は姪。 娘の夫。むこ。 娘の子。外孫。 おい。兄弟姉妹の息子。兄弟姉妹の娘は姪。</v>
      </c>
      <c r="I1654">
        <v>10</v>
      </c>
      <c r="J1654">
        <v>50</v>
      </c>
      <c r="K1654">
        <v>50</v>
      </c>
      <c r="L1654">
        <v>1</v>
      </c>
    </row>
    <row r="1655">
      <c r="A1655" t="str">
        <v>琉</v>
      </c>
      <c r="B1655">
        <v>11</v>
      </c>
      <c r="C1655" t="b">
        <v>0</v>
      </c>
      <c r="D1655" t="str">
        <v>リュウ ル</v>
      </c>
      <c r="E1655">
        <v>0</v>
      </c>
      <c r="F1655">
        <v>0</v>
      </c>
      <c r="G1655" t="str">
        <v>宝石の一種「琉璃（るり）」に用いられる字。</v>
      </c>
      <c r="H1655" t="str">
        <v>#花・彩</v>
      </c>
      <c r="I1655">
        <v>80</v>
      </c>
      <c r="J1655">
        <v>30</v>
      </c>
      <c r="K1655">
        <v>90</v>
      </c>
      <c r="L1655">
        <v>0</v>
      </c>
      <c r="M1655">
        <f>VLOOKUP(A1655,[1]kanji_data!$A:$N,14,FALSE)</f>
        <v>0</v>
      </c>
    </row>
    <row r="1656">
      <c r="A1656" t="str">
        <v>笠</v>
      </c>
      <c r="B1656">
        <v>11</v>
      </c>
      <c r="C1656" t="b">
        <v>0</v>
      </c>
      <c r="D1656" t="str">
        <v>リュウ</v>
      </c>
      <c r="E1656" t="str">
        <v>かさ</v>
      </c>
      <c r="F1656">
        <v>0</v>
      </c>
      <c r="G1656" t="str">
        <v>かさ。かぶりがさ。雨や日光を避けるためのもの。</v>
      </c>
      <c r="H1656" t="str">
        <v>#海・水</v>
      </c>
      <c r="I1656">
        <v>10</v>
      </c>
      <c r="J1656">
        <v>75</v>
      </c>
      <c r="K1656">
        <v>40</v>
      </c>
      <c r="L1656">
        <v>1</v>
      </c>
    </row>
    <row r="1657">
      <c r="A1657" t="str">
        <v>梁</v>
      </c>
      <c r="B1657">
        <v>11</v>
      </c>
      <c r="C1657" t="b">
        <v>0</v>
      </c>
      <c r="D1657" t="str">
        <v>リョウ</v>
      </c>
      <c r="E1657" t="str">
        <v>うつばり はし はり やな</v>
      </c>
      <c r="F1657" t="str">
        <v>たかし むね</v>
      </c>
      <c r="G1657" t="str">
        <v>はし。板などをかけ渡した橋。 はり。うつばり。屋根を支える横木。 やな。川の瀬で水をせきとめ、魚をとるしかけ。</v>
      </c>
      <c r="H1657" t="str">
        <v>#海・水 #自然</v>
      </c>
      <c r="I1657">
        <v>20</v>
      </c>
      <c r="J1657">
        <v>80</v>
      </c>
      <c r="K1657">
        <v>45</v>
      </c>
      <c r="L1657">
        <v>0</v>
      </c>
      <c r="M1657">
        <f>VLOOKUP(A1657,[1]kanji_data!$A:$N,14,FALSE)</f>
        <v>0</v>
      </c>
    </row>
    <row r="1658">
      <c r="A1658" t="str">
        <v>厨</v>
      </c>
      <c r="B1658">
        <v>12</v>
      </c>
      <c r="C1658" t="b">
        <v>0</v>
      </c>
      <c r="D1658" t="str">
        <v>ズ チュウ</v>
      </c>
      <c r="E1658" t="str">
        <v>くりや</v>
      </c>
      <c r="F1658">
        <v>0</v>
      </c>
      <c r="G1658" t="str">
        <v>くりや。台所。調理場。炊事場。 ひつ。戸棚。 ぬし。主人。親分。</v>
      </c>
      <c r="I1658">
        <v>10</v>
      </c>
      <c r="J1658">
        <v>50</v>
      </c>
      <c r="K1658">
        <v>50</v>
      </c>
      <c r="L1658">
        <v>1</v>
      </c>
    </row>
    <row r="1659">
      <c r="A1659" t="str">
        <v>貰</v>
      </c>
      <c r="B1659">
        <v>12</v>
      </c>
      <c r="C1659" t="b">
        <v>0</v>
      </c>
      <c r="D1659" t="str">
        <v>セイ</v>
      </c>
      <c r="E1659" t="str">
        <v>か（りる） もら（う） ゆる（す）</v>
      </c>
      <c r="F1659">
        <v>0</v>
      </c>
      <c r="G1659" t="str">
        <v>借りる。掛け買いする。 ゆるす。ゆるめる。放免する。 もらう。物を贈られる。人の助けを受ける。</v>
      </c>
      <c r="I1659">
        <v>10</v>
      </c>
      <c r="J1659">
        <v>50</v>
      </c>
      <c r="K1659">
        <v>50</v>
      </c>
      <c r="L1659">
        <v>1</v>
      </c>
    </row>
    <row r="1660">
      <c r="A1660" t="str">
        <v>埜</v>
      </c>
      <c r="B1660">
        <v>11</v>
      </c>
      <c r="C1660" t="b">
        <v>0</v>
      </c>
      <c r="D1660" t="str">
        <v>ヤ ショ</v>
      </c>
      <c r="E1660" t="str">
        <v>の いなかや いや（しい）</v>
      </c>
      <c r="F1660" t="str">
        <v>とお なお ぬ ひろ</v>
      </c>
      <c r="G1660" t="str">
        <v>の。のはら。広々とした平地。のび広がった大地。 の。町外れ。郊外。田舎。 の。朝廷や政府に対して、民間。 いやしい。飾り気のない。ありのままの。いなかびた。下品な。 区域。領域。範囲。 荒っぽい。勝手な。 動植物が自然であるさま。野生の。 うとい。未開の。文化が開けていない。 いなかや。別荘。</v>
      </c>
      <c r="H1660" t="str">
        <v>#自然</v>
      </c>
      <c r="I1660">
        <v>85</v>
      </c>
      <c r="J1660">
        <v>75</v>
      </c>
      <c r="K1660">
        <v>40</v>
      </c>
      <c r="L1660">
        <v>0</v>
      </c>
      <c r="M1660">
        <f>VLOOKUP(A1660,[1]kanji_data!$A:$N,14,FALSE)</f>
        <v>0</v>
      </c>
    </row>
    <row r="1661">
      <c r="A1661" t="str">
        <v>崚</v>
      </c>
      <c r="B1661">
        <v>11</v>
      </c>
      <c r="C1661" t="b">
        <v>0</v>
      </c>
      <c r="D1661" t="str">
        <v>リョウ</v>
      </c>
      <c r="E1661" t="str">
        <v>けわ（しい） たか（い）</v>
      </c>
      <c r="F1661" t="str">
        <v>たか</v>
      </c>
      <c r="G1661" t="str">
        <v>たかい。けわしい。山が高く険しく連なるさま。</v>
      </c>
      <c r="H1661" t="str">
        <v>#品格 #自然</v>
      </c>
      <c r="I1661">
        <v>100</v>
      </c>
      <c r="J1661">
        <v>100</v>
      </c>
      <c r="K1661">
        <v>30</v>
      </c>
      <c r="L1661">
        <v>0</v>
      </c>
      <c r="M1661">
        <f>VLOOKUP(A1661,[1]kanji_data!$A:$N,14,FALSE)</f>
        <v>0</v>
      </c>
    </row>
    <row r="1662">
      <c r="A1662" t="str">
        <v>彗</v>
      </c>
      <c r="B1662">
        <v>11</v>
      </c>
      <c r="C1662" t="b">
        <v>0</v>
      </c>
      <c r="D1662" t="str">
        <v>エ ケイ スイ</v>
      </c>
      <c r="E1662" t="str">
        <v>は（く） ほうき ほうきぼし</v>
      </c>
      <c r="F1662">
        <v>0</v>
      </c>
      <c r="G1662" t="str">
        <v>はく。はらう。ほうきで掃き清める。 ほうき。竹製のほうき。 ほうきぼし。彗星（すいせい）。</v>
      </c>
      <c r="H1662" t="str">
        <v>#天空 #自然</v>
      </c>
      <c r="I1662">
        <v>10</v>
      </c>
      <c r="J1662">
        <v>50</v>
      </c>
      <c r="K1662">
        <v>65</v>
      </c>
      <c r="L1662">
        <v>0</v>
      </c>
      <c r="M1662">
        <f>VLOOKUP(A1662,[1]kanji_data!$A:$N,14,FALSE)</f>
        <v>0</v>
      </c>
    </row>
    <row r="1663">
      <c r="A1663" t="str">
        <v>毬</v>
      </c>
      <c r="B1663">
        <v>11</v>
      </c>
      <c r="C1663" t="b">
        <v>0</v>
      </c>
      <c r="D1663" t="str">
        <v>キュウ</v>
      </c>
      <c r="E1663" t="str">
        <v>いが まり</v>
      </c>
      <c r="F1663">
        <v>0</v>
      </c>
      <c r="G1663" t="str">
        <v>まり。けまり。毛で作られた球形のもの。 まるいもの。まりのような形をしたもの。 いが。とげのある外皮。栗などの果実の外皮。</v>
      </c>
      <c r="H1663" t="str">
        <v>#花・彩</v>
      </c>
      <c r="I1663">
        <v>70</v>
      </c>
      <c r="J1663">
        <v>30</v>
      </c>
      <c r="K1663">
        <v>90</v>
      </c>
      <c r="L1663">
        <v>0</v>
      </c>
      <c r="M1663">
        <f>VLOOKUP(A1663,[1]kanji_data!$A:$N,14,FALSE)</f>
        <v>0</v>
      </c>
    </row>
    <row r="1664">
      <c r="A1664" t="str">
        <v>晨</v>
      </c>
      <c r="B1664">
        <v>11</v>
      </c>
      <c r="C1664" t="b">
        <v>0</v>
      </c>
      <c r="D1664" t="str">
        <v>シン</v>
      </c>
      <c r="E1664" t="str">
        <v>あした とき よあ（け）</v>
      </c>
      <c r="F1664" t="str">
        <v>あき とよ</v>
      </c>
      <c r="G1664" t="str">
        <v>あした。あさ。よあけ。早朝。明け方。 とき。ときを告げる。鶏が鳴き声で夜明けを告げる。</v>
      </c>
      <c r="H1664" t="str">
        <v>#天空</v>
      </c>
      <c r="I1664">
        <v>70</v>
      </c>
      <c r="J1664">
        <v>45</v>
      </c>
      <c r="K1664">
        <v>65</v>
      </c>
      <c r="L1664">
        <v>0</v>
      </c>
      <c r="M1664">
        <f>VLOOKUP(A1664,[1]kanji_data!$A:$N,14,FALSE)</f>
        <v>0</v>
      </c>
    </row>
    <row r="1665">
      <c r="A1665" t="str">
        <v>梛</v>
      </c>
      <c r="B1665">
        <v>11</v>
      </c>
      <c r="C1665" t="b">
        <v>0</v>
      </c>
      <c r="D1665" t="str">
        <v>ダ ナ</v>
      </c>
      <c r="E1665" t="str">
        <v>なぎ</v>
      </c>
      <c r="F1665">
        <v>0</v>
      </c>
      <c r="G1665" t="str">
        <v>「枸梛（こうだ）」は、やなぎに似た木の名。 なぎ。マキ科の常緑高木。</v>
      </c>
      <c r="H1665" t="str">
        <v>#自然</v>
      </c>
      <c r="I1665">
        <v>70</v>
      </c>
      <c r="J1665">
        <v>75</v>
      </c>
      <c r="K1665">
        <v>40</v>
      </c>
      <c r="L1665">
        <v>0</v>
      </c>
      <c r="M1665">
        <f>VLOOKUP(A1665,[1]kanji_data!$A:$N,14,FALSE)</f>
        <v>0</v>
      </c>
    </row>
    <row r="1666">
      <c r="A1666" t="str">
        <v>脩</v>
      </c>
      <c r="B1666">
        <v>11</v>
      </c>
      <c r="C1666" t="b">
        <v>0</v>
      </c>
      <c r="D1666" t="str">
        <v>シュウ ユウ</v>
      </c>
      <c r="E1666" t="str">
        <v>おさ（める） なが（い） ほじし</v>
      </c>
      <c r="F1666" t="str">
        <v>おさ おさみ おさむ さね すけ なお なが ながし のぶ はる ひさ ひさし もろ よし</v>
      </c>
      <c r="G1666" t="str">
        <v>ほじし。ほし肉。 おさめる。ととのえる。身をおさめる。 ながい。 いましめる。</v>
      </c>
      <c r="H1666" t="str">
        <v>#品格 #心・志</v>
      </c>
      <c r="I1666">
        <v>90</v>
      </c>
      <c r="J1666">
        <v>80</v>
      </c>
      <c r="K1666">
        <v>50</v>
      </c>
      <c r="L1666">
        <v>0</v>
      </c>
      <c r="M1666">
        <f>VLOOKUP(A1666,[1]kanji_data!$A:$N,14,FALSE)</f>
        <v>0</v>
      </c>
    </row>
    <row r="1667">
      <c r="A1667" t="str">
        <v>笙</v>
      </c>
      <c r="B1667">
        <v>11</v>
      </c>
      <c r="C1667" t="b">
        <v>0</v>
      </c>
      <c r="D1667" t="str">
        <v>ショウ</v>
      </c>
      <c r="E1667" t="str">
        <v>しょうのふえ ふえ</v>
      </c>
      <c r="F1667">
        <v>0</v>
      </c>
      <c r="G1667" t="str">
        <v>ふえ。しょうのふえ。管楽器の一つ。 細い。小さい。</v>
      </c>
      <c r="H1667" t="str">
        <v>#調和</v>
      </c>
      <c r="I1667">
        <v>60</v>
      </c>
      <c r="J1667">
        <v>55</v>
      </c>
      <c r="K1667">
        <v>55</v>
      </c>
      <c r="L1667">
        <v>0</v>
      </c>
      <c r="M1667">
        <f>VLOOKUP(A1667,[1]kanji_data!$A:$N,14,FALSE)</f>
        <v>0</v>
      </c>
    </row>
    <row r="1668">
      <c r="A1668" t="str">
        <v>絆</v>
      </c>
      <c r="B1668">
        <v>11</v>
      </c>
      <c r="C1668" t="b">
        <v>0</v>
      </c>
      <c r="D1668" t="str">
        <v>ハン バン</v>
      </c>
      <c r="E1668" t="str">
        <v>きずな つな（ぐ） ほだ（す）</v>
      </c>
      <c r="F1668">
        <v>0</v>
      </c>
      <c r="G1668" t="str">
        <v>きずな。ほだし。牛馬などの足をつなぎとめるもの。 つなぐ。ほだす。つなぎとめる。束縛する。</v>
      </c>
      <c r="H1668" t="str">
        <v>#調和</v>
      </c>
      <c r="I1668">
        <v>60</v>
      </c>
      <c r="J1668">
        <v>45</v>
      </c>
      <c r="K1668">
        <v>70</v>
      </c>
      <c r="L1668">
        <v>0</v>
      </c>
      <c r="M1668">
        <f>VLOOKUP(A1668,[1]kanji_data!$A:$N,14,FALSE)</f>
        <v>0</v>
      </c>
    </row>
    <row r="1669">
      <c r="A1669" t="str">
        <v>揃</v>
      </c>
      <c r="B1669">
        <v>12</v>
      </c>
      <c r="C1669" t="b">
        <v>0</v>
      </c>
      <c r="D1669" t="str">
        <v>セン</v>
      </c>
      <c r="E1669" t="str">
        <v>そろ（い） そろ（う） そろ（える）</v>
      </c>
      <c r="F1669">
        <v>0</v>
      </c>
      <c r="G1669" t="str">
        <v>切る。たち切る。切りそろえる。 そろう。そろえる。同じである。同じにする。</v>
      </c>
      <c r="I1669">
        <v>10</v>
      </c>
      <c r="J1669">
        <v>50</v>
      </c>
      <c r="K1669">
        <v>50</v>
      </c>
      <c r="L1669">
        <v>1</v>
      </c>
    </row>
    <row r="1670">
      <c r="A1670" t="str">
        <v>眸</v>
      </c>
      <c r="B1670">
        <v>11</v>
      </c>
      <c r="C1670" t="b">
        <v>0</v>
      </c>
      <c r="D1670" t="str">
        <v>ボウ ム</v>
      </c>
      <c r="E1670" t="str">
        <v>ひとみ</v>
      </c>
      <c r="F1670" t="str">
        <v>ひと</v>
      </c>
      <c r="G1670" t="str">
        <v>目。ひとみ。眼球の黒いところ。</v>
      </c>
      <c r="H1670" t="str">
        <v>#慈愛 #花・彩</v>
      </c>
      <c r="I1670">
        <v>90</v>
      </c>
      <c r="J1670">
        <v>25</v>
      </c>
      <c r="K1670">
        <v>100</v>
      </c>
      <c r="L1670">
        <v>0</v>
      </c>
      <c r="M1670">
        <f>VLOOKUP(A1670,[1]kanji_data!$A:$N,14,FALSE)</f>
        <v>0</v>
      </c>
    </row>
    <row r="1671">
      <c r="A1671" t="str">
        <v>菫</v>
      </c>
      <c r="B1671">
        <v>11</v>
      </c>
      <c r="C1671" t="b">
        <v>0</v>
      </c>
      <c r="D1671" t="str">
        <v>キン</v>
      </c>
      <c r="E1671" t="str">
        <v>すみれ とりかぶと</v>
      </c>
      <c r="F1671" t="str">
        <v>すみ</v>
      </c>
      <c r="G1671" t="str">
        <v>すみれ。スミレ科の多年草。 とりかぶと。キンポウゲ科の毒草。</v>
      </c>
      <c r="H1671" t="str">
        <v>#自然 #花・彩</v>
      </c>
      <c r="I1671">
        <v>100</v>
      </c>
      <c r="J1671">
        <v>25</v>
      </c>
      <c r="K1671">
        <v>85</v>
      </c>
      <c r="L1671">
        <v>0</v>
      </c>
      <c r="M1671">
        <f>VLOOKUP(A1671,[1]kanji_data!$A:$N,14,FALSE)</f>
        <v>0</v>
      </c>
    </row>
    <row r="1672">
      <c r="A1672" t="str">
        <v>逞</v>
      </c>
      <c r="B1672">
        <v>11</v>
      </c>
      <c r="C1672" t="b">
        <v>0</v>
      </c>
      <c r="D1672" t="str">
        <v>テイ チョウ</v>
      </c>
      <c r="E1672" t="str">
        <v>こころよ（い） たくま（しい） たくま（しくする）</v>
      </c>
      <c r="F1672" t="str">
        <v>とし ゆき ゆた よし</v>
      </c>
      <c r="G1672" t="str">
        <v>たくましい。勇ましい。こころよい。 たくましくする。こころよくする。思いのままにする。 とおる。とどく。通ずる。 はやい。すばやい。速く行く。 とく。ときはなつ。ゆるめる。放す。</v>
      </c>
      <c r="H1672" t="str">
        <v>#健康 #勇気 #心・志</v>
      </c>
      <c r="I1672">
        <v>70</v>
      </c>
      <c r="J1672">
        <v>85</v>
      </c>
      <c r="K1672">
        <v>30</v>
      </c>
      <c r="L1672">
        <v>0</v>
      </c>
      <c r="M1672">
        <f>VLOOKUP(A1672,[1]kanji_data!$A:$N,14,FALSE)</f>
        <v>0</v>
      </c>
    </row>
    <row r="1673">
      <c r="A1673" t="str">
        <v>冨</v>
      </c>
      <c r="B1673">
        <v>11</v>
      </c>
      <c r="C1673" t="b">
        <v>0</v>
      </c>
      <c r="D1673" t="str">
        <v>フ フウ</v>
      </c>
      <c r="E1673" t="str">
        <v>とみ と（む）</v>
      </c>
      <c r="F1673">
        <v>0</v>
      </c>
      <c r="G1673" t="str">
        <v>とむ。多くある。豊かにある。満ち足りている。 とみ。財産。また、豊かさ。</v>
      </c>
      <c r="H1673" t="str">
        <v>#繁栄</v>
      </c>
      <c r="I1673">
        <v>50</v>
      </c>
      <c r="J1673">
        <v>90</v>
      </c>
      <c r="K1673">
        <v>35</v>
      </c>
      <c r="L1673">
        <v>0</v>
      </c>
      <c r="M1673">
        <f>VLOOKUP(A1673,[1]kanji_data!$A:$N,14,FALSE)</f>
        <v>0</v>
      </c>
    </row>
    <row r="1674">
      <c r="A1674" t="str">
        <v>惣</v>
      </c>
      <c r="B1674">
        <v>12</v>
      </c>
      <c r="C1674" t="b">
        <v>0</v>
      </c>
      <c r="D1674" t="str">
        <v>ソウ</v>
      </c>
      <c r="E1674" t="str">
        <v>すべ（て）</v>
      </c>
      <c r="F1674" t="str">
        <v>おさむ とし ふさ</v>
      </c>
      <c r="G1674" t="str">
        <v>すべて。そうじて。みな。 あつめる。まとめる。たばねる。</v>
      </c>
      <c r="I1674">
        <v>15</v>
      </c>
      <c r="J1674">
        <v>80</v>
      </c>
      <c r="K1674">
        <v>45</v>
      </c>
      <c r="L1674">
        <v>0</v>
      </c>
      <c r="M1674">
        <f>VLOOKUP(A1674,[1]kanji_data!$A:$N,14,FALSE)</f>
        <v>0</v>
      </c>
    </row>
    <row r="1675">
      <c r="A1675" t="str">
        <v>國</v>
      </c>
      <c r="B1675">
        <v>11</v>
      </c>
      <c r="C1675" t="b">
        <v>0</v>
      </c>
      <c r="D1675" t="str">
        <v>コク</v>
      </c>
      <c r="E1675" t="str">
        <v>くに</v>
      </c>
      <c r="F1675">
        <v>0</v>
      </c>
      <c r="G1675" t="str">
        <v>くに。国家。 くに。諸侯の治める領地。 くに。特定の政府に属する地域。 みやこ。首都。首府。 くに。わが国。自分の国。</v>
      </c>
      <c r="H1675" t="str">
        <v>#品格</v>
      </c>
      <c r="I1675">
        <v>40</v>
      </c>
      <c r="J1675">
        <v>80</v>
      </c>
      <c r="K1675">
        <v>45</v>
      </c>
      <c r="L1675">
        <v>0</v>
      </c>
      <c r="M1675">
        <f>VLOOKUP(A1675,[1]kanji_data!$A:$N,14,FALSE)</f>
        <v>0</v>
      </c>
    </row>
    <row r="1676">
      <c r="A1676" t="str">
        <v>浄</v>
      </c>
      <c r="B1676">
        <v>11</v>
      </c>
      <c r="C1676" t="b">
        <v>1</v>
      </c>
      <c r="D1676" t="str">
        <v>ジョウ</v>
      </c>
      <c r="E1676" t="str">
        <v>きよ（い）</v>
      </c>
      <c r="F1676">
        <v>0</v>
      </c>
      <c r="G1676" t="str">
        <v>きよい。きよらか。澄み切った。けがれない。 きよめる。きれにする。清くする。よごれを取り除く。 中国の劇中で、悪役のこと。</v>
      </c>
      <c r="H1676" t="str">
        <v>#海・水</v>
      </c>
      <c r="I1676">
        <v>10</v>
      </c>
      <c r="J1676">
        <v>65</v>
      </c>
      <c r="K1676">
        <v>60</v>
      </c>
      <c r="L1676">
        <v>0</v>
      </c>
      <c r="M1676">
        <f>VLOOKUP(A1676,[1]kanji_data!$A:$N,14,FALSE)</f>
        <v>0</v>
      </c>
    </row>
    <row r="1677">
      <c r="A1677" t="str">
        <v>巽</v>
      </c>
      <c r="B1677">
        <v>12</v>
      </c>
      <c r="C1677" t="b">
        <v>0</v>
      </c>
      <c r="D1677" t="str">
        <v>ソン</v>
      </c>
      <c r="E1677" t="str">
        <v>たつみ ゆず（る）</v>
      </c>
      <c r="F1677" t="str">
        <v>たつ よし</v>
      </c>
      <c r="G1677" t="str">
        <v>易（エキ）の八卦の一つ。 易（エキ）の六十四卦の一つ。 たつみ。南東の方位。 うやうやしい。つつしむ。へりくだる。 ゆずる。自分を後にして、他人を先にする。＝遜</v>
      </c>
      <c r="I1677">
        <v>15</v>
      </c>
      <c r="J1677">
        <v>60</v>
      </c>
      <c r="K1677">
        <v>50</v>
      </c>
      <c r="L1677">
        <v>0</v>
      </c>
      <c r="M1677">
        <f>VLOOKUP(A1677,[1]kanji_data!$A:$N,14,FALSE)</f>
        <v>0</v>
      </c>
    </row>
    <row r="1678">
      <c r="A1678" t="str">
        <v>将</v>
      </c>
      <c r="B1678">
        <v>11</v>
      </c>
      <c r="C1678" t="b">
        <v>1</v>
      </c>
      <c r="D1678" t="str">
        <v>ショウ</v>
      </c>
      <c r="E1678" t="str">
        <v>はた ひき（いる） まさ（に）</v>
      </c>
      <c r="F1678" t="str">
        <v>すけ すすむ ただし もち ゆき</v>
      </c>
      <c r="G1678" t="str">
        <v>ひきいる。兵をひきいる。軍をひきいる。また、その人。 たすける。救う。支える。 すすむ。前進する。 おこなう。 「まさに～す」と読み、「今にも～しそうだ」「やがて～になりそうだ」と今より先のことについての推量の意を表す。 「まさに～す」と読み、「～しようとする」「～したい」と今より先のことについての意志の意を表す。 「まさに～す」と読み、「ほぼ～である」「ほぼ～に近い」と程度が近いことを表す。 「はた」と読み、「それとも」「または」「あるいは」と選択の意を表す。 「もって」と読み、「～によって」「～をもちいて」と方法や手段などを表す。</v>
      </c>
      <c r="H1678" t="str">
        <v>#心・志 #慈愛</v>
      </c>
      <c r="I1678">
        <v>50</v>
      </c>
      <c r="J1678">
        <v>90</v>
      </c>
      <c r="K1678">
        <v>40</v>
      </c>
      <c r="L1678">
        <v>0</v>
      </c>
      <c r="M1678">
        <f>VLOOKUP(A1678,[1]kanji_data!$A:$N,14,FALSE)</f>
        <v>0</v>
      </c>
    </row>
    <row r="1679">
      <c r="A1679" t="str">
        <v>註</v>
      </c>
      <c r="B1679">
        <v>12</v>
      </c>
      <c r="C1679" t="b">
        <v>0</v>
      </c>
      <c r="D1679" t="str">
        <v>チュウ</v>
      </c>
      <c r="E1679" t="str">
        <v>ときあか（す）</v>
      </c>
      <c r="F1679">
        <v>0</v>
      </c>
      <c r="G1679" t="str">
        <v>とく。ときあかす。 ときあかし。本分の解釈。 しるす。</v>
      </c>
      <c r="I1679">
        <v>10</v>
      </c>
      <c r="J1679">
        <v>50</v>
      </c>
      <c r="K1679">
        <v>50</v>
      </c>
      <c r="L1679">
        <v>1</v>
      </c>
    </row>
    <row r="1680">
      <c r="A1680" t="str">
        <v>喋</v>
      </c>
      <c r="B1680">
        <v>12</v>
      </c>
      <c r="C1680" t="b">
        <v>0</v>
      </c>
      <c r="D1680" t="str">
        <v>チョウ トウ</v>
      </c>
      <c r="E1680" t="str">
        <v>しゃべ（る） ふ（む）</v>
      </c>
      <c r="F1680">
        <v>0</v>
      </c>
      <c r="G1680" t="str">
        <v>しゃべる。ぺちゃくちゃしゃべる。 ふむ。流れ広がった血を踏むさま。また、血が流れるさま。 ついばむ。鳥がえさをついばむ。</v>
      </c>
      <c r="I1680">
        <v>10</v>
      </c>
      <c r="J1680">
        <v>50</v>
      </c>
      <c r="K1680">
        <v>50</v>
      </c>
      <c r="L1680">
        <v>1</v>
      </c>
    </row>
    <row r="1681">
      <c r="A1681" t="str">
        <v>脹</v>
      </c>
      <c r="B1681">
        <v>12</v>
      </c>
      <c r="C1681" t="b">
        <v>0</v>
      </c>
      <c r="D1681" t="str">
        <v>チョウ</v>
      </c>
      <c r="E1681" t="str">
        <v>は（れる） ふく（よか） ふく（れる）</v>
      </c>
      <c r="F1681" t="str">
        <v>はる</v>
      </c>
      <c r="G1681" t="str">
        <v>ふくれる。腹がはる。 はれる。皮膚がはれる。 ふくよか。ふっくらとしているさま。</v>
      </c>
      <c r="I1681">
        <v>15</v>
      </c>
      <c r="J1681">
        <v>50</v>
      </c>
      <c r="K1681">
        <v>50</v>
      </c>
      <c r="L1681">
        <v>1</v>
      </c>
    </row>
    <row r="1682">
      <c r="A1682" t="str">
        <v>徠</v>
      </c>
      <c r="B1682">
        <v>11</v>
      </c>
      <c r="C1682" t="b">
        <v>0</v>
      </c>
      <c r="D1682" t="str">
        <v>ライ</v>
      </c>
      <c r="E1682" t="str">
        <v>きた（る） く（る）</v>
      </c>
      <c r="F1682" t="str">
        <v>き とめ ら</v>
      </c>
      <c r="G1682" t="str">
        <v>くる。きたる。やってくる。＝来 ねぎらう。いたわる。はげます。</v>
      </c>
      <c r="H1682" t="str">
        <v>#慈愛</v>
      </c>
      <c r="I1682">
        <v>40</v>
      </c>
      <c r="J1682">
        <v>50</v>
      </c>
      <c r="K1682">
        <v>55</v>
      </c>
      <c r="L1682">
        <v>0</v>
      </c>
      <c r="M1682">
        <f>VLOOKUP(A1682,[1]kanji_data!$A:$N,14,FALSE)</f>
        <v>0</v>
      </c>
    </row>
    <row r="1683">
      <c r="A1683" t="str">
        <v>叙</v>
      </c>
      <c r="B1683">
        <v>11</v>
      </c>
      <c r="C1683" t="b">
        <v>1</v>
      </c>
      <c r="D1683" t="str">
        <v>ジョ</v>
      </c>
      <c r="E1683" t="str">
        <v>の（べる）</v>
      </c>
      <c r="F1683">
        <v>0</v>
      </c>
      <c r="G1683" t="str">
        <v>のべる。順序立てて述べる。 順序。序列。 官位・勲位を授ける。 書物のはしがき。＝序</v>
      </c>
      <c r="H1683" t="str">
        <v>#知性</v>
      </c>
      <c r="I1683">
        <v>10</v>
      </c>
      <c r="J1683">
        <v>50</v>
      </c>
      <c r="K1683">
        <v>70</v>
      </c>
      <c r="L1683">
        <v>0</v>
      </c>
      <c r="M1683">
        <f>VLOOKUP(A1683,[1]kanji_data!$A:$N,14,FALSE)</f>
        <v>0</v>
      </c>
    </row>
    <row r="1684">
      <c r="A1684" t="str">
        <v>堵</v>
      </c>
      <c r="B1684">
        <v>11</v>
      </c>
      <c r="C1684" t="b">
        <v>0</v>
      </c>
      <c r="D1684" t="str">
        <v>ト</v>
      </c>
      <c r="E1684" t="str">
        <v>かき</v>
      </c>
      <c r="F1684">
        <v>0</v>
      </c>
      <c r="G1684" t="str">
        <v>かき。かきね。土でできたかきね。 住居。住まい。家。 ふせぐ。ふさぎとめる。さえぎる。</v>
      </c>
      <c r="I1684">
        <v>10</v>
      </c>
      <c r="J1684">
        <v>55</v>
      </c>
      <c r="K1684">
        <v>60</v>
      </c>
      <c r="L1684">
        <v>0</v>
      </c>
      <c r="M1684">
        <f>VLOOKUP(A1684,[1]kanji_data!$A:$N,14,FALSE)</f>
        <v>0</v>
      </c>
    </row>
    <row r="1685">
      <c r="A1685" t="str">
        <v>琶</v>
      </c>
      <c r="B1685">
        <v>12</v>
      </c>
      <c r="C1685" t="b">
        <v>0</v>
      </c>
      <c r="D1685" t="str">
        <v>ハ</v>
      </c>
      <c r="E1685">
        <v>0</v>
      </c>
      <c r="F1685">
        <v>0</v>
      </c>
      <c r="G1685" t="str">
        <v>弦楽器の一種「琵琶（びわ）」に用いられる字。</v>
      </c>
      <c r="I1685">
        <v>10</v>
      </c>
      <c r="J1685">
        <v>50</v>
      </c>
      <c r="K1685">
        <v>50</v>
      </c>
      <c r="L1685">
        <v>0</v>
      </c>
    </row>
    <row r="1686">
      <c r="A1686" t="str">
        <v>朗</v>
      </c>
      <c r="B1686">
        <v>10</v>
      </c>
      <c r="C1686" t="b">
        <v>1</v>
      </c>
      <c r="D1686" t="str">
        <v>ロウ</v>
      </c>
      <c r="E1686" t="str">
        <v>ほが（らか） あき（らか） たか（らか）</v>
      </c>
      <c r="F1686" t="str">
        <v>あきら お さえ とき ほがら</v>
      </c>
      <c r="G1686" t="str">
        <v>ほがらか。晴れ晴れとして明るい。 あきらか。はっきりしている。 たからか。声が高くてはっきりしている。</v>
      </c>
      <c r="H1686" t="str">
        <v>#天空 #知性</v>
      </c>
      <c r="I1686">
        <v>50</v>
      </c>
      <c r="J1686">
        <v>40</v>
      </c>
      <c r="K1686">
        <v>80</v>
      </c>
      <c r="L1686">
        <v>0</v>
      </c>
      <c r="M1686">
        <f>VLOOKUP(A1686,[1]kanji_data!$A:$N,14,FALSE)</f>
        <v>0</v>
      </c>
    </row>
    <row r="1687">
      <c r="A1687" t="str">
        <v>祥</v>
      </c>
      <c r="B1687">
        <v>10</v>
      </c>
      <c r="C1687" t="b">
        <v>1</v>
      </c>
      <c r="D1687" t="str">
        <v>ショウ</v>
      </c>
      <c r="E1687" t="str">
        <v>きざ（し） さいわ（い） さち</v>
      </c>
      <c r="F1687" t="str">
        <v>あきら さか さき さむ ただ なが やす よし</v>
      </c>
      <c r="G1687" t="str">
        <v>さち。さいわい。よいこと。めでたいこと。喜ばしいこと。吉事。 きざし。しるし。前ぶれ。吉事の前兆。 喪明けの祭り。忌み明けの祭り。</v>
      </c>
      <c r="H1687" t="str">
        <v>#幸福</v>
      </c>
      <c r="I1687">
        <v>50</v>
      </c>
      <c r="J1687">
        <v>65</v>
      </c>
      <c r="K1687">
        <v>50</v>
      </c>
      <c r="L1687">
        <v>0</v>
      </c>
      <c r="M1687">
        <f>VLOOKUP(A1687,[1]kanji_data!$A:$N,14,FALSE)</f>
        <v>0</v>
      </c>
    </row>
    <row r="1688">
      <c r="A1688" t="str">
        <v>敏</v>
      </c>
      <c r="B1688">
        <v>10</v>
      </c>
      <c r="C1688" t="b">
        <v>1</v>
      </c>
      <c r="D1688" t="str">
        <v>ビン</v>
      </c>
      <c r="E1688" t="str">
        <v>さと（い） と（し）</v>
      </c>
      <c r="F1688" t="str">
        <v>あきら さとし とし はや はる ゆき よし</v>
      </c>
      <c r="G1688" t="str">
        <v>とし。はやい。動きがすばやい。 さとい。かしこい。頭のはたらきがよい。</v>
      </c>
      <c r="H1688" t="str">
        <v>#勇気 #知性</v>
      </c>
      <c r="I1688">
        <v>50</v>
      </c>
      <c r="J1688">
        <v>90</v>
      </c>
      <c r="K1688">
        <v>35</v>
      </c>
      <c r="L1688">
        <v>0</v>
      </c>
      <c r="M1688">
        <f>VLOOKUP(A1688,[1]kanji_data!$A:$N,14,FALSE)</f>
        <v>0</v>
      </c>
    </row>
    <row r="1689">
      <c r="A1689" t="str">
        <v>梅</v>
      </c>
      <c r="B1689">
        <v>10</v>
      </c>
      <c r="C1689" t="b">
        <v>1</v>
      </c>
      <c r="D1689" t="str">
        <v>バイ</v>
      </c>
      <c r="E1689" t="str">
        <v>うめ</v>
      </c>
      <c r="F1689" t="str">
        <v>め</v>
      </c>
      <c r="G1689" t="str">
        <v>うめ。バラ科の落葉高木。</v>
      </c>
      <c r="H1689" t="str">
        <v>#自然 #花・彩</v>
      </c>
      <c r="I1689">
        <v>90</v>
      </c>
      <c r="J1689">
        <v>50</v>
      </c>
      <c r="K1689">
        <v>55</v>
      </c>
      <c r="L1689">
        <v>0</v>
      </c>
      <c r="M1689">
        <f>VLOOKUP(A1689,[1]kanji_data!$A:$N,14,FALSE)</f>
        <v>0</v>
      </c>
    </row>
    <row r="1690">
      <c r="A1690" t="str">
        <v>琵</v>
      </c>
      <c r="B1690">
        <v>12</v>
      </c>
      <c r="C1690" t="b">
        <v>0</v>
      </c>
      <c r="D1690" t="str">
        <v>ビ</v>
      </c>
      <c r="E1690">
        <v>0</v>
      </c>
      <c r="F1690" t="str">
        <v>ひ</v>
      </c>
      <c r="G1690" t="str">
        <v>弦楽器の一種「琵琶（びわ）」に用いられる字。</v>
      </c>
      <c r="I1690">
        <v>15</v>
      </c>
      <c r="J1690">
        <v>50</v>
      </c>
      <c r="K1690">
        <v>50</v>
      </c>
      <c r="L1690">
        <v>0</v>
      </c>
    </row>
    <row r="1691">
      <c r="A1691" t="str">
        <v>晩</v>
      </c>
      <c r="B1691">
        <v>12</v>
      </c>
      <c r="C1691" t="b">
        <v>1</v>
      </c>
      <c r="D1691" t="str">
        <v>バン</v>
      </c>
      <c r="E1691" t="str">
        <v>おそ（い） く（れ）</v>
      </c>
      <c r="F1691">
        <v>0</v>
      </c>
      <c r="G1691" t="str">
        <v>くれ。日ぐれ。夕ぐれ。夕方から夜にかけての時間。 おそい。時間や時期がおそい。</v>
      </c>
      <c r="H1691" t="str">
        <v>#天空</v>
      </c>
      <c r="I1691">
        <v>10</v>
      </c>
      <c r="J1691">
        <v>50</v>
      </c>
      <c r="K1691">
        <v>50</v>
      </c>
      <c r="L1691">
        <v>1</v>
      </c>
    </row>
    <row r="1692">
      <c r="A1692" t="str">
        <v>葡</v>
      </c>
      <c r="B1692">
        <v>12</v>
      </c>
      <c r="C1692" t="b">
        <v>0</v>
      </c>
      <c r="D1692" t="str">
        <v>ブ ホ</v>
      </c>
      <c r="E1692">
        <v>0</v>
      </c>
      <c r="F1692">
        <v>0</v>
      </c>
      <c r="G1692" t="str">
        <v>果実の「葡萄（ぶどう）」に用いられる字。 国名「葡萄牙（ポルトガル）」の略。</v>
      </c>
      <c r="I1692">
        <v>10</v>
      </c>
      <c r="J1692">
        <v>50</v>
      </c>
      <c r="K1692">
        <v>50</v>
      </c>
      <c r="L1692">
        <v>1</v>
      </c>
    </row>
    <row r="1693">
      <c r="A1693" t="str">
        <v>焚</v>
      </c>
      <c r="B1693">
        <v>12</v>
      </c>
      <c r="C1693" t="b">
        <v>0</v>
      </c>
      <c r="D1693" t="str">
        <v>フン ブン</v>
      </c>
      <c r="E1693" t="str">
        <v>た（く） や（く）</v>
      </c>
      <c r="F1693">
        <v>0</v>
      </c>
      <c r="G1693" t="str">
        <v>たく。やく。焼ける。燃やす。燃える。</v>
      </c>
      <c r="I1693">
        <v>10</v>
      </c>
      <c r="J1693">
        <v>50</v>
      </c>
      <c r="K1693">
        <v>50</v>
      </c>
      <c r="L1693">
        <v>1</v>
      </c>
    </row>
    <row r="1694">
      <c r="A1694" t="str">
        <v>森</v>
      </c>
      <c r="B1694">
        <v>12</v>
      </c>
      <c r="C1694" t="b">
        <v>1</v>
      </c>
      <c r="D1694" t="str">
        <v>シン</v>
      </c>
      <c r="E1694" t="str">
        <v>もり</v>
      </c>
      <c r="F1694" t="str">
        <v>しげ しげる</v>
      </c>
      <c r="G1694" t="str">
        <v>樹木が多く茂るさま。 おごそかなさま。身の引き締まるさま。 ほの暗いさま。ひっそりとしたさま。 もり。樹木が多く茂る所。</v>
      </c>
      <c r="H1694" t="str">
        <v>#品格 #自然</v>
      </c>
      <c r="I1694">
        <v>40</v>
      </c>
      <c r="J1694">
        <v>100</v>
      </c>
      <c r="K1694">
        <v>20</v>
      </c>
      <c r="L1694">
        <v>0</v>
      </c>
      <c r="M1694">
        <f>VLOOKUP(A1694,[1]kanji_data!$A:$N,14,FALSE)</f>
        <v>0</v>
      </c>
    </row>
    <row r="1695">
      <c r="A1695" t="str">
        <v>雲</v>
      </c>
      <c r="B1695">
        <v>12</v>
      </c>
      <c r="C1695" t="b">
        <v>1</v>
      </c>
      <c r="D1695" t="str">
        <v>ウン</v>
      </c>
      <c r="E1695" t="str">
        <v>くも そら</v>
      </c>
      <c r="F1695" t="str">
        <v>も ゆく</v>
      </c>
      <c r="G1695" t="str">
        <v>くも。空に浮かんでいるくも。 雲のようなもの。高い、多い、すぐれた、遠いなどのたとえ。</v>
      </c>
      <c r="H1695" t="str">
        <v>#天空</v>
      </c>
      <c r="I1695">
        <v>85</v>
      </c>
      <c r="J1695">
        <v>75</v>
      </c>
      <c r="K1695">
        <v>45</v>
      </c>
      <c r="L1695">
        <v>0</v>
      </c>
      <c r="M1695">
        <f>VLOOKUP(A1695,[1]kanji_data!$A:$N,14,FALSE)</f>
        <v>0</v>
      </c>
    </row>
    <row r="1696">
      <c r="A1696" t="str">
        <v>絵</v>
      </c>
      <c r="B1696">
        <v>12</v>
      </c>
      <c r="C1696" t="b">
        <v>1</v>
      </c>
      <c r="D1696" t="str">
        <v>エ カイ</v>
      </c>
      <c r="E1696" t="str">
        <v>えが（く）</v>
      </c>
      <c r="F1696">
        <v>0</v>
      </c>
      <c r="G1696" t="str">
        <v>え。えがく。えを書く。彩りえがく。刺繍をする。 模様。彩り。</v>
      </c>
      <c r="H1696" t="str">
        <v>#花・彩</v>
      </c>
      <c r="I1696">
        <v>70</v>
      </c>
      <c r="J1696">
        <v>30</v>
      </c>
      <c r="K1696">
        <v>90</v>
      </c>
      <c r="L1696">
        <v>0</v>
      </c>
      <c r="M1696">
        <f>VLOOKUP(A1696,[1]kanji_data!$A:$N,14,FALSE)</f>
        <v>0</v>
      </c>
    </row>
    <row r="1697">
      <c r="A1697" t="str">
        <v>間</v>
      </c>
      <c r="B1697">
        <v>12</v>
      </c>
      <c r="C1697" t="b">
        <v>1</v>
      </c>
      <c r="D1697" t="str">
        <v>カン ケン</v>
      </c>
      <c r="E1697" t="str">
        <v>あいだ ま あい うかが（う） しず（か） はざま ひそ（かに）</v>
      </c>
      <c r="F1697">
        <v>0</v>
      </c>
      <c r="G1697" t="str">
        <v>あいだ。あい。二つのもののあいだ。 あいだ。なか。内部。 ころ。ころおい。時分。 このごろ。近ごろ。 しばらく。しばし。 すきま。へだたり。 へだてる。あいだをあける。 うかがう。すきをねらう。スパイ。 ひそかに。こっそり。 かわる。入れかわる。 まじる。まじわる。まじえる。 いえる。病がよくなる。 けん。長さの単位。六尺（約一・八メートル）。 けん。建物の柱と柱のあいだ。 あいだ。関係。 ま。具合。様子。</v>
      </c>
      <c r="H1697" t="str">
        <v>#天空</v>
      </c>
      <c r="I1697">
        <v>10</v>
      </c>
      <c r="J1697">
        <v>50</v>
      </c>
      <c r="K1697">
        <v>50</v>
      </c>
      <c r="L1697">
        <v>1</v>
      </c>
    </row>
    <row r="1698">
      <c r="A1698" t="str">
        <v>裡</v>
      </c>
      <c r="B1698">
        <v>12</v>
      </c>
      <c r="C1698" t="b">
        <v>0</v>
      </c>
      <c r="D1698" t="str">
        <v>リ</v>
      </c>
      <c r="E1698" t="str">
        <v>うら うち</v>
      </c>
      <c r="F1698">
        <v>0</v>
      </c>
      <c r="G1698" t="str">
        <v>うら。うちがわ。物のうらがわ。背面。 うち。なか。内部。心の内。心の中。 ・・・のうちに。</v>
      </c>
      <c r="I1698">
        <v>10</v>
      </c>
      <c r="J1698">
        <v>50</v>
      </c>
      <c r="K1698">
        <v>50</v>
      </c>
      <c r="L1698">
        <v>1</v>
      </c>
    </row>
    <row r="1699">
      <c r="A1699" t="str">
        <v>晴</v>
      </c>
      <c r="B1699">
        <v>12</v>
      </c>
      <c r="C1699" t="b">
        <v>1</v>
      </c>
      <c r="D1699" t="str">
        <v>セイ</v>
      </c>
      <c r="E1699" t="str">
        <v>は（らす） は（れる）</v>
      </c>
      <c r="F1699" t="str">
        <v>きよし てる なり はる はれ</v>
      </c>
      <c r="G1699" t="str">
        <v>はれる。はれ。空がよくはれる。雲が消え去る。また、そのような天気。 はれ。表向きの。人前の。 はらす。悩みやわだかまりなどを解消する。</v>
      </c>
      <c r="H1699" t="str">
        <v>#天空 #幸福</v>
      </c>
      <c r="I1699">
        <v>100</v>
      </c>
      <c r="J1699">
        <v>45</v>
      </c>
      <c r="K1699">
        <v>65</v>
      </c>
      <c r="L1699">
        <v>0</v>
      </c>
      <c r="M1699">
        <f>VLOOKUP(A1699,[1]kanji_data!$A:$N,14,FALSE)</f>
        <v>0</v>
      </c>
    </row>
    <row r="1700">
      <c r="A1700" t="str">
        <v>朝</v>
      </c>
      <c r="B1700">
        <v>12</v>
      </c>
      <c r="C1700" t="b">
        <v>1</v>
      </c>
      <c r="D1700" t="str">
        <v>チョウ</v>
      </c>
      <c r="E1700" t="str">
        <v>あさ あした</v>
      </c>
      <c r="F1700" t="str">
        <v>さ とき とも のり はじめ</v>
      </c>
      <c r="G1700" t="str">
        <v>あさ。あした。太陽が出てからしばらくの間。 天子が政治を行う場所。 朝廷に参内して天子にお目にかかる。 ひとりの天子が統治した期間。また、同じ系統の君主が統治した時代。</v>
      </c>
      <c r="H1700" t="str">
        <v>#天空</v>
      </c>
      <c r="I1700">
        <v>100</v>
      </c>
      <c r="J1700">
        <v>85</v>
      </c>
      <c r="K1700">
        <v>35</v>
      </c>
      <c r="L1700">
        <v>0</v>
      </c>
      <c r="M1700">
        <f>VLOOKUP(A1700,[1]kanji_data!$A:$N,14,FALSE)</f>
        <v>0</v>
      </c>
    </row>
    <row r="1701">
      <c r="A1701" t="str">
        <v>椀</v>
      </c>
      <c r="B1701">
        <v>12</v>
      </c>
      <c r="C1701" t="b">
        <v>0</v>
      </c>
      <c r="D1701" t="str">
        <v>ワン</v>
      </c>
      <c r="E1701" t="str">
        <v>はち</v>
      </c>
      <c r="F1701">
        <v>0</v>
      </c>
      <c r="G1701" t="str">
        <v>わん。はち。こばち。食物を盛る木製の小さな容器。</v>
      </c>
      <c r="I1701">
        <v>10</v>
      </c>
      <c r="J1701">
        <v>50</v>
      </c>
      <c r="K1701">
        <v>50</v>
      </c>
      <c r="L1701">
        <v>1</v>
      </c>
    </row>
    <row r="1702">
      <c r="A1702" t="str">
        <v>道</v>
      </c>
      <c r="B1702">
        <v>12</v>
      </c>
      <c r="C1702" t="b">
        <v>1</v>
      </c>
      <c r="D1702" t="str">
        <v>ドウ トウ</v>
      </c>
      <c r="E1702" t="str">
        <v>みち い（う） みちび（く）</v>
      </c>
      <c r="F1702" t="str">
        <v>おさむ おさめ じ ただし ち つね なお なおし のり まさ ゆう ゆき より わたる</v>
      </c>
      <c r="G1702" t="str">
        <v>みち。人が行き来するためのとおりみち。道路。 みち。ことわり。人が守り行うべき決まり。道理。 いう。語る。述べる。唱える。 老子・荘子の教え。道教。 漢代の行政区画の名。 みちびく。手引きする。教え導く。 昔の地域区分の名。例：東海道、山陽道 「北海道」の略称。 みち。学問や芸術のわざ。技術。</v>
      </c>
      <c r="H1702" t="str">
        <v>#海・水 #知性</v>
      </c>
      <c r="I1702">
        <v>100</v>
      </c>
      <c r="J1702">
        <v>70</v>
      </c>
      <c r="K1702">
        <v>60</v>
      </c>
      <c r="L1702">
        <v>0</v>
      </c>
      <c r="M1702">
        <f>VLOOKUP(A1702,[1]kanji_data!$A:$N,14,FALSE)</f>
        <v>0</v>
      </c>
    </row>
    <row r="1703">
      <c r="A1703" t="str">
        <v>惡</v>
      </c>
      <c r="B1703">
        <v>12</v>
      </c>
      <c r="C1703" t="b">
        <v>0</v>
      </c>
      <c r="D1703" t="str">
        <v>アク オ</v>
      </c>
      <c r="E1703" t="str">
        <v>わる（い） あ（し） いずく（んぞ） にく（む）</v>
      </c>
      <c r="F1703">
        <v>0</v>
      </c>
      <c r="G1703" t="str">
        <v>わるい。あし。よくない。正しくない。 わるい。あし。みにくい。不快。 わるい。あし。粗末。いいかげん。 にくむ。嫌う。嫌がる。 「いずくんぞ」と読み、「どうして～か」「どうして～であろうか」と反語の意を表す。 「いずくに」「いずくにか」と読み、「どこに～か」と疑問・反語の意を表す。</v>
      </c>
      <c r="I1703">
        <v>10</v>
      </c>
      <c r="J1703">
        <v>50</v>
      </c>
      <c r="K1703">
        <v>50</v>
      </c>
      <c r="L1703">
        <v>1</v>
      </c>
    </row>
    <row r="1704">
      <c r="A1704" t="str">
        <v>番</v>
      </c>
      <c r="B1704">
        <v>12</v>
      </c>
      <c r="C1704" t="b">
        <v>1</v>
      </c>
      <c r="D1704" t="str">
        <v>バン ハ ハン</v>
      </c>
      <c r="E1704" t="str">
        <v>つが（い） つが（う） つが（える）</v>
      </c>
      <c r="F1704">
        <v>0</v>
      </c>
      <c r="G1704" t="str">
        <v>かわるがわる。交代で。入れ代わって。 かず。順序。順番。順位。回数。 ばん。見張り。 つがい。雄と雌の組み合わせ。また、二つで一組のもの。 つがえる。弓の弦に矢をあてる。</v>
      </c>
      <c r="H1704" t="str">
        <v>#勇気 #天空 #調和</v>
      </c>
      <c r="I1704">
        <v>10</v>
      </c>
      <c r="J1704">
        <v>50</v>
      </c>
      <c r="K1704">
        <v>50</v>
      </c>
      <c r="L1704">
        <v>1</v>
      </c>
    </row>
    <row r="1705">
      <c r="A1705" t="str">
        <v>盜</v>
      </c>
      <c r="B1705">
        <v>12</v>
      </c>
      <c r="C1705" t="b">
        <v>0</v>
      </c>
      <c r="D1705" t="str">
        <v>トウ</v>
      </c>
      <c r="E1705" t="str">
        <v>ぬす（む） と（る）</v>
      </c>
      <c r="F1705">
        <v>0</v>
      </c>
      <c r="G1705" t="str">
        <v>ぬすむ。とる。うばう。人の物を取る。人の物を抜き取る。ぬすみ。 ぬすびと。どろぼう。つまらぬ人。 ぬすむ。ひそかに物事をする。かくして物事をする。ごまかす。</v>
      </c>
      <c r="I1705">
        <v>10</v>
      </c>
      <c r="J1705">
        <v>50</v>
      </c>
      <c r="K1705">
        <v>50</v>
      </c>
      <c r="L1705">
        <v>1</v>
      </c>
    </row>
    <row r="1706">
      <c r="A1706" t="str">
        <v>剩</v>
      </c>
      <c r="B1706">
        <v>12</v>
      </c>
      <c r="C1706" t="b">
        <v>0</v>
      </c>
      <c r="D1706" t="str">
        <v>ジョウ</v>
      </c>
      <c r="E1706" t="str">
        <v>あま（す） あまつさ（え） あま（る）</v>
      </c>
      <c r="F1706">
        <v>0</v>
      </c>
      <c r="G1706" t="str">
        <v>あます。あまる。余分。残り。 あまつさえ。その上。そればかりか。おまけに。</v>
      </c>
      <c r="I1706">
        <v>10</v>
      </c>
      <c r="J1706">
        <v>50</v>
      </c>
      <c r="K1706">
        <v>50</v>
      </c>
      <c r="L1706">
        <v>1</v>
      </c>
    </row>
    <row r="1707">
      <c r="A1707" t="str">
        <v>温</v>
      </c>
      <c r="B1707">
        <v>12</v>
      </c>
      <c r="C1707" t="b">
        <v>1</v>
      </c>
      <c r="D1707" t="str">
        <v>オン ウン</v>
      </c>
      <c r="E1707" t="str">
        <v>あたた（か） あたた（かい） あたた（まる） あたた（める） たず（ねる） つつ（む） ぬく（い） ぬく（まる） ぬく（める） ぬる（い）</v>
      </c>
      <c r="F1707" t="str">
        <v>あつ あつし いろ すなお ただす つつむ なが ならう のどか はる まさ みつ やす ゆたか よし</v>
      </c>
      <c r="G1707" t="str">
        <v>あたたか。あたたかい。あたたまる。あたためる。あたたかさ。ぬくもり。 おだやか。なごやか。やさしい。 たずねる。ならう。復習する。例：温故知新 つつむ。包み込む。</v>
      </c>
      <c r="H1707" t="str">
        <v>#慈愛</v>
      </c>
      <c r="I1707">
        <v>100</v>
      </c>
      <c r="J1707">
        <v>45</v>
      </c>
      <c r="K1707">
        <v>80</v>
      </c>
      <c r="L1707">
        <v>0</v>
      </c>
      <c r="M1707">
        <f>VLOOKUP(A1707,[1]kanji_data!$A:$N,14,FALSE)</f>
        <v>0</v>
      </c>
    </row>
    <row r="1708">
      <c r="A1708" t="str">
        <v>開</v>
      </c>
      <c r="B1708">
        <v>12</v>
      </c>
      <c r="C1708" t="b">
        <v>1</v>
      </c>
      <c r="D1708" t="str">
        <v>カイ</v>
      </c>
      <c r="E1708" t="str">
        <v>あ（く） あ（ける） ひら（く） ひら（ける） はだ（かる） はだ（ける）</v>
      </c>
      <c r="F1708" t="str">
        <v>あき あけ さく さとる とおる のぶ はじめ はる はるき ひら</v>
      </c>
      <c r="G1708" t="str">
        <v>ひらく。ひらける。あく。あける。 ひらく。きりひらく。 ひらく。ひろがる。ひろげる。 ひらける。あけはなす。 はじめる。はじまる。 はなれる。わかれる。 ひらき。へだたり。違い。間隔。 ひらき。会合などを終わりにする。 ひらける。発展する。</v>
      </c>
      <c r="H1708" t="str">
        <v>#繁栄</v>
      </c>
      <c r="I1708">
        <v>100</v>
      </c>
      <c r="J1708">
        <v>65</v>
      </c>
      <c r="K1708">
        <v>50</v>
      </c>
      <c r="L1708">
        <v>0</v>
      </c>
      <c r="M1708">
        <f>VLOOKUP(A1708,[1]kanji_data!$A:$N,14,FALSE)</f>
        <v>0</v>
      </c>
    </row>
    <row r="1709">
      <c r="A1709" t="str">
        <v>階</v>
      </c>
      <c r="B1709">
        <v>12</v>
      </c>
      <c r="C1709" t="b">
        <v>1</v>
      </c>
      <c r="D1709" t="str">
        <v>カイ</v>
      </c>
      <c r="E1709" t="str">
        <v>きざはし しな はしご</v>
      </c>
      <c r="F1709">
        <v>0</v>
      </c>
      <c r="G1709" t="str">
        <v>きざはし。上り下りするための階段。 はしご。高い所にのぼるための道具。 しな。官位や身分の等級。 物事の順序。段取り。また、手引き。 建物の層、階数を数えることば。</v>
      </c>
      <c r="H1709" t="str">
        <v>#繁栄</v>
      </c>
      <c r="I1709">
        <v>10</v>
      </c>
      <c r="J1709">
        <v>50</v>
      </c>
      <c r="K1709">
        <v>50</v>
      </c>
      <c r="L1709">
        <v>1</v>
      </c>
    </row>
    <row r="1710">
      <c r="A1710" t="str">
        <v>寒</v>
      </c>
      <c r="B1710">
        <v>12</v>
      </c>
      <c r="C1710" t="b">
        <v>1</v>
      </c>
      <c r="D1710" t="str">
        <v>カン</v>
      </c>
      <c r="E1710" t="str">
        <v>さむ（い） いや（しい） さび（しい） まず（しい）</v>
      </c>
      <c r="F1710">
        <v>0</v>
      </c>
      <c r="G1710" t="str">
        <v>さむい。つめたい。ひえる。 ぞっとする。震え上がる。 さびしい。まずしい。いやしい。物資が乏しい。生活が苦しい。 二十四節気の「小寒」と「大寒」。立春前までの約三十日間。</v>
      </c>
      <c r="H1710" t="str">
        <v>#繁栄</v>
      </c>
      <c r="I1710">
        <v>10</v>
      </c>
      <c r="J1710">
        <v>50</v>
      </c>
      <c r="K1710">
        <v>50</v>
      </c>
      <c r="L1710">
        <v>1</v>
      </c>
    </row>
    <row r="1711">
      <c r="A1711" t="str">
        <v>期</v>
      </c>
      <c r="B1711">
        <v>12</v>
      </c>
      <c r="C1711" t="b">
        <v>1</v>
      </c>
      <c r="D1711" t="str">
        <v>キ ゴ</v>
      </c>
      <c r="E1711" t="str">
        <v>き（める） ちぎ（る） とき</v>
      </c>
      <c r="F1711">
        <v>0</v>
      </c>
      <c r="G1711" t="str">
        <v>とき。定められた日時。 ちぎる。きめる。約束する。また、約束して会う。 きめる。決心する。 ひとまわり。一年。また、一ヶ月。＝朞</v>
      </c>
      <c r="H1711" t="str">
        <v>#天空</v>
      </c>
      <c r="I1711">
        <v>10</v>
      </c>
      <c r="J1711">
        <v>50</v>
      </c>
      <c r="K1711">
        <v>50</v>
      </c>
      <c r="L1711">
        <v>1</v>
      </c>
    </row>
    <row r="1712">
      <c r="A1712" t="str">
        <v>搜</v>
      </c>
      <c r="B1712">
        <v>13</v>
      </c>
      <c r="C1712" t="b">
        <v>0</v>
      </c>
      <c r="D1712" t="str">
        <v>ソウ</v>
      </c>
      <c r="E1712" t="str">
        <v>さが（す）</v>
      </c>
      <c r="F1712">
        <v>0</v>
      </c>
      <c r="G1712" t="str">
        <v>さがす。さぐる。さがしもとめる。</v>
      </c>
      <c r="I1712">
        <v>10</v>
      </c>
      <c r="J1712">
        <v>50</v>
      </c>
      <c r="K1712">
        <v>50</v>
      </c>
      <c r="L1712">
        <v>1</v>
      </c>
    </row>
    <row r="1713">
      <c r="A1713" t="str">
        <v>湖</v>
      </c>
      <c r="B1713">
        <v>12</v>
      </c>
      <c r="C1713" t="b">
        <v>1</v>
      </c>
      <c r="D1713" t="str">
        <v>コ</v>
      </c>
      <c r="E1713" t="str">
        <v>みずうみ</v>
      </c>
      <c r="F1713" t="str">
        <v>うみ ご ひろし</v>
      </c>
      <c r="G1713" t="str">
        <v>みずうみ。陸地に囲まれた低い地形にある、比較的大きな水域。中国では、洞庭湖（どうていこ）のことを指す。</v>
      </c>
      <c r="H1713" t="str">
        <v>#海・水</v>
      </c>
      <c r="I1713">
        <v>85</v>
      </c>
      <c r="J1713">
        <v>80</v>
      </c>
      <c r="K1713">
        <v>45</v>
      </c>
      <c r="L1713">
        <v>0</v>
      </c>
      <c r="M1713">
        <f>VLOOKUP(A1713,[1]kanji_data!$A:$N,14,FALSE)</f>
        <v>0</v>
      </c>
    </row>
    <row r="1714">
      <c r="A1714" t="str">
        <v>港</v>
      </c>
      <c r="B1714">
        <v>12</v>
      </c>
      <c r="C1714" t="b">
        <v>1</v>
      </c>
      <c r="D1714" t="str">
        <v>コウ</v>
      </c>
      <c r="E1714" t="str">
        <v>みなと</v>
      </c>
      <c r="F1714">
        <v>0</v>
      </c>
      <c r="G1714" t="str">
        <v>みなと。船着場。また、舟が通る水路。</v>
      </c>
      <c r="H1714" t="str">
        <v>#海・水</v>
      </c>
      <c r="I1714">
        <v>60</v>
      </c>
      <c r="J1714">
        <v>65</v>
      </c>
      <c r="K1714">
        <v>65</v>
      </c>
      <c r="L1714">
        <v>0</v>
      </c>
      <c r="M1714">
        <f>VLOOKUP(A1714,[1]kanji_data!$A:$N,14,FALSE)</f>
        <v>0</v>
      </c>
    </row>
    <row r="1715">
      <c r="A1715" t="str">
        <v>著</v>
      </c>
      <c r="B1715">
        <v>12</v>
      </c>
      <c r="C1715" t="b">
        <v>0</v>
      </c>
      <c r="D1715" t="str">
        <v>チョ ジャク チャク</v>
      </c>
      <c r="E1715" t="str">
        <v>あらわ（す） いちじる（しい） き（る） つ（く）</v>
      </c>
      <c r="F1715">
        <v>0</v>
      </c>
      <c r="G1715" t="str">
        <v>あらわす。書き表す。書き記す。 あらわれる。目立つ。名高くなる。 いちじるしい。あきらかである。はっきりしている。目立っている。 きる。衣服を身につける。＝着 つく。くっつく。つける。くっつける。＝着</v>
      </c>
      <c r="I1715">
        <v>10</v>
      </c>
      <c r="J1715">
        <v>50</v>
      </c>
      <c r="K1715">
        <v>70</v>
      </c>
      <c r="L1715">
        <v>0</v>
      </c>
      <c r="M1715">
        <f>VLOOKUP(A1715,[1]kanji_data!$A:$N,14,FALSE)</f>
        <v>0</v>
      </c>
    </row>
    <row r="1716">
      <c r="A1716" t="str">
        <v>集</v>
      </c>
      <c r="B1716">
        <v>12</v>
      </c>
      <c r="C1716" t="b">
        <v>1</v>
      </c>
      <c r="D1716" t="str">
        <v>シュウ</v>
      </c>
      <c r="E1716" t="str">
        <v>あつ（まる） あつ（める） つど（う） すだ（く） たか（る）</v>
      </c>
      <c r="F1716" t="str">
        <v>あい あつむ い ため ち ちか つどい やす やすし</v>
      </c>
      <c r="G1716" t="str">
        <v>あつまる。つどう。むらがる。 あつめる。多くのものをあつめる。 あつまり。つどい。 なす。なしとげる。完成させる。 すだく。虫などが群がって鳴く。</v>
      </c>
      <c r="H1716" t="str">
        <v>#繁栄</v>
      </c>
      <c r="I1716">
        <v>5</v>
      </c>
      <c r="J1716">
        <v>35</v>
      </c>
      <c r="K1716">
        <v>70</v>
      </c>
      <c r="L1716">
        <v>1</v>
      </c>
    </row>
    <row r="1717">
      <c r="A1717" t="str">
        <v>視</v>
      </c>
      <c r="B1717">
        <v>12</v>
      </c>
      <c r="C1717" t="b">
        <v>0</v>
      </c>
      <c r="D1717" t="str">
        <v>シ</v>
      </c>
      <c r="E1717" t="str">
        <v>み（る）</v>
      </c>
      <c r="F1717">
        <v>0</v>
      </c>
      <c r="G1717" t="str">
        <v>みる。注意してしっかりとみる。 みる。世話をする。 みる。つかさどる。仕事を担当する。 なぞらえる。みくらべる。比較する。</v>
      </c>
      <c r="I1717">
        <v>10</v>
      </c>
      <c r="J1717">
        <v>50</v>
      </c>
      <c r="K1717">
        <v>50</v>
      </c>
      <c r="L1717">
        <v>1</v>
      </c>
    </row>
    <row r="1718">
      <c r="A1718" t="str">
        <v>勝</v>
      </c>
      <c r="B1718">
        <v>12</v>
      </c>
      <c r="C1718" t="b">
        <v>1</v>
      </c>
      <c r="D1718" t="str">
        <v>ショウ</v>
      </c>
      <c r="E1718" t="str">
        <v>か（つ） まさ（る） すぐ（れる） た（える）</v>
      </c>
      <c r="F1718" t="str">
        <v>すぐる とう のり まさ まさる ます よし</v>
      </c>
      <c r="G1718" t="str">
        <v>かつ。うちかつ。相手を負かす。 まさる。すぐれる。他よりも良い。 たえる。こらえる。持ちこたえる。 あげて。すべて。残らず。</v>
      </c>
      <c r="H1718" t="str">
        <v>#繁栄</v>
      </c>
      <c r="I1718">
        <v>100</v>
      </c>
      <c r="J1718">
        <v>100</v>
      </c>
      <c r="K1718">
        <v>25</v>
      </c>
      <c r="L1718">
        <v>0</v>
      </c>
      <c r="M1718">
        <f>VLOOKUP(A1718,[1]kanji_data!$A:$N,14,FALSE)</f>
        <v>0</v>
      </c>
    </row>
    <row r="1719">
      <c r="A1719" t="str">
        <v>植</v>
      </c>
      <c r="B1719">
        <v>12</v>
      </c>
      <c r="C1719" t="b">
        <v>1</v>
      </c>
      <c r="D1719" t="str">
        <v>ショク チ</v>
      </c>
      <c r="E1719" t="str">
        <v>う（える） う（わる） た（てる）</v>
      </c>
      <c r="F1719">
        <v>0</v>
      </c>
      <c r="G1719" t="str">
        <v>うえる。草木をうえつける。 立てる。真っすぐに立てる。</v>
      </c>
      <c r="H1719" t="str">
        <v>#天空 #自然</v>
      </c>
      <c r="I1719">
        <v>10</v>
      </c>
      <c r="J1719">
        <v>50</v>
      </c>
      <c r="K1719">
        <v>55</v>
      </c>
      <c r="L1719">
        <v>0</v>
      </c>
      <c r="M1719">
        <f>VLOOKUP(A1719,[1]kanji_data!$A:$N,14,FALSE)</f>
        <v>0</v>
      </c>
    </row>
    <row r="1720">
      <c r="A1720" t="str">
        <v>短</v>
      </c>
      <c r="B1720">
        <v>12</v>
      </c>
      <c r="C1720" t="b">
        <v>1</v>
      </c>
      <c r="D1720" t="str">
        <v>タン</v>
      </c>
      <c r="E1720" t="str">
        <v>みじか（い）</v>
      </c>
      <c r="F1720">
        <v>0</v>
      </c>
      <c r="G1720" t="str">
        <v>みじかい。たけがみじかい。長くない。背が低い。 足りない。乏しい。おとる。欠ける。 欠点。あやまち。 そしる。欠点を指摘する。悪く言う。</v>
      </c>
      <c r="H1720" t="str">
        <v>#健康</v>
      </c>
      <c r="I1720">
        <v>10</v>
      </c>
      <c r="J1720">
        <v>50</v>
      </c>
      <c r="K1720">
        <v>50</v>
      </c>
      <c r="L1720">
        <v>1</v>
      </c>
    </row>
    <row r="1721">
      <c r="A1721" t="str">
        <v>黑</v>
      </c>
      <c r="B1721">
        <v>12</v>
      </c>
      <c r="C1721" t="b">
        <v>0</v>
      </c>
      <c r="D1721" t="str">
        <v>コク</v>
      </c>
      <c r="E1721" t="str">
        <v>くろ くろ（い）</v>
      </c>
      <c r="F1721">
        <v>0</v>
      </c>
      <c r="G1721" t="str">
        <v>くろ。くろい。色がくろい。 くろい。おろか。 くろい。悪い。正しくない。</v>
      </c>
      <c r="I1721">
        <v>10</v>
      </c>
      <c r="J1721">
        <v>50</v>
      </c>
      <c r="K1721">
        <v>50</v>
      </c>
      <c r="L1721">
        <v>1</v>
      </c>
    </row>
    <row r="1722">
      <c r="A1722" t="str">
        <v>等</v>
      </c>
      <c r="B1722">
        <v>12</v>
      </c>
      <c r="C1722" t="b">
        <v>1</v>
      </c>
      <c r="D1722" t="str">
        <v>トウ</v>
      </c>
      <c r="E1722" t="str">
        <v>ひと（しい） など ら</v>
      </c>
      <c r="F1722" t="str">
        <v>しな たか とし とも ひとし</v>
      </c>
      <c r="G1722" t="str">
        <v>ひとしい。ひとしく。おなじ。差がない。 仲間。ともがら。たぐい。区分。 しな。段階。くらい。 はかる。比べる。はかり比べる。比較する。 など。ら。同様のものをあらわすことば。 待つ。 数詞につけて順序を数えることば。</v>
      </c>
      <c r="H1722" t="str">
        <v>#調和</v>
      </c>
      <c r="I1722">
        <v>5</v>
      </c>
      <c r="J1722">
        <v>65</v>
      </c>
      <c r="K1722">
        <v>55</v>
      </c>
      <c r="L1722">
        <v>1</v>
      </c>
    </row>
    <row r="1723">
      <c r="A1723" t="str">
        <v>登</v>
      </c>
      <c r="B1723">
        <v>12</v>
      </c>
      <c r="C1723" t="b">
        <v>1</v>
      </c>
      <c r="D1723" t="str">
        <v>トウ ト</v>
      </c>
      <c r="E1723" t="str">
        <v>のぼ（る）</v>
      </c>
      <c r="F1723" t="str">
        <v>たか ちか とみ とも なり なる のぼる のり み みのる</v>
      </c>
      <c r="G1723" t="str">
        <v>のぼる。あがる。高い所にあがる。上にのる。 みのる。成熟する。穀物が熟する。 成す。成る。出来上がる。成しとげる。 今。たちどころに。すぐに。</v>
      </c>
      <c r="H1723" t="str">
        <v>#繁栄</v>
      </c>
      <c r="I1723">
        <v>100</v>
      </c>
      <c r="J1723">
        <v>100</v>
      </c>
      <c r="K1723">
        <v>25</v>
      </c>
      <c r="L1723">
        <v>0</v>
      </c>
      <c r="M1723">
        <f>VLOOKUP(A1723,[1]kanji_data!$A:$N,14,FALSE)</f>
        <v>0</v>
      </c>
    </row>
    <row r="1724">
      <c r="A1724" t="str">
        <v>湯</v>
      </c>
      <c r="B1724">
        <v>12</v>
      </c>
      <c r="C1724" t="b">
        <v>1</v>
      </c>
      <c r="D1724" t="str">
        <v>トウ ショウ</v>
      </c>
      <c r="E1724" t="str">
        <v>ゆ</v>
      </c>
      <c r="F1724">
        <v>0</v>
      </c>
      <c r="G1724" t="str">
        <v>ゆ。水に熱を加えて熱くしたもの。温泉。風呂。 煎じ薬。 スープ。汁。 殷を建国した王の名。湯王。 ほしいままにする。したい放題する。 暖める。 押す。ゆり動かす。 水が勢いよく流れるさま。</v>
      </c>
      <c r="H1724" t="str">
        <v>#海・水</v>
      </c>
      <c r="I1724">
        <v>10</v>
      </c>
      <c r="J1724">
        <v>50</v>
      </c>
      <c r="K1724">
        <v>50</v>
      </c>
      <c r="L1724">
        <v>1</v>
      </c>
    </row>
    <row r="1725">
      <c r="A1725" t="str">
        <v>童</v>
      </c>
      <c r="B1725">
        <v>12</v>
      </c>
      <c r="C1725" t="b">
        <v>1</v>
      </c>
      <c r="D1725" t="str">
        <v>ドウ トウ</v>
      </c>
      <c r="E1725" t="str">
        <v>わらべ わらわ</v>
      </c>
      <c r="F1725" t="str">
        <v>わか</v>
      </c>
      <c r="G1725" t="str">
        <v>わらべ。わらわ。こども。未成年者。 はげる。頭髪のないさま。山に草木がないさま。 しもべ。召使い。奴隷。</v>
      </c>
      <c r="H1725" t="str">
        <v>#自然</v>
      </c>
      <c r="I1725">
        <v>5</v>
      </c>
      <c r="J1725">
        <v>50</v>
      </c>
      <c r="K1725">
        <v>55</v>
      </c>
      <c r="L1725">
        <v>1</v>
      </c>
    </row>
    <row r="1726">
      <c r="A1726" t="str">
        <v>悲</v>
      </c>
      <c r="B1726">
        <v>12</v>
      </c>
      <c r="C1726" t="b">
        <v>1</v>
      </c>
      <c r="D1726" t="str">
        <v>ヒ</v>
      </c>
      <c r="E1726" t="str">
        <v>かな（しい） かな（しむ）</v>
      </c>
      <c r="F1726">
        <v>0</v>
      </c>
      <c r="G1726" t="str">
        <v>かなしむ。かなしく思う。心が痛む思いをする。 かなしい。心が痛む思い。 あわれみ。情け。慈悲。</v>
      </c>
      <c r="H1726" t="str">
        <v>#心・志 #慈愛</v>
      </c>
      <c r="I1726">
        <v>10</v>
      </c>
      <c r="J1726">
        <v>50</v>
      </c>
      <c r="K1726">
        <v>50</v>
      </c>
      <c r="L1726">
        <v>1</v>
      </c>
    </row>
    <row r="1727">
      <c r="A1727" t="str">
        <v>揭</v>
      </c>
      <c r="B1727">
        <v>12</v>
      </c>
      <c r="C1727" t="b">
        <v>0</v>
      </c>
      <c r="D1727" t="str">
        <v>ケイ</v>
      </c>
      <c r="E1727" t="str">
        <v>かか（げる）</v>
      </c>
      <c r="F1727">
        <v>0</v>
      </c>
      <c r="G1727" t="str">
        <v>かかげる。高くあげる。 かかげる。目立つようにする。 かかげる。すそを持ち上げる。</v>
      </c>
      <c r="I1727">
        <v>10</v>
      </c>
      <c r="J1727">
        <v>50</v>
      </c>
      <c r="K1727">
        <v>50</v>
      </c>
      <c r="L1727">
        <v>1</v>
      </c>
    </row>
    <row r="1728">
      <c r="A1728" t="str">
        <v>遊</v>
      </c>
      <c r="B1728">
        <v>12</v>
      </c>
      <c r="C1728" t="b">
        <v>1</v>
      </c>
      <c r="D1728" t="str">
        <v>ユウ ユ</v>
      </c>
      <c r="E1728" t="str">
        <v>あそ（ぶ） すさ（び） すさ（ぶ）</v>
      </c>
      <c r="F1728" t="str">
        <v>なが ゆき</v>
      </c>
      <c r="G1728" t="str">
        <v>あそぶ。たわむれる。楽しむ。気ままに楽しむ。 交わる。付き合う。交流する。 仕事についていない。ひまである。 あそび。 友達。友人。 おとこだて。 泳ぐ。浮かぶ。ただよう。 あそばす。おこなう・するなどの敬語。 あそび。すさび。</v>
      </c>
      <c r="H1728" t="str">
        <v>#幸福 #調和</v>
      </c>
      <c r="I1728">
        <v>5</v>
      </c>
      <c r="J1728">
        <v>20</v>
      </c>
      <c r="K1728">
        <v>100</v>
      </c>
      <c r="L1728">
        <v>0</v>
      </c>
      <c r="M1728">
        <f>VLOOKUP(A1728,[1]kanji_data!$A:$N,14,FALSE)</f>
        <v>0</v>
      </c>
    </row>
    <row r="1729">
      <c r="A1729" t="str">
        <v>葉</v>
      </c>
      <c r="B1729">
        <v>12</v>
      </c>
      <c r="C1729" t="b">
        <v>1</v>
      </c>
      <c r="D1729" t="str">
        <v>ヨウ ショウ</v>
      </c>
      <c r="E1729" t="str">
        <v>は かみ すえ</v>
      </c>
      <c r="F1729" t="str">
        <v>くに のぶ ば ふさ よ わ</v>
      </c>
      <c r="G1729" t="str">
        <v>は。草木のは。 草木のはのように、薄く平たいもの。また、はのような形をしたもの。 紙。また、紙などの枚数を数える助数詞。 わかれ。すえ。 時代。世。 人名や地名に用いられる字。</v>
      </c>
      <c r="H1729" t="str">
        <v>#自然 #花・彩</v>
      </c>
      <c r="I1729">
        <v>100</v>
      </c>
      <c r="J1729">
        <v>55</v>
      </c>
      <c r="K1729">
        <v>55</v>
      </c>
      <c r="L1729">
        <v>0</v>
      </c>
      <c r="M1729">
        <f>VLOOKUP(A1729,[1]kanji_data!$A:$N,14,FALSE)</f>
        <v>0</v>
      </c>
    </row>
    <row r="1730">
      <c r="A1730" t="str">
        <v>陽</v>
      </c>
      <c r="B1730">
        <v>12</v>
      </c>
      <c r="C1730" t="b">
        <v>1</v>
      </c>
      <c r="D1730" t="str">
        <v>ヨウ</v>
      </c>
      <c r="E1730" t="str">
        <v>いつわ（る） ひ ひなた</v>
      </c>
      <c r="F1730" t="str">
        <v>あき あきら お おき きよ たか たかし なか のぼる はる ひかる や</v>
      </c>
      <c r="G1730" t="str">
        <v>ひなた。日の当たるあかるい所。 ひ。日の光。太陽。 山の南側。川の北側。 あかるい。あきらか。 積極的なもの。動的なもの。 いつわる。みせかける。ふりをする。</v>
      </c>
      <c r="H1730" t="str">
        <v>#天空 #海・水</v>
      </c>
      <c r="I1730">
        <v>100</v>
      </c>
      <c r="J1730">
        <v>60</v>
      </c>
      <c r="K1730">
        <v>55</v>
      </c>
      <c r="L1730">
        <v>0</v>
      </c>
      <c r="M1730">
        <f>VLOOKUP(A1730,[1]kanji_data!$A:$N,14,FALSE)</f>
        <v>0</v>
      </c>
    </row>
    <row r="1731">
      <c r="A1731" t="str">
        <v>落</v>
      </c>
      <c r="B1731">
        <v>12</v>
      </c>
      <c r="C1731" t="b">
        <v>1</v>
      </c>
      <c r="D1731" t="str">
        <v>ラク</v>
      </c>
      <c r="E1731" t="str">
        <v>お（ちる） お（とす） さと</v>
      </c>
      <c r="F1731">
        <v>0</v>
      </c>
      <c r="G1731" t="str">
        <v>おちる。木の葉などが枯れおちる。上から下へおちる。 おとす。攻略する。せめおとす。 失う。なくす。おちぶれる。ぬけおちる。 しぬ。命をおとす。 できあがる。おさまる。おちつく。 人や家の集まり住むところ。例：集落 村落 まとう。まつわる。つながり。 おち。手抜かり。抜けた点。もれおち。</v>
      </c>
      <c r="H1731" t="str">
        <v>#自然</v>
      </c>
      <c r="I1731">
        <v>10</v>
      </c>
      <c r="J1731">
        <v>50</v>
      </c>
      <c r="K1731">
        <v>50</v>
      </c>
      <c r="L1731">
        <v>1</v>
      </c>
    </row>
    <row r="1732">
      <c r="A1732" t="str">
        <v>渴</v>
      </c>
      <c r="B1732">
        <v>12</v>
      </c>
      <c r="C1732" t="b">
        <v>0</v>
      </c>
      <c r="D1732" t="str">
        <v>カツ ケツ</v>
      </c>
      <c r="E1732" t="str">
        <v>かわ（く） むさぼ（る）</v>
      </c>
      <c r="F1732">
        <v>0</v>
      </c>
      <c r="G1732" t="str">
        <v>かわく。のどがかわいて水を欲しがる。また、そのように強く望むこと。 かわき。のどのかわき。 かれる。水がかれる。水が尽きてなくなる。</v>
      </c>
      <c r="I1732">
        <v>10</v>
      </c>
      <c r="J1732">
        <v>50</v>
      </c>
      <c r="K1732">
        <v>50</v>
      </c>
      <c r="L1732">
        <v>1</v>
      </c>
    </row>
    <row r="1733">
      <c r="A1733" t="str">
        <v>覚</v>
      </c>
      <c r="B1733">
        <v>12</v>
      </c>
      <c r="C1733" t="b">
        <v>1</v>
      </c>
      <c r="D1733" t="str">
        <v>カク コウ</v>
      </c>
      <c r="E1733" t="str">
        <v>おぼ（える） さ（ます） さ（める） さと（り） さと（る）</v>
      </c>
      <c r="F1733" t="str">
        <v>あき あきら さだ さとる よし</v>
      </c>
      <c r="G1733" t="str">
        <v>おぼえる。知る。分かる。感じる。 さとる。さとり。はっきりとわかる。 あらわれる。明らかになる。 さめる。目ざめる。眠りからさめる。 おぼえる。記憶する。 おぼえ。記憶。</v>
      </c>
      <c r="H1733" t="str">
        <v>#知性</v>
      </c>
      <c r="I1733">
        <v>15</v>
      </c>
      <c r="J1733">
        <v>55</v>
      </c>
      <c r="K1733">
        <v>55</v>
      </c>
      <c r="L1733">
        <v>0</v>
      </c>
      <c r="M1733">
        <f>VLOOKUP(A1733,[1]kanji_data!$A:$N,14,FALSE)</f>
        <v>0</v>
      </c>
    </row>
    <row r="1734">
      <c r="A1734" t="str">
        <v>喜</v>
      </c>
      <c r="B1734">
        <v>12</v>
      </c>
      <c r="C1734" t="b">
        <v>1</v>
      </c>
      <c r="D1734" t="str">
        <v>キ</v>
      </c>
      <c r="E1734" t="str">
        <v>よろこ（ぶ）</v>
      </c>
      <c r="F1734" t="str">
        <v>このむ たのし とし のぶ はる ひさ ゆき よし</v>
      </c>
      <c r="G1734" t="str">
        <v>よろこぶ。よろこび。嬉しく思う。 好む。好き。楽しむ。 めでたい。祝い。</v>
      </c>
      <c r="H1734" t="str">
        <v>#幸福</v>
      </c>
      <c r="I1734">
        <v>100</v>
      </c>
      <c r="J1734">
        <v>100</v>
      </c>
      <c r="K1734">
        <v>30</v>
      </c>
      <c r="L1734">
        <v>0</v>
      </c>
      <c r="M1734">
        <f>VLOOKUP(A1734,[1]kanji_data!$A:$N,14,FALSE)</f>
        <v>0</v>
      </c>
    </row>
    <row r="1735">
      <c r="A1735" t="str">
        <v>給</v>
      </c>
      <c r="B1735">
        <v>12</v>
      </c>
      <c r="C1735" t="b">
        <v>1</v>
      </c>
      <c r="D1735" t="str">
        <v>キュウ</v>
      </c>
      <c r="E1735" t="str">
        <v>たま（う） たまわ（る）</v>
      </c>
      <c r="F1735">
        <v>0</v>
      </c>
      <c r="G1735" t="str">
        <v>足す。満たす。供える。あてがう。 足る。十分にある。備わる。 たまう。たまわる。目上の者から下の者に物品を与える。 てあて。例：給与 給料 すばやい。はやい。すみやか。せわしい。 たまう。動詞にそえて、尊敬や謙譲の意を表すことば。</v>
      </c>
      <c r="H1735" t="str">
        <v>#勇気 #品格</v>
      </c>
      <c r="I1735">
        <v>10</v>
      </c>
      <c r="J1735">
        <v>50</v>
      </c>
      <c r="K1735">
        <v>50</v>
      </c>
      <c r="L1735">
        <v>1</v>
      </c>
    </row>
    <row r="1736">
      <c r="A1736" t="str">
        <v>黃</v>
      </c>
      <c r="B1736">
        <v>12</v>
      </c>
      <c r="C1736" t="b">
        <v>0</v>
      </c>
      <c r="D1736" t="str">
        <v>オウ コウ</v>
      </c>
      <c r="E1736" t="str">
        <v>き こ</v>
      </c>
      <c r="F1736">
        <v>0</v>
      </c>
      <c r="G1736" t="str">
        <v>き。きいろ。 きばむ。きいろになる。 こども。幼いこども。</v>
      </c>
      <c r="I1736">
        <v>10</v>
      </c>
      <c r="J1736">
        <v>20</v>
      </c>
      <c r="K1736">
        <v>95</v>
      </c>
      <c r="L1736">
        <v>0</v>
      </c>
      <c r="M1736">
        <f>VLOOKUP(A1736,[1]kanji_data!$A:$N,14,FALSE)</f>
        <v>0</v>
      </c>
    </row>
    <row r="1737">
      <c r="A1737" t="str">
        <v>景</v>
      </c>
      <c r="B1737">
        <v>12</v>
      </c>
      <c r="C1737" t="b">
        <v>1</v>
      </c>
      <c r="D1737" t="str">
        <v>ケイ キョウ エイ ヨウ</v>
      </c>
      <c r="E1737">
        <v>0</v>
      </c>
      <c r="F1737" t="str">
        <v>あきら かげ ひろ</v>
      </c>
      <c r="G1737" t="str">
        <v>けしき。ながめ。ようす。ありさま。 ひかり。明るい光。日光。 大きい。立派。また、めでたい。 あおぐ。あおぎしたう。 かげ。＝影 風情を添える意から、商品に添えておまけとする品物。例：景品</v>
      </c>
      <c r="H1737" t="str">
        <v>#品格 #天空 #幸福</v>
      </c>
      <c r="I1737">
        <v>100</v>
      </c>
      <c r="J1737">
        <v>75</v>
      </c>
      <c r="K1737">
        <v>60</v>
      </c>
      <c r="L1737">
        <v>0</v>
      </c>
      <c r="M1737">
        <f>VLOOKUP(A1737,[1]kanji_data!$A:$N,14,FALSE)</f>
        <v>0</v>
      </c>
    </row>
    <row r="1738">
      <c r="A1738" t="str">
        <v>結</v>
      </c>
      <c r="B1738">
        <v>12</v>
      </c>
      <c r="C1738" t="b">
        <v>1</v>
      </c>
      <c r="D1738" t="str">
        <v>ケツ ケイ ケチ</v>
      </c>
      <c r="E1738" t="str">
        <v>むす（ぶ） ゆ（う） ゆ（わえる） す（く）</v>
      </c>
      <c r="F1738" t="str">
        <v>かた ひとし むすぶ ゆい ゆう</v>
      </c>
      <c r="G1738" t="str">
        <v>むすぶ。ゆう。ゆわえる。まとめる。束ねる。あつめる。 むすび。しめくくり。終わり。 もとどり。髪の毛を頭上で束ねたもの。</v>
      </c>
      <c r="H1738" t="str">
        <v>#調和</v>
      </c>
      <c r="I1738">
        <v>100</v>
      </c>
      <c r="J1738">
        <v>60</v>
      </c>
      <c r="K1738">
        <v>65</v>
      </c>
      <c r="L1738">
        <v>0</v>
      </c>
      <c r="M1738">
        <f>VLOOKUP(A1738,[1]kanji_data!$A:$N,14,FALSE)</f>
        <v>0</v>
      </c>
    </row>
    <row r="1739">
      <c r="A1739" t="str">
        <v>辞</v>
      </c>
      <c r="B1739">
        <v>13</v>
      </c>
      <c r="C1739" t="b">
        <v>1</v>
      </c>
      <c r="D1739" t="str">
        <v>ジ</v>
      </c>
      <c r="E1739" t="str">
        <v>や（める） ことば ことわ（る）</v>
      </c>
      <c r="F1739">
        <v>0</v>
      </c>
      <c r="G1739" t="str">
        <v>やめる。ことわる。拒絶する。しりぞく。 ことば。言語。ふみ。文章。 いとまごいをする。別れを告げる。辞去する。 うったえる。告げる。 責める。説明を求める。 韻文の一種。</v>
      </c>
      <c r="I1739">
        <v>10</v>
      </c>
      <c r="J1739">
        <v>50</v>
      </c>
      <c r="K1739">
        <v>50</v>
      </c>
      <c r="L1739">
        <v>1</v>
      </c>
    </row>
    <row r="1740">
      <c r="A1740" t="str">
        <v>続</v>
      </c>
      <c r="B1740">
        <v>13</v>
      </c>
      <c r="C1740" t="b">
        <v>1</v>
      </c>
      <c r="D1740" t="str">
        <v>ゾク ショク</v>
      </c>
      <c r="E1740" t="str">
        <v>つづ（く） つづ（ける） つ（ぐ）</v>
      </c>
      <c r="F1740">
        <v>0</v>
      </c>
      <c r="G1740" t="str">
        <v>つづく。つづける。つらなる。つらねる。つぐ。つながる。 つづき。あとに続くもの。後継者。二の舞。</v>
      </c>
      <c r="I1740">
        <v>10</v>
      </c>
      <c r="J1740">
        <v>50</v>
      </c>
      <c r="K1740">
        <v>50</v>
      </c>
      <c r="L1740">
        <v>1</v>
      </c>
    </row>
    <row r="1741">
      <c r="A1741" t="str">
        <v>順</v>
      </c>
      <c r="B1741">
        <v>12</v>
      </c>
      <c r="C1741" t="b">
        <v>1</v>
      </c>
      <c r="D1741" t="str">
        <v>ジュン</v>
      </c>
      <c r="E1741" t="str">
        <v>したが（う） すなお</v>
      </c>
      <c r="F1741" t="str">
        <v>あや あり おさむ かず しげ とし なお のぶ のり はじめ まさ みち むね もと やさし やす ゆき よし より</v>
      </c>
      <c r="G1741" t="str">
        <v>したがう。道理にしたがう。 したがう。言うことに逆らわない。 すなお。おとなしい。おだやか。 物事の道すじ。順序。順番。</v>
      </c>
      <c r="H1741" t="str">
        <v>#慈愛</v>
      </c>
      <c r="I1741">
        <v>100</v>
      </c>
      <c r="J1741">
        <v>60</v>
      </c>
      <c r="K1741">
        <v>70</v>
      </c>
      <c r="L1741">
        <v>0</v>
      </c>
      <c r="M1741">
        <f>VLOOKUP(A1741,[1]kanji_data!$A:$N,14,FALSE)</f>
        <v>0</v>
      </c>
    </row>
    <row r="1742">
      <c r="A1742" t="str">
        <v>焼</v>
      </c>
      <c r="B1742">
        <v>12</v>
      </c>
      <c r="C1742" t="b">
        <v>1</v>
      </c>
      <c r="D1742" t="str">
        <v>ショウ</v>
      </c>
      <c r="E1742" t="str">
        <v>や（く） や（ける） く（べる）</v>
      </c>
      <c r="F1742">
        <v>0</v>
      </c>
      <c r="G1742" t="str">
        <v>やく。やける。火で燃やす。たく。 酒の一種。蒸留酒。 野火。野焼き。また、火事。 手をやく。世話をやく。 やく。ねたむ。嫉妬する。</v>
      </c>
      <c r="H1742" t="str">
        <v>#自然</v>
      </c>
      <c r="I1742">
        <v>10</v>
      </c>
      <c r="J1742">
        <v>50</v>
      </c>
      <c r="K1742">
        <v>50</v>
      </c>
      <c r="L1742">
        <v>1</v>
      </c>
    </row>
    <row r="1743">
      <c r="A1743" t="str">
        <v>働</v>
      </c>
      <c r="B1743">
        <v>13</v>
      </c>
      <c r="C1743" t="b">
        <v>1</v>
      </c>
      <c r="D1743" t="str">
        <v>ドウ</v>
      </c>
      <c r="E1743" t="str">
        <v>はたら（く）</v>
      </c>
      <c r="F1743">
        <v>0</v>
      </c>
      <c r="G1743" t="str">
        <v>はたらく。仕事をする。 はたらき。仕事ぶり。動作。作用。</v>
      </c>
      <c r="I1743">
        <v>10</v>
      </c>
      <c r="J1743">
        <v>50</v>
      </c>
      <c r="K1743">
        <v>50</v>
      </c>
      <c r="L1743">
        <v>1</v>
      </c>
    </row>
    <row r="1744">
      <c r="A1744" t="str">
        <v>鉱</v>
      </c>
      <c r="B1744">
        <v>13</v>
      </c>
      <c r="C1744" t="b">
        <v>1</v>
      </c>
      <c r="D1744" t="str">
        <v>コウ</v>
      </c>
      <c r="E1744" t="str">
        <v>あらがね</v>
      </c>
      <c r="F1744" t="str">
        <v>かね ひろ ひろし</v>
      </c>
      <c r="G1744" t="str">
        <v>あらがね。掘り出したままの金、銀、銅などの鉱石。精錬していない鉱石。＝礦</v>
      </c>
      <c r="I1744">
        <v>15</v>
      </c>
      <c r="J1744">
        <v>50</v>
      </c>
      <c r="K1744">
        <v>50</v>
      </c>
      <c r="L1744">
        <v>1</v>
      </c>
    </row>
    <row r="1745">
      <c r="A1745" t="str">
        <v>達</v>
      </c>
      <c r="B1745">
        <v>12</v>
      </c>
      <c r="C1745" t="b">
        <v>1</v>
      </c>
      <c r="D1745" t="str">
        <v>タツ タチ ダチ</v>
      </c>
      <c r="E1745" t="str">
        <v>たし たち とお（る） とど（く）</v>
      </c>
      <c r="F1745" t="str">
        <v>いたる さと さとし さとる すすむ ただ たて とお とおる のぶ ひろ みち よし</v>
      </c>
      <c r="G1745" t="str">
        <v>とおる。道が通じる。 いたる。届く。行きつく。なしとげる。 届ける。送り届ける。伝える。 すすめる。推挙する。 ほしいまま。わがまま。 たち。だち。人の複数を示す接尾語。例：友達 子供達 たっし。ふれ。</v>
      </c>
      <c r="H1745" t="str">
        <v>#繁栄 #調和</v>
      </c>
      <c r="I1745">
        <v>100</v>
      </c>
      <c r="J1745">
        <v>70</v>
      </c>
      <c r="K1745">
        <v>50</v>
      </c>
      <c r="L1745">
        <v>0</v>
      </c>
      <c r="M1745">
        <f>VLOOKUP(A1745,[1]kanji_data!$A:$N,14,FALSE)</f>
        <v>0</v>
      </c>
    </row>
    <row r="1746">
      <c r="A1746" t="str">
        <v>資</v>
      </c>
      <c r="B1746">
        <v>13</v>
      </c>
      <c r="C1746" t="b">
        <v>1</v>
      </c>
      <c r="D1746" t="str">
        <v>シ</v>
      </c>
      <c r="E1746" t="str">
        <v>たから たす（ける） たち もと</v>
      </c>
      <c r="F1746" t="str">
        <v>かね すけ たか たかし たすく たすけ ただ ただし つぎ つぐ とし はかる やす よし より</v>
      </c>
      <c r="G1746" t="str">
        <v>たから。財貨。 もと。もとで。 助ける。金品を与えて助ける。 とる。もととしてとる。 よる。たよる。たのむ。とる。 たち。もちまえ。生まれつき。</v>
      </c>
      <c r="H1746" t="str">
        <v>#繁栄</v>
      </c>
      <c r="I1746">
        <v>15</v>
      </c>
      <c r="J1746">
        <v>50</v>
      </c>
      <c r="K1746">
        <v>50</v>
      </c>
      <c r="L1746">
        <v>0</v>
      </c>
    </row>
    <row r="1747">
      <c r="A1747" t="str">
        <v>然</v>
      </c>
      <c r="B1747">
        <v>12</v>
      </c>
      <c r="C1747" t="b">
        <v>1</v>
      </c>
      <c r="D1747" t="str">
        <v>ゼン ネン</v>
      </c>
      <c r="E1747" t="str">
        <v>しか（し） しか（して） しか（も） しか（らば） しか（り） も（える）</v>
      </c>
      <c r="F1747" t="str">
        <v>しか ぜ なり ね のり</v>
      </c>
      <c r="G1747" t="str">
        <v>しかし。しかして。しからば。しかるに。しかれども。逆接の意をあらわす。 しかり。そのとおり。肯定や同意をあらわす語。 しかりとする。正しいと認める。 しかも。その上。なおかつ。 燃える。燃やす。</v>
      </c>
      <c r="H1747" t="str">
        <v>#自然</v>
      </c>
      <c r="I1747">
        <v>100</v>
      </c>
      <c r="J1747">
        <v>65</v>
      </c>
      <c r="K1747">
        <v>60</v>
      </c>
      <c r="L1747">
        <v>0</v>
      </c>
      <c r="M1747">
        <f>VLOOKUP(A1747,[1]kanji_data!$A:$N,14,FALSE)</f>
        <v>0</v>
      </c>
    </row>
    <row r="1748">
      <c r="A1748" t="str">
        <v>博</v>
      </c>
      <c r="B1748">
        <v>12</v>
      </c>
      <c r="C1748" t="b">
        <v>1</v>
      </c>
      <c r="D1748" t="str">
        <v>ハク バク</v>
      </c>
      <c r="E1748" t="str">
        <v>ひろ（い） ひろ（める）</v>
      </c>
      <c r="F1748" t="str">
        <v>とおる はか ひろし ひろむ</v>
      </c>
      <c r="G1748" t="str">
        <v>ひろい。広く通じる。広く行きわたる。 ひろめる。広くする。 ばくち。賭け事。</v>
      </c>
      <c r="H1748" t="str">
        <v>#繁栄</v>
      </c>
      <c r="I1748">
        <v>100</v>
      </c>
      <c r="J1748">
        <v>95</v>
      </c>
      <c r="K1748">
        <v>40</v>
      </c>
      <c r="L1748">
        <v>0</v>
      </c>
      <c r="M1748">
        <f>VLOOKUP(A1748,[1]kanji_data!$A:$N,14,FALSE)</f>
        <v>0</v>
      </c>
    </row>
    <row r="1749">
      <c r="A1749" t="str">
        <v>準</v>
      </c>
      <c r="B1749">
        <v>13</v>
      </c>
      <c r="C1749" t="b">
        <v>1</v>
      </c>
      <c r="D1749" t="str">
        <v>ジュン シュン セツ</v>
      </c>
      <c r="E1749" t="str">
        <v>なぞら（える） みずもり</v>
      </c>
      <c r="F1749" t="str">
        <v>たいら とし ならう のり ひとし</v>
      </c>
      <c r="G1749" t="str">
        <v>みずもり。水平かどうかをはかる器具。 平ら。水平。平らにする。 のり。目安。法則。物事をはかる尺度。 のっとる。目安にする。なぞらえる。よりどころにする。 はかる。おしはかる。 鼻。鼻筋。鼻柱。</v>
      </c>
      <c r="I1749">
        <v>15</v>
      </c>
      <c r="J1749">
        <v>65</v>
      </c>
      <c r="K1749">
        <v>55</v>
      </c>
      <c r="L1749">
        <v>0</v>
      </c>
      <c r="M1749">
        <f>VLOOKUP(A1749,[1]kanji_data!$A:$N,14,FALSE)</f>
        <v>0</v>
      </c>
    </row>
    <row r="1750">
      <c r="A1750" t="str">
        <v>費</v>
      </c>
      <c r="B1750">
        <v>12</v>
      </c>
      <c r="C1750" t="b">
        <v>1</v>
      </c>
      <c r="D1750" t="str">
        <v>ヒ</v>
      </c>
      <c r="E1750" t="str">
        <v>つい（える） つい（やす）</v>
      </c>
      <c r="F1750">
        <v>0</v>
      </c>
      <c r="G1750" t="str">
        <v>ついえる。ついやす。 ついえる。かかり。ものいり。 用途が広い。 さからう。もとる。</v>
      </c>
      <c r="H1750" t="str">
        <v>#繁栄</v>
      </c>
      <c r="I1750">
        <v>10</v>
      </c>
      <c r="J1750">
        <v>50</v>
      </c>
      <c r="K1750">
        <v>50</v>
      </c>
      <c r="L1750">
        <v>1</v>
      </c>
    </row>
    <row r="1751">
      <c r="A1751" t="str">
        <v>損</v>
      </c>
      <c r="B1751">
        <v>13</v>
      </c>
      <c r="C1751" t="b">
        <v>1</v>
      </c>
      <c r="D1751" t="str">
        <v>ソン</v>
      </c>
      <c r="E1751" t="str">
        <v>そこ（なう） そこ（ねる） へ（る）</v>
      </c>
      <c r="F1751">
        <v>0</v>
      </c>
      <c r="G1751" t="str">
        <v>そこなう。そこねる。こわす。きずつける。 へる。へらす。少なくなる。少なくする。 へりくだる。ひかえる。 易（エキ）の六十四卦の一つ。</v>
      </c>
      <c r="I1751">
        <v>10</v>
      </c>
      <c r="J1751">
        <v>50</v>
      </c>
      <c r="K1751">
        <v>50</v>
      </c>
      <c r="L1751">
        <v>1</v>
      </c>
    </row>
    <row r="1752">
      <c r="A1752" t="str">
        <v>満</v>
      </c>
      <c r="B1752">
        <v>12</v>
      </c>
      <c r="C1752" t="b">
        <v>1</v>
      </c>
      <c r="D1752" t="str">
        <v>マン バン</v>
      </c>
      <c r="E1752" t="str">
        <v>み（たす） み（ちる）</v>
      </c>
      <c r="F1752" t="str">
        <v>あり ま ます まろ みち みつ みつる</v>
      </c>
      <c r="G1752" t="str">
        <v>みちる。みたす。いっぱいになる。みちている。みち足りる。 全体。全部。すべて。ゆきわたる。 「満州」の略称。 まん。年齢の数え方。満年齢。</v>
      </c>
      <c r="H1752" t="str">
        <v>#幸福 #繁栄</v>
      </c>
      <c r="I1752">
        <v>100</v>
      </c>
      <c r="J1752">
        <v>65</v>
      </c>
      <c r="K1752">
        <v>50</v>
      </c>
      <c r="L1752">
        <v>0</v>
      </c>
      <c r="M1752">
        <f>VLOOKUP(A1752,[1]kanji_data!$A:$N,14,FALSE)</f>
        <v>0</v>
      </c>
    </row>
    <row r="1753">
      <c r="A1753" t="str">
        <v>量</v>
      </c>
      <c r="B1753">
        <v>12</v>
      </c>
      <c r="C1753" t="b">
        <v>1</v>
      </c>
      <c r="D1753" t="str">
        <v>リョウ</v>
      </c>
      <c r="E1753" t="str">
        <v>はか（る） かさ ちから</v>
      </c>
      <c r="F1753">
        <v>0</v>
      </c>
      <c r="G1753" t="str">
        <v>はかる。おしはかる。見積もる。計算する。 ます。はかり。 かさ。ますめ。容積。 かず。数量。 ちから。才能。 かぎり。限度。</v>
      </c>
      <c r="H1753" t="str">
        <v>#勇気 #知性</v>
      </c>
      <c r="I1753">
        <v>10</v>
      </c>
      <c r="J1753">
        <v>40</v>
      </c>
      <c r="K1753">
        <v>75</v>
      </c>
      <c r="L1753">
        <v>0</v>
      </c>
      <c r="M1753">
        <f>VLOOKUP(A1753,[1]kanji_data!$A:$N,14,FALSE)</f>
        <v>0</v>
      </c>
    </row>
    <row r="1754">
      <c r="A1754" t="str">
        <v>預</v>
      </c>
      <c r="B1754">
        <v>13</v>
      </c>
      <c r="C1754" t="b">
        <v>1</v>
      </c>
      <c r="D1754" t="str">
        <v>ヨ</v>
      </c>
      <c r="E1754" t="str">
        <v>あず（かる） あず（ける） あらかじ（め）</v>
      </c>
      <c r="F1754">
        <v>0</v>
      </c>
      <c r="G1754" t="str">
        <v>あらかじめ。かねて。前もって。＝予 あずかる。かかわる。関係する。参加する。＝与 あずける。あずかる。人にゆだねる。任せる。また、人のものを保管する。</v>
      </c>
      <c r="I1754">
        <v>10</v>
      </c>
      <c r="J1754">
        <v>50</v>
      </c>
      <c r="K1754">
        <v>50</v>
      </c>
      <c r="L1754">
        <v>1</v>
      </c>
    </row>
    <row r="1755">
      <c r="A1755" t="str">
        <v>蒸</v>
      </c>
      <c r="B1755">
        <v>13</v>
      </c>
      <c r="C1755" t="b">
        <v>1</v>
      </c>
      <c r="D1755" t="str">
        <v>ジョウ</v>
      </c>
      <c r="E1755" t="str">
        <v>む（す） む（らす） む（れる） おお（い） ふ（かす） ふ（ける）</v>
      </c>
      <c r="F1755" t="str">
        <v>すすむ つぐ つまき</v>
      </c>
      <c r="G1755" t="str">
        <v>むす。むらす。むれる。ふかす。ふける。湯気をあてて食べ物などを煮る。 多い。もろもろ。人が多いさま。 おがら。麻がら。 冬のお祭り。</v>
      </c>
      <c r="I1755">
        <v>15</v>
      </c>
      <c r="J1755">
        <v>50</v>
      </c>
      <c r="K1755">
        <v>50</v>
      </c>
      <c r="L1755">
        <v>1</v>
      </c>
    </row>
    <row r="1756">
      <c r="A1756" t="str">
        <v>賀</v>
      </c>
      <c r="B1756">
        <v>12</v>
      </c>
      <c r="C1756" t="b">
        <v>1</v>
      </c>
      <c r="D1756" t="str">
        <v>ガ</v>
      </c>
      <c r="E1756" t="str">
        <v>よろこ（ぶ）</v>
      </c>
      <c r="F1756" t="str">
        <v>しげ のり ます よし より</v>
      </c>
      <c r="G1756" t="str">
        <v>よろこぶ。祝う。 ねぎらう。ほめる。 になう。負う。かつぐ。</v>
      </c>
      <c r="H1756" t="str">
        <v>#幸福</v>
      </c>
      <c r="I1756">
        <v>90</v>
      </c>
      <c r="J1756">
        <v>50</v>
      </c>
      <c r="K1756">
        <v>55</v>
      </c>
      <c r="L1756">
        <v>0</v>
      </c>
      <c r="M1756">
        <f>VLOOKUP(A1756,[1]kanji_data!$A:$N,14,FALSE)</f>
        <v>0</v>
      </c>
    </row>
    <row r="1757">
      <c r="A1757" t="str">
        <v>裏</v>
      </c>
      <c r="B1757">
        <v>13</v>
      </c>
      <c r="C1757" t="b">
        <v>1</v>
      </c>
      <c r="D1757" t="str">
        <v>リ</v>
      </c>
      <c r="E1757" t="str">
        <v>うら うち</v>
      </c>
      <c r="F1757">
        <v>0</v>
      </c>
      <c r="G1757" t="str">
        <v>うら。うちがわ。物のうらがわ。背面。 うち。なか。内部。心の内。心の中。 ・・・のうちに。</v>
      </c>
      <c r="I1757">
        <v>10</v>
      </c>
      <c r="J1757">
        <v>50</v>
      </c>
      <c r="K1757">
        <v>50</v>
      </c>
      <c r="L1757">
        <v>1</v>
      </c>
    </row>
    <row r="1758">
      <c r="A1758" t="str">
        <v>勧</v>
      </c>
      <c r="B1758">
        <v>13</v>
      </c>
      <c r="C1758" t="b">
        <v>1</v>
      </c>
      <c r="D1758" t="str">
        <v>カン ケン</v>
      </c>
      <c r="E1758" t="str">
        <v>すす（める）</v>
      </c>
      <c r="F1758" t="str">
        <v>すすむ ゆき</v>
      </c>
      <c r="G1758" t="str">
        <v>すすめる。事を行うようにすすめる。 すすめる。はげます。力づける。</v>
      </c>
      <c r="I1758">
        <v>15</v>
      </c>
      <c r="J1758">
        <v>65</v>
      </c>
      <c r="K1758">
        <v>55</v>
      </c>
      <c r="L1758">
        <v>0</v>
      </c>
      <c r="M1758">
        <f>VLOOKUP(A1758,[1]kanji_data!$A:$N,14,FALSE)</f>
        <v>0</v>
      </c>
    </row>
    <row r="1759">
      <c r="A1759" t="str">
        <v>証</v>
      </c>
      <c r="B1759">
        <v>12</v>
      </c>
      <c r="C1759" t="b">
        <v>1</v>
      </c>
      <c r="D1759" t="str">
        <v>ショウ</v>
      </c>
      <c r="E1759" t="str">
        <v>あかし あか（し） あか（す）</v>
      </c>
      <c r="F1759">
        <v>0</v>
      </c>
      <c r="G1759" t="str">
        <v>あかす。ありのままを告げる。事実であることを明らかにする。 あかし。しるし。事実を明らかにするためのよりどころ。 病気の様子。病状。 いさめる。あやまちや誤りを指摘し改めるように忠告する。</v>
      </c>
      <c r="H1759" t="str">
        <v>#心・志 #知性</v>
      </c>
      <c r="I1759">
        <v>10</v>
      </c>
      <c r="J1759">
        <v>50</v>
      </c>
      <c r="K1759">
        <v>50</v>
      </c>
      <c r="L1759">
        <v>0</v>
      </c>
      <c r="M1759">
        <f>VLOOKUP(A1759,[1]kanji_data!$A:$N,14,FALSE)</f>
        <v>0</v>
      </c>
    </row>
    <row r="1760">
      <c r="A1760" t="str">
        <v>税</v>
      </c>
      <c r="B1760">
        <v>12</v>
      </c>
      <c r="C1760" t="b">
        <v>1</v>
      </c>
      <c r="D1760" t="str">
        <v>ゼイ セイ</v>
      </c>
      <c r="E1760" t="str">
        <v>みつぎ</v>
      </c>
      <c r="F1760" t="str">
        <v>おさむ ちから</v>
      </c>
      <c r="G1760" t="str">
        <v>みつぎ。年貢。例：税金 取り立てる。徴収する。 解く。取り外す。解き放つ。</v>
      </c>
      <c r="H1760" t="str">
        <v>#天空</v>
      </c>
      <c r="I1760">
        <v>30</v>
      </c>
      <c r="J1760">
        <v>50</v>
      </c>
      <c r="K1760">
        <v>50</v>
      </c>
      <c r="L1760">
        <v>1</v>
      </c>
    </row>
    <row r="1761">
      <c r="A1761" t="str">
        <v>跡</v>
      </c>
      <c r="B1761">
        <v>13</v>
      </c>
      <c r="C1761" t="b">
        <v>1</v>
      </c>
      <c r="D1761" t="str">
        <v>セキ シャク</v>
      </c>
      <c r="E1761" t="str">
        <v>あと あとかた</v>
      </c>
      <c r="F1761">
        <v>0</v>
      </c>
      <c r="G1761" t="str">
        <v>あと。あしあと。あとかた。＝蹟 あとをつける。あとをたどる。＝蹟</v>
      </c>
      <c r="I1761">
        <v>10</v>
      </c>
      <c r="J1761">
        <v>50</v>
      </c>
      <c r="K1761">
        <v>50</v>
      </c>
      <c r="L1761">
        <v>1</v>
      </c>
    </row>
    <row r="1762">
      <c r="A1762" t="str">
        <v>測</v>
      </c>
      <c r="B1762">
        <v>12</v>
      </c>
      <c r="C1762" t="b">
        <v>1</v>
      </c>
      <c r="D1762" t="str">
        <v>ソク</v>
      </c>
      <c r="E1762" t="str">
        <v>はか（る）</v>
      </c>
      <c r="F1762" t="str">
        <v>ひろ ひろし</v>
      </c>
      <c r="G1762" t="str">
        <v>はかる。物の長さ・広さ・深さなどをはかる。 はかる。予想する。推量する。思いはかる。 深い。深さ。水深。</v>
      </c>
      <c r="H1762" t="str">
        <v>#心・志</v>
      </c>
      <c r="I1762">
        <v>5</v>
      </c>
      <c r="J1762">
        <v>55</v>
      </c>
      <c r="K1762">
        <v>55</v>
      </c>
      <c r="L1762">
        <v>1</v>
      </c>
    </row>
    <row r="1763">
      <c r="A1763" t="str">
        <v>属</v>
      </c>
      <c r="B1763">
        <v>12</v>
      </c>
      <c r="C1763" t="b">
        <v>1</v>
      </c>
      <c r="D1763" t="str">
        <v>ゾク ショク</v>
      </c>
      <c r="E1763" t="str">
        <v>つ（く） やから</v>
      </c>
      <c r="F1763">
        <v>0</v>
      </c>
      <c r="G1763" t="str">
        <v>つく。したがう。つきしたがう。 つく。くっつく。 つづく。つづける。 たのむ。まかせる。ゆだねる。 集まる。集める。集まり。 やから。ともがら。仲間。 部下。下役。家来。 さかん。四等官（シトウカン）で、寮・職・坊の第四位。</v>
      </c>
      <c r="H1763" t="str">
        <v>#繁栄 #調和</v>
      </c>
      <c r="I1763">
        <v>10</v>
      </c>
      <c r="J1763">
        <v>50</v>
      </c>
      <c r="K1763">
        <v>50</v>
      </c>
      <c r="L1763">
        <v>1</v>
      </c>
    </row>
    <row r="1764">
      <c r="A1764" t="str">
        <v>僧</v>
      </c>
      <c r="B1764">
        <v>13</v>
      </c>
      <c r="C1764" t="b">
        <v>1</v>
      </c>
      <c r="D1764" t="str">
        <v>ソウ</v>
      </c>
      <c r="E1764">
        <v>0</v>
      </c>
      <c r="F1764">
        <v>0</v>
      </c>
      <c r="G1764" t="str">
        <v>仏道に入った人。法師。僧侶。</v>
      </c>
      <c r="I1764">
        <v>10</v>
      </c>
      <c r="J1764">
        <v>50</v>
      </c>
      <c r="K1764">
        <v>50</v>
      </c>
      <c r="L1764">
        <v>1</v>
      </c>
    </row>
    <row r="1765">
      <c r="A1765" t="str">
        <v>程</v>
      </c>
      <c r="B1765">
        <v>12</v>
      </c>
      <c r="C1765" t="b">
        <v>1</v>
      </c>
      <c r="D1765" t="str">
        <v>テイ</v>
      </c>
      <c r="E1765" t="str">
        <v>ほど のり</v>
      </c>
      <c r="F1765" t="str">
        <v>しな たけ みな</v>
      </c>
      <c r="G1765" t="str">
        <v>のり。決まり。さだめ。規則。 ほど。度合い。ほどあい。 みち。みちのり。みちすじ。一定の長さ。 さだめ。標準。一定の分量。一定の基準。 はかる。度合いをはかる。度合いを調べる。 ほど。ころ。時間。限度。水準。具合。</v>
      </c>
      <c r="H1765" t="str">
        <v>#品格</v>
      </c>
      <c r="I1765">
        <v>10</v>
      </c>
      <c r="J1765">
        <v>70</v>
      </c>
      <c r="K1765">
        <v>60</v>
      </c>
      <c r="L1765">
        <v>0</v>
      </c>
      <c r="M1765">
        <f>VLOOKUP(A1765,[1]kanji_data!$A:$N,14,FALSE)</f>
        <v>0</v>
      </c>
    </row>
    <row r="1766">
      <c r="A1766" t="str">
        <v>嘆</v>
      </c>
      <c r="B1766">
        <v>13</v>
      </c>
      <c r="C1766" t="b">
        <v>1</v>
      </c>
      <c r="D1766" t="str">
        <v>タン</v>
      </c>
      <c r="E1766" t="str">
        <v>なげ（かわしい） なげ（く）</v>
      </c>
      <c r="F1766">
        <v>0</v>
      </c>
      <c r="G1766" t="str">
        <v>なげく。なげかわしい。ため息をついて悲しむ。 深く感心してほめる。ほめたたえる。</v>
      </c>
      <c r="I1766">
        <v>10</v>
      </c>
      <c r="J1766">
        <v>50</v>
      </c>
      <c r="K1766">
        <v>50</v>
      </c>
      <c r="L1766">
        <v>1</v>
      </c>
    </row>
    <row r="1767">
      <c r="A1767" t="str">
        <v>統</v>
      </c>
      <c r="B1767">
        <v>12</v>
      </c>
      <c r="C1767" t="b">
        <v>1</v>
      </c>
      <c r="D1767" t="str">
        <v>トウ</v>
      </c>
      <c r="E1767" t="str">
        <v>す（べる） おさ（める） すじ</v>
      </c>
      <c r="F1767" t="str">
        <v>おさ おさむ かね すみ すめる つづき つな つね のり むね もと</v>
      </c>
      <c r="G1767" t="str">
        <v>すべる。おさめる。一つにまとまる。 すじ。おおすじ。繋がり。 はじめ。糸口。 のり。きまり。</v>
      </c>
      <c r="H1767" t="str">
        <v>#品格 #知性 #調和</v>
      </c>
      <c r="I1767">
        <v>95</v>
      </c>
      <c r="J1767">
        <v>95</v>
      </c>
      <c r="K1767">
        <v>40</v>
      </c>
      <c r="L1767">
        <v>0</v>
      </c>
      <c r="M1767">
        <f>VLOOKUP(A1767,[1]kanji_data!$A:$N,14,FALSE)</f>
        <v>0</v>
      </c>
    </row>
    <row r="1768">
      <c r="A1768" t="str">
        <v>搬</v>
      </c>
      <c r="B1768">
        <v>13</v>
      </c>
      <c r="C1768" t="b">
        <v>1</v>
      </c>
      <c r="D1768" t="str">
        <v>ハン</v>
      </c>
      <c r="E1768" t="str">
        <v>はこ（ぶ）</v>
      </c>
      <c r="F1768">
        <v>0</v>
      </c>
      <c r="G1768" t="str">
        <v>はこぶ。うつす。別の場所に運んで移動させる。</v>
      </c>
      <c r="I1768">
        <v>10</v>
      </c>
      <c r="J1768">
        <v>50</v>
      </c>
      <c r="K1768">
        <v>50</v>
      </c>
      <c r="L1768">
        <v>1</v>
      </c>
    </row>
    <row r="1769">
      <c r="A1769" t="str">
        <v>腰</v>
      </c>
      <c r="B1769">
        <v>13</v>
      </c>
      <c r="C1769" t="b">
        <v>1</v>
      </c>
      <c r="D1769" t="str">
        <v>ヨウ</v>
      </c>
      <c r="E1769" t="str">
        <v>こし</v>
      </c>
      <c r="F1769">
        <v>0</v>
      </c>
      <c r="G1769" t="str">
        <v>こし。背骨と骨盤のつながる部分。 かなめ。物事の重要な部分。 こしにつける。帯びる。こしにする。 こし。物事を押し通す意気。頑張り。ねばり。</v>
      </c>
      <c r="I1769">
        <v>10</v>
      </c>
      <c r="J1769">
        <v>50</v>
      </c>
      <c r="K1769">
        <v>50</v>
      </c>
      <c r="L1769">
        <v>1</v>
      </c>
    </row>
    <row r="1770">
      <c r="A1770" t="str">
        <v>富</v>
      </c>
      <c r="B1770">
        <v>12</v>
      </c>
      <c r="C1770" t="b">
        <v>1</v>
      </c>
      <c r="D1770" t="str">
        <v>フ フウ</v>
      </c>
      <c r="E1770" t="str">
        <v>とみ と（む）</v>
      </c>
      <c r="F1770" t="str">
        <v>さかえ とよ ふく みつる ゆたか よし</v>
      </c>
      <c r="G1770" t="str">
        <v>とむ。多くある。豊かにある。満ち足りている。 とみ。財産。また、豊かさ。</v>
      </c>
      <c r="H1770" t="str">
        <v>#繁栄</v>
      </c>
      <c r="I1770">
        <v>100</v>
      </c>
      <c r="J1770">
        <v>70</v>
      </c>
      <c r="K1770">
        <v>50</v>
      </c>
      <c r="L1770">
        <v>0</v>
      </c>
      <c r="M1770">
        <f>VLOOKUP(A1770,[1]kanji_data!$A:$N,14,FALSE)</f>
        <v>0</v>
      </c>
    </row>
    <row r="1771">
      <c r="A1771" t="str">
        <v>愚</v>
      </c>
      <c r="B1771">
        <v>13</v>
      </c>
      <c r="C1771" t="b">
        <v>1</v>
      </c>
      <c r="D1771" t="str">
        <v>グ</v>
      </c>
      <c r="E1771" t="str">
        <v>おろ（か）</v>
      </c>
      <c r="F1771">
        <v>0</v>
      </c>
      <c r="G1771" t="str">
        <v>おろか。頭の働きがにぶい。 おろかな人。つまらない人。 ばかにする。見下す。見さげる。 自分に関することをへりくだっていうことば。</v>
      </c>
      <c r="I1771">
        <v>10</v>
      </c>
      <c r="J1771">
        <v>50</v>
      </c>
      <c r="K1771">
        <v>50</v>
      </c>
      <c r="L1771">
        <v>1</v>
      </c>
    </row>
    <row r="1772">
      <c r="A1772" t="str">
        <v>摂</v>
      </c>
      <c r="B1772">
        <v>13</v>
      </c>
      <c r="C1772" t="b">
        <v>1</v>
      </c>
      <c r="D1772" t="str">
        <v>セツ ショウ</v>
      </c>
      <c r="E1772" t="str">
        <v>か（ねる） か（わる） と（る）</v>
      </c>
      <c r="F1772">
        <v>0</v>
      </c>
      <c r="G1772" t="str">
        <v>とる。おさめる。取り入れる。 とる。持つ。手に持つ。 かねる。かけもつ。あわせもつ。 かわる。代行する。代理をつとめる。 はさまる。はさまれる。</v>
      </c>
      <c r="I1772">
        <v>10</v>
      </c>
      <c r="J1772">
        <v>50</v>
      </c>
      <c r="K1772">
        <v>50</v>
      </c>
      <c r="L1772">
        <v>1</v>
      </c>
    </row>
    <row r="1773">
      <c r="A1773" t="str">
        <v>賊</v>
      </c>
      <c r="B1773">
        <v>13</v>
      </c>
      <c r="C1773" t="b">
        <v>1</v>
      </c>
      <c r="D1773" t="str">
        <v>ゾク</v>
      </c>
      <c r="E1773" t="str">
        <v>そこ（なう） わるもの</v>
      </c>
      <c r="F1773">
        <v>0</v>
      </c>
      <c r="G1773" t="str">
        <v>そこなう。害する。きずつける。やぶる。 ぬすびと。ぬすむ。 わるもの。ぞく。悪人。 謀反する。攻め寄せる。</v>
      </c>
      <c r="I1773">
        <v>10</v>
      </c>
      <c r="J1773">
        <v>50</v>
      </c>
      <c r="K1773">
        <v>50</v>
      </c>
      <c r="L1773">
        <v>1</v>
      </c>
    </row>
    <row r="1774">
      <c r="A1774" t="str">
        <v>塗</v>
      </c>
      <c r="B1774">
        <v>13</v>
      </c>
      <c r="C1774" t="b">
        <v>1</v>
      </c>
      <c r="D1774" t="str">
        <v>ト</v>
      </c>
      <c r="E1774" t="str">
        <v>ぬ（る） どろ まぶ（す） まみ（れる） みち</v>
      </c>
      <c r="F1774">
        <v>0</v>
      </c>
      <c r="G1774" t="str">
        <v>ぬる。液状のものを伸ばしてぬる。 どろ。「塗炭」は泥と炭。転じてきたないもの。 まみれる。よごれる。 みち。道路。 まぶす。全体にぬりつける。</v>
      </c>
      <c r="I1774">
        <v>10</v>
      </c>
      <c r="J1774">
        <v>50</v>
      </c>
      <c r="K1774">
        <v>50</v>
      </c>
      <c r="L1774">
        <v>1</v>
      </c>
    </row>
    <row r="1775">
      <c r="A1775" t="str">
        <v>貴</v>
      </c>
      <c r="B1775">
        <v>12</v>
      </c>
      <c r="C1775" t="b">
        <v>1</v>
      </c>
      <c r="D1775" t="str">
        <v>キ</v>
      </c>
      <c r="E1775" t="str">
        <v>たっと（い） たっと（ぶ） とうと（い） とうと（ぶ） たか（い）</v>
      </c>
      <c r="F1775" t="str">
        <v>あつ たか たかし たけ むち もとむ よし</v>
      </c>
      <c r="G1775" t="str">
        <v>たっとい。とうとい。身分が高い。価値が高い。地位が高い。 たっとぶ。とうとぶ。うやまう。おもんじる。尊敬する。 尊敬の意を表す接頭語。</v>
      </c>
      <c r="H1775" t="str">
        <v>#品格</v>
      </c>
      <c r="I1775">
        <v>100</v>
      </c>
      <c r="J1775">
        <v>65</v>
      </c>
      <c r="K1775">
        <v>65</v>
      </c>
      <c r="L1775">
        <v>0</v>
      </c>
      <c r="M1775">
        <f>VLOOKUP(A1775,[1]kanji_data!$A:$N,14,FALSE)</f>
        <v>0</v>
      </c>
    </row>
    <row r="1776">
      <c r="A1776" t="str">
        <v>筋</v>
      </c>
      <c r="B1776">
        <v>12</v>
      </c>
      <c r="C1776" t="b">
        <v>1</v>
      </c>
      <c r="D1776" t="str">
        <v>キン</v>
      </c>
      <c r="E1776" t="str">
        <v>すじ</v>
      </c>
      <c r="F1776">
        <v>0</v>
      </c>
      <c r="G1776" t="str">
        <v>すじ。体内に通っているすじ。また、細くひと続きになったもの。 体力。ちから。 血統。血のつながり。素質。 道理。条理。あらまし。あらすじ。仕組み。趣向。</v>
      </c>
      <c r="H1776" t="str">
        <v>#勇気 #知性</v>
      </c>
      <c r="I1776">
        <v>10</v>
      </c>
      <c r="J1776">
        <v>50</v>
      </c>
      <c r="K1776">
        <v>50</v>
      </c>
      <c r="L1776">
        <v>1</v>
      </c>
    </row>
    <row r="1777">
      <c r="A1777" t="str">
        <v>勤</v>
      </c>
      <c r="B1777">
        <v>12</v>
      </c>
      <c r="C1777" t="b">
        <v>1</v>
      </c>
      <c r="D1777" t="str">
        <v>キン ゴン</v>
      </c>
      <c r="E1777" t="str">
        <v>つと（まる） つと（める） いそ（しむ） つと（め）</v>
      </c>
      <c r="F1777" t="str">
        <v>いそ いそし すすむ つとむ とし のり ゆき</v>
      </c>
      <c r="G1777" t="str">
        <v>つとまる。つとめる。いそしむ。仕事をする。 つとめ。仕事。役目。 ねぎらう。苦労をいたわる。</v>
      </c>
      <c r="H1777" t="str">
        <v>#慈愛</v>
      </c>
      <c r="I1777">
        <v>60</v>
      </c>
      <c r="J1777">
        <v>75</v>
      </c>
      <c r="K1777">
        <v>45</v>
      </c>
      <c r="L1777">
        <v>0</v>
      </c>
      <c r="M1777">
        <f>VLOOKUP(A1777,[1]kanji_data!$A:$N,14,FALSE)</f>
        <v>0</v>
      </c>
    </row>
    <row r="1778">
      <c r="A1778" t="str">
        <v>敬</v>
      </c>
      <c r="B1778">
        <v>12</v>
      </c>
      <c r="C1778" t="b">
        <v>1</v>
      </c>
      <c r="D1778" t="str">
        <v>ケイ キョウ</v>
      </c>
      <c r="E1778" t="str">
        <v>うやま（う） つつし（む）</v>
      </c>
      <c r="F1778" t="str">
        <v>あき たか たかし とし のり ひろ よし</v>
      </c>
      <c r="G1778" t="str">
        <v>うやまう。とうとぶ。たっとぶ。 つつしむ。うやうやしくかしこまる。</v>
      </c>
      <c r="H1778" t="str">
        <v>#品格 #心・志</v>
      </c>
      <c r="I1778">
        <v>100</v>
      </c>
      <c r="J1778">
        <v>55</v>
      </c>
      <c r="K1778">
        <v>65</v>
      </c>
      <c r="L1778">
        <v>0</v>
      </c>
      <c r="M1778">
        <f>VLOOKUP(A1778,[1]kanji_data!$A:$N,14,FALSE)</f>
        <v>0</v>
      </c>
    </row>
    <row r="1779">
      <c r="A1779" t="str">
        <v>裁</v>
      </c>
      <c r="B1779">
        <v>12</v>
      </c>
      <c r="C1779" t="b">
        <v>1</v>
      </c>
      <c r="D1779" t="str">
        <v>サイ</v>
      </c>
      <c r="E1779" t="str">
        <v>さば（く） た（つ）</v>
      </c>
      <c r="F1779">
        <v>0</v>
      </c>
      <c r="G1779" t="str">
        <v>たつ。たち切る。仕立てる。布地をたち切って衣服を仕立てる。 きりもりする。 さばく。善悪の判断をする。例：裁判 様子。かた。かたち。 やっと。はじめて。ちょうど。 わずかに。</v>
      </c>
      <c r="H1779" t="str">
        <v>#天空 #知性</v>
      </c>
      <c r="I1779">
        <v>10</v>
      </c>
      <c r="J1779">
        <v>50</v>
      </c>
      <c r="K1779">
        <v>50</v>
      </c>
      <c r="L1779">
        <v>1</v>
      </c>
    </row>
    <row r="1780">
      <c r="A1780" t="str">
        <v>策</v>
      </c>
      <c r="B1780">
        <v>12</v>
      </c>
      <c r="C1780" t="b">
        <v>1</v>
      </c>
      <c r="D1780" t="str">
        <v>サク</v>
      </c>
      <c r="E1780" t="str">
        <v>つえ はかりごと ふだ むち</v>
      </c>
      <c r="F1780" t="str">
        <v>かず つか はかる もり</v>
      </c>
      <c r="G1780" t="str">
        <v>つえ。つえつく。 はかりごと。くわだて。計画。計略。 ふだ。かきつけ。紙のない時代に文字をしるした竹の札。 むち。馬をうつむち。むちうつ。 王命を伝える命令書。 文体のひとつ。 書法「永字八法」の一つ。筆画の提。右斜め上に向かうはねのこと。</v>
      </c>
      <c r="H1780" t="str">
        <v>#自然</v>
      </c>
      <c r="I1780">
        <v>5</v>
      </c>
      <c r="J1780">
        <v>60</v>
      </c>
      <c r="K1780">
        <v>60</v>
      </c>
      <c r="L1780">
        <v>0</v>
      </c>
      <c r="M1780">
        <f>VLOOKUP(A1780,[1]kanji_data!$A:$N,14,FALSE)</f>
        <v>0</v>
      </c>
    </row>
    <row r="1781">
      <c r="A1781" t="str">
        <v>裸</v>
      </c>
      <c r="B1781">
        <v>13</v>
      </c>
      <c r="C1781" t="b">
        <v>1</v>
      </c>
      <c r="D1781" t="str">
        <v>ラ</v>
      </c>
      <c r="E1781" t="str">
        <v>はだか</v>
      </c>
      <c r="F1781">
        <v>0</v>
      </c>
      <c r="G1781" t="str">
        <v>はだか。あかはだか。むきだし。 はだかにする。はだかになる。はだぬぐ。</v>
      </c>
      <c r="I1781">
        <v>10</v>
      </c>
      <c r="J1781">
        <v>50</v>
      </c>
      <c r="K1781">
        <v>50</v>
      </c>
      <c r="L1781">
        <v>1</v>
      </c>
    </row>
    <row r="1782">
      <c r="A1782" t="str">
        <v>靴</v>
      </c>
      <c r="B1782">
        <v>13</v>
      </c>
      <c r="C1782" t="b">
        <v>1</v>
      </c>
      <c r="D1782" t="str">
        <v>カ</v>
      </c>
      <c r="E1782" t="str">
        <v>くつ</v>
      </c>
      <c r="F1782">
        <v>0</v>
      </c>
      <c r="G1782" t="str">
        <v>くつ。かわぐつ。革で作ったはきもの。</v>
      </c>
      <c r="I1782">
        <v>10</v>
      </c>
      <c r="J1782">
        <v>50</v>
      </c>
      <c r="K1782">
        <v>50</v>
      </c>
      <c r="L1782">
        <v>1</v>
      </c>
    </row>
    <row r="1783">
      <c r="A1783" t="str">
        <v>頑</v>
      </c>
      <c r="B1783">
        <v>13</v>
      </c>
      <c r="C1783" t="b">
        <v>1</v>
      </c>
      <c r="D1783" t="str">
        <v>ガン</v>
      </c>
      <c r="E1783" t="str">
        <v>かたくな</v>
      </c>
      <c r="F1783">
        <v>0</v>
      </c>
      <c r="G1783" t="str">
        <v>かたくな。融通がきかない。 にぶい。おろか。道理にくらい。 じょうぶ。しっかりしている。 もてあそぶ。＝玩・翫</v>
      </c>
      <c r="I1783">
        <v>10</v>
      </c>
      <c r="J1783">
        <v>85</v>
      </c>
      <c r="K1783">
        <v>30</v>
      </c>
      <c r="L1783">
        <v>0</v>
      </c>
      <c r="M1783">
        <f>VLOOKUP(A1783,[1]kanji_data!$A:$N,14,FALSE)</f>
        <v>0</v>
      </c>
    </row>
    <row r="1784">
      <c r="A1784" t="str">
        <v>善</v>
      </c>
      <c r="B1784">
        <v>12</v>
      </c>
      <c r="C1784" t="b">
        <v>1</v>
      </c>
      <c r="D1784" t="str">
        <v>ゼン セン</v>
      </c>
      <c r="E1784" t="str">
        <v>よ（い）</v>
      </c>
      <c r="F1784" t="str">
        <v>さ ただし たる まさ まさる よし</v>
      </c>
      <c r="G1784" t="str">
        <v>よい。めでたい。すぐれている。立派な。 よく。よくする。立派に。みごとに。 よいこと。よい行い。よい行動。 よいとする。よしとする。よくする。認める。 大事にする。丁寧にする。 仲良くする。むつまじくする。</v>
      </c>
      <c r="H1784" t="str">
        <v>#品格 #幸福 #調和</v>
      </c>
      <c r="I1784">
        <v>100</v>
      </c>
      <c r="J1784">
        <v>65</v>
      </c>
      <c r="K1784">
        <v>55</v>
      </c>
      <c r="L1784">
        <v>0</v>
      </c>
      <c r="M1784">
        <f>VLOOKUP(A1784,[1]kanji_data!$A:$N,14,FALSE)</f>
        <v>0</v>
      </c>
    </row>
    <row r="1785">
      <c r="A1785" t="str">
        <v>嫌</v>
      </c>
      <c r="B1785">
        <v>13</v>
      </c>
      <c r="C1785" t="b">
        <v>1</v>
      </c>
      <c r="D1785" t="str">
        <v>ケン ゲン</v>
      </c>
      <c r="E1785" t="str">
        <v>いや きら（う） うたが（う）</v>
      </c>
      <c r="F1785">
        <v>0</v>
      </c>
      <c r="G1785" t="str">
        <v>きらう。いや。いやがる。にくむ。 うたがう。うたがわしく思う。</v>
      </c>
      <c r="I1785">
        <v>10</v>
      </c>
      <c r="J1785">
        <v>50</v>
      </c>
      <c r="K1785">
        <v>50</v>
      </c>
      <c r="L1785">
        <v>1</v>
      </c>
    </row>
    <row r="1786">
      <c r="A1786" t="str">
        <v>碁</v>
      </c>
      <c r="B1786">
        <v>13</v>
      </c>
      <c r="C1786" t="b">
        <v>1</v>
      </c>
      <c r="D1786" t="str">
        <v>ゴ キ</v>
      </c>
      <c r="E1786">
        <v>0</v>
      </c>
      <c r="F1786">
        <v>0</v>
      </c>
      <c r="G1786" t="str">
        <v>ご。囲碁。石を用いて陣地を取り合う遊戯。</v>
      </c>
      <c r="I1786">
        <v>10</v>
      </c>
      <c r="J1786">
        <v>50</v>
      </c>
      <c r="K1786">
        <v>50</v>
      </c>
      <c r="L1786">
        <v>1</v>
      </c>
    </row>
    <row r="1787">
      <c r="A1787" t="str">
        <v>尊</v>
      </c>
      <c r="B1787">
        <v>12</v>
      </c>
      <c r="C1787" t="b">
        <v>1</v>
      </c>
      <c r="D1787" t="str">
        <v>ソン</v>
      </c>
      <c r="E1787" t="str">
        <v>たっと（い） たっと（ぶ） とうと（い） とうと（ぶ） みこと</v>
      </c>
      <c r="F1787" t="str">
        <v>そ たか たかし たけ たける</v>
      </c>
      <c r="G1787" t="str">
        <v>たっとい。とうとい。身分や価値などが高い。敬うべきである。 たっとぶ。とうとぶ。敬う。大切にする。 相手に対して尊敬の意を表すことば。 酒だる。酒を入れる器。 みこと。神や貴人を敬うことば。</v>
      </c>
      <c r="H1787" t="str">
        <v>#品格 #心・志 #慈愛</v>
      </c>
      <c r="I1787">
        <v>100</v>
      </c>
      <c r="J1787">
        <v>65</v>
      </c>
      <c r="K1787">
        <v>65</v>
      </c>
      <c r="L1787">
        <v>0</v>
      </c>
      <c r="M1787">
        <f>VLOOKUP(A1787,[1]kanji_data!$A:$N,14,FALSE)</f>
        <v>0</v>
      </c>
    </row>
    <row r="1788">
      <c r="A1788" t="str">
        <v>痛</v>
      </c>
      <c r="B1788">
        <v>12</v>
      </c>
      <c r="C1788" t="b">
        <v>1</v>
      </c>
      <c r="D1788" t="str">
        <v>ツウ トウ</v>
      </c>
      <c r="E1788" t="str">
        <v>いた（い） いた（む） いた（める） いた（わしい） や（める）</v>
      </c>
      <c r="F1788">
        <v>0</v>
      </c>
      <c r="G1788" t="str">
        <v>いたむ。いたみ。いためる。傷つきいたむ。苦しむ。苦しみ。 いたましい。いたわしい。 いたく。きびしく。はげしく。ひどく。非常に。 いたむ。くさる。破損する。損害が大きい。</v>
      </c>
      <c r="H1788" t="str">
        <v>#慈愛</v>
      </c>
      <c r="I1788">
        <v>10</v>
      </c>
      <c r="J1788">
        <v>50</v>
      </c>
      <c r="K1788">
        <v>50</v>
      </c>
      <c r="L1788">
        <v>1</v>
      </c>
    </row>
    <row r="1789">
      <c r="A1789" t="str">
        <v>晩</v>
      </c>
      <c r="B1789">
        <v>12</v>
      </c>
      <c r="C1789" t="b">
        <v>1</v>
      </c>
      <c r="D1789" t="str">
        <v>バン</v>
      </c>
      <c r="E1789" t="str">
        <v>おそ（い） く（れ）</v>
      </c>
      <c r="F1789">
        <v>0</v>
      </c>
      <c r="G1789" t="str">
        <v>くれ。日ぐれ。夕ぐれ。夕方から夜にかけての時間。 おそい。時間や時期がおそい。</v>
      </c>
      <c r="H1789" t="str">
        <v>#天空</v>
      </c>
      <c r="I1789">
        <v>10</v>
      </c>
      <c r="J1789">
        <v>50</v>
      </c>
      <c r="K1789">
        <v>50</v>
      </c>
      <c r="L1789">
        <v>1</v>
      </c>
    </row>
    <row r="1790">
      <c r="A1790" t="str">
        <v>塑</v>
      </c>
      <c r="B1790">
        <v>13</v>
      </c>
      <c r="C1790" t="b">
        <v>1</v>
      </c>
      <c r="D1790" t="str">
        <v>ソ</v>
      </c>
      <c r="E1790" t="str">
        <v>でく</v>
      </c>
      <c r="F1790">
        <v>0</v>
      </c>
      <c r="G1790" t="str">
        <v>でく。土でつくられた人形。 土をこねたり削ったりして物をつくる。</v>
      </c>
      <c r="I1790">
        <v>10</v>
      </c>
      <c r="J1790">
        <v>50</v>
      </c>
      <c r="K1790">
        <v>50</v>
      </c>
      <c r="L1790">
        <v>1</v>
      </c>
    </row>
    <row r="1791">
      <c r="A1791" t="str">
        <v>痴</v>
      </c>
      <c r="B1791">
        <v>13</v>
      </c>
      <c r="C1791" t="b">
        <v>1</v>
      </c>
      <c r="D1791" t="str">
        <v>チ</v>
      </c>
      <c r="E1791" t="str">
        <v>おこ おろ（か） し（れる）</v>
      </c>
      <c r="F1791">
        <v>0</v>
      </c>
      <c r="G1791" t="str">
        <v>おろか。にぶい。おろかもの。しれもの。 一つの物に夢中になること。熱中してほかの事に目がいかないこと。 三毒の一つ。迷い。</v>
      </c>
      <c r="I1791">
        <v>10</v>
      </c>
      <c r="J1791">
        <v>50</v>
      </c>
      <c r="K1791">
        <v>50</v>
      </c>
      <c r="L1791">
        <v>1</v>
      </c>
    </row>
    <row r="1792">
      <c r="A1792" t="str">
        <v>艇</v>
      </c>
      <c r="B1792">
        <v>13</v>
      </c>
      <c r="C1792" t="b">
        <v>1</v>
      </c>
      <c r="D1792" t="str">
        <v>テイ</v>
      </c>
      <c r="E1792" t="str">
        <v>こぶね</v>
      </c>
      <c r="F1792">
        <v>0</v>
      </c>
      <c r="G1792" t="str">
        <v>こぶね。細長いふね。ボート。</v>
      </c>
      <c r="I1792">
        <v>10</v>
      </c>
      <c r="J1792">
        <v>50</v>
      </c>
      <c r="K1792">
        <v>50</v>
      </c>
      <c r="L1792">
        <v>1</v>
      </c>
    </row>
    <row r="1793">
      <c r="A1793" t="str">
        <v>偉</v>
      </c>
      <c r="B1793">
        <v>12</v>
      </c>
      <c r="C1793" t="b">
        <v>1</v>
      </c>
      <c r="D1793" t="str">
        <v>イ</v>
      </c>
      <c r="E1793" t="str">
        <v>えら（い） すぐ（れる）</v>
      </c>
      <c r="F1793" t="str">
        <v>いさむ えら おおい たけ より</v>
      </c>
      <c r="G1793" t="str">
        <v>えらい。すぐれる。すぐれている。立派。 大きい。大きくて立派。さかんな。</v>
      </c>
      <c r="H1793" t="str">
        <v>#品格 #繁栄</v>
      </c>
      <c r="I1793">
        <v>90</v>
      </c>
      <c r="J1793">
        <v>100</v>
      </c>
      <c r="K1793">
        <v>30</v>
      </c>
      <c r="L1793">
        <v>0</v>
      </c>
      <c r="M1793">
        <f>VLOOKUP(A1793,[1]kanji_data!$A:$N,14,FALSE)</f>
        <v>0</v>
      </c>
    </row>
    <row r="1794">
      <c r="A1794" t="str">
        <v>越</v>
      </c>
      <c r="B1794">
        <v>12</v>
      </c>
      <c r="C1794" t="b">
        <v>1</v>
      </c>
      <c r="D1794" t="str">
        <v>エツ オチ オツ</v>
      </c>
      <c r="E1794" t="str">
        <v>こ（える） こ（す） こし</v>
      </c>
      <c r="F1794" t="str">
        <v>お こえ こゆる わたる</v>
      </c>
      <c r="G1794" t="str">
        <v>こえる。こす。のりこえる。ふみこえる。度をこす。 遠ざかる。離れる。遠い。回りくどい。 落ちる。つまずく。 散る。散らす。ちりじりになる。 春秋戦国時代の国名。 南方の異民族の名。 瑟（しつ、琴の一種）の下部にある孔（あな）。 草の名。 括る。 こし。こしのくに。北陸地方の古い呼称。 国名。「越南（べとなむ）」の略。</v>
      </c>
      <c r="H1794" t="str">
        <v>#繁栄</v>
      </c>
      <c r="I1794">
        <v>15</v>
      </c>
      <c r="J1794">
        <v>100</v>
      </c>
      <c r="K1794">
        <v>30</v>
      </c>
      <c r="L1794">
        <v>0</v>
      </c>
      <c r="M1794">
        <f>VLOOKUP(A1794,[1]kanji_data!$A:$N,14,FALSE)</f>
        <v>0</v>
      </c>
    </row>
    <row r="1795">
      <c r="A1795" t="str">
        <v>援</v>
      </c>
      <c r="B1795">
        <v>12</v>
      </c>
      <c r="C1795" t="b">
        <v>1</v>
      </c>
      <c r="D1795" t="str">
        <v>エン</v>
      </c>
      <c r="E1795" t="str">
        <v>たす（ける） ひ（く）</v>
      </c>
      <c r="F1795">
        <v>0</v>
      </c>
      <c r="G1795" t="str">
        <v>たすける。手をさしのべてたすける。 ひく。ひっぱる。引き上げる。</v>
      </c>
      <c r="H1795" t="str">
        <v>#慈愛</v>
      </c>
      <c r="I1795">
        <v>10</v>
      </c>
      <c r="J1795">
        <v>35</v>
      </c>
      <c r="K1795">
        <v>70</v>
      </c>
      <c r="L1795">
        <v>0</v>
      </c>
      <c r="M1795">
        <f>VLOOKUP(A1795,[1]kanji_data!$A:$N,14,FALSE)</f>
        <v>0</v>
      </c>
    </row>
    <row r="1796">
      <c r="A1796" t="str">
        <v>奥</v>
      </c>
      <c r="B1796">
        <v>12</v>
      </c>
      <c r="C1796" t="b">
        <v>1</v>
      </c>
      <c r="D1796" t="str">
        <v>オウ イク</v>
      </c>
      <c r="E1796" t="str">
        <v>おく くま</v>
      </c>
      <c r="F1796">
        <v>0</v>
      </c>
      <c r="G1796" t="str">
        <v>部屋の南西のすみ。神を祭る場所。 家の奥のほうにある部屋。 おく。おく深く入りこんだ場所。また、そのような事柄。 くま。川などが曲がって入りくんだところ。 あたたか。あたたかい。＝燠 おく。夫人。他人（特に身分の高い人）の妻。 「陸奥（むつ・みちのく）」の略。</v>
      </c>
      <c r="H1796" t="str">
        <v>#海・水</v>
      </c>
      <c r="I1796">
        <v>10</v>
      </c>
      <c r="J1796">
        <v>55</v>
      </c>
      <c r="K1796">
        <v>60</v>
      </c>
      <c r="L1796">
        <v>1</v>
      </c>
    </row>
    <row r="1797">
      <c r="A1797" t="str">
        <v>幾</v>
      </c>
      <c r="B1797">
        <v>12</v>
      </c>
      <c r="C1797" t="b">
        <v>1</v>
      </c>
      <c r="D1797" t="str">
        <v>キ</v>
      </c>
      <c r="E1797" t="str">
        <v>いく きざ（し） こいねが（う） ほとん（ど）</v>
      </c>
      <c r="F1797" t="str">
        <v>おき ちか ちかし のり ふさ</v>
      </c>
      <c r="G1797" t="str">
        <v>「いく」「いくばく」と読み、「どれくらい」「どれほど」と程度を問う意を表す。 きざし。前兆。気配。 ほとんど。もう少しで。もう少しのところで。 こいねがう。ねがう。希望する。</v>
      </c>
      <c r="H1797" t="str">
        <v>#繁栄</v>
      </c>
      <c r="I1797">
        <v>30</v>
      </c>
      <c r="J1797">
        <v>50</v>
      </c>
      <c r="K1797">
        <v>50</v>
      </c>
      <c r="L1797">
        <v>1</v>
      </c>
    </row>
    <row r="1798">
      <c r="A1798" t="str">
        <v>距</v>
      </c>
      <c r="B1798">
        <v>12</v>
      </c>
      <c r="C1798" t="b">
        <v>1</v>
      </c>
      <c r="D1798" t="str">
        <v>キョ</v>
      </c>
      <c r="E1798" t="str">
        <v>けづめ ふせ（ぐ） へだ（てる）</v>
      </c>
      <c r="F1798">
        <v>0</v>
      </c>
      <c r="G1798" t="str">
        <v>けづめ。鶏などの足の後ろのつめ。 へだてる。へだたる。間をおく。 防ぐ。こばむ。閉じる。 たがう。食い違う。 とびあがる。とびこえる。 至る。行きつく。 去る。</v>
      </c>
      <c r="H1798" t="str">
        <v>#天空</v>
      </c>
      <c r="I1798">
        <v>10</v>
      </c>
      <c r="J1798">
        <v>50</v>
      </c>
      <c r="K1798">
        <v>50</v>
      </c>
      <c r="L1798">
        <v>1</v>
      </c>
    </row>
    <row r="1799">
      <c r="A1799" t="str">
        <v>御</v>
      </c>
      <c r="B1799">
        <v>12</v>
      </c>
      <c r="C1799" t="b">
        <v>1</v>
      </c>
      <c r="D1799" t="str">
        <v>ギョ ゴ</v>
      </c>
      <c r="E1799" t="str">
        <v>おん お おさ（める） み</v>
      </c>
      <c r="F1799">
        <v>0</v>
      </c>
      <c r="G1799" t="str">
        <v>おさめる。安定させる。統治する。 馬や馬車を思い通りに操る。また、その人。 はべる。天子のそばに仕える。 天子・諸侯の行いや所有する物につけて敬意を表すことば。 ふせぐ。ふせぎとめる。まもる。 おん。お。み。ご。相手に関することにつけて敬意を表すことば。 おん。お。み。ご。物や動作につけて丁寧の意を表すことば。</v>
      </c>
      <c r="H1799" t="str">
        <v>#心・志</v>
      </c>
      <c r="I1799">
        <v>10</v>
      </c>
      <c r="J1799">
        <v>70</v>
      </c>
      <c r="K1799">
        <v>55</v>
      </c>
      <c r="L1799">
        <v>1</v>
      </c>
    </row>
    <row r="1800">
      <c r="A1800" t="str">
        <v>堅</v>
      </c>
      <c r="B1800">
        <v>12</v>
      </c>
      <c r="C1800" t="b">
        <v>1</v>
      </c>
      <c r="D1800" t="str">
        <v>ケン</v>
      </c>
      <c r="E1800" t="str">
        <v>かた（い）</v>
      </c>
      <c r="F1800" t="str">
        <v>かたし たか つよし み よし</v>
      </c>
      <c r="G1800" t="str">
        <v>かたい。つよい。しっかりしている。 かたくする。しっかりする。</v>
      </c>
      <c r="H1800" t="str">
        <v>#勇気 #心・志</v>
      </c>
      <c r="I1800">
        <v>100</v>
      </c>
      <c r="J1800">
        <v>95</v>
      </c>
      <c r="K1800">
        <v>30</v>
      </c>
      <c r="L1800">
        <v>0</v>
      </c>
      <c r="M1800">
        <f>VLOOKUP(A1800,[1]kanji_data!$A:$N,14,FALSE)</f>
        <v>0</v>
      </c>
    </row>
    <row r="1801">
      <c r="A1801" t="str">
        <v>鉢</v>
      </c>
      <c r="B1801">
        <v>13</v>
      </c>
      <c r="C1801" t="b">
        <v>1</v>
      </c>
      <c r="D1801" t="str">
        <v>ハチ ハツ</v>
      </c>
      <c r="E1801">
        <v>0</v>
      </c>
      <c r="F1801">
        <v>0</v>
      </c>
      <c r="G1801" t="str">
        <v>はち。深くて大きい皿。 はち。僧侶が使う食器。 はち。植木鉢。 はち。人の頭。頭蓋骨。 はち。兜の頂部をおおう部分。</v>
      </c>
      <c r="I1801">
        <v>10</v>
      </c>
      <c r="J1801">
        <v>50</v>
      </c>
      <c r="K1801">
        <v>50</v>
      </c>
      <c r="L1801">
        <v>1</v>
      </c>
    </row>
    <row r="1802">
      <c r="A1802" t="str">
        <v>項</v>
      </c>
      <c r="B1802">
        <v>12</v>
      </c>
      <c r="C1802" t="b">
        <v>1</v>
      </c>
      <c r="D1802" t="str">
        <v>コウ</v>
      </c>
      <c r="E1802" t="str">
        <v>うなじ</v>
      </c>
      <c r="F1802">
        <v>0</v>
      </c>
      <c r="G1802" t="str">
        <v>うなじ。首すじ。首の後ろ部分。 ことがら。一つ一つの事柄。物事を細かく分類したもの。 数式や数列を組み立てる要素。</v>
      </c>
      <c r="H1802" t="str">
        <v>#天空</v>
      </c>
      <c r="I1802">
        <v>10</v>
      </c>
      <c r="J1802">
        <v>50</v>
      </c>
      <c r="K1802">
        <v>50</v>
      </c>
      <c r="L1802">
        <v>1</v>
      </c>
    </row>
    <row r="1803">
      <c r="A1803" t="str">
        <v>紫</v>
      </c>
      <c r="B1803">
        <v>12</v>
      </c>
      <c r="C1803" t="b">
        <v>1</v>
      </c>
      <c r="D1803" t="str">
        <v>シ</v>
      </c>
      <c r="E1803" t="str">
        <v>むらさき</v>
      </c>
      <c r="F1803" t="str">
        <v>むら</v>
      </c>
      <c r="G1803" t="str">
        <v>むらさき。色の名。赤と青を混ぜ合わせた色。 むらさき。醤油のこと。</v>
      </c>
      <c r="H1803" t="str">
        <v>#花・彩</v>
      </c>
      <c r="I1803">
        <v>70</v>
      </c>
      <c r="J1803">
        <v>20</v>
      </c>
      <c r="K1803">
        <v>100</v>
      </c>
      <c r="L1803">
        <v>0</v>
      </c>
      <c r="M1803">
        <f>VLOOKUP(A1803,[1]kanji_data!$A:$N,14,FALSE)</f>
        <v>0</v>
      </c>
    </row>
    <row r="1804">
      <c r="A1804" t="str">
        <v>酪</v>
      </c>
      <c r="B1804">
        <v>13</v>
      </c>
      <c r="C1804" t="b">
        <v>1</v>
      </c>
      <c r="D1804" t="str">
        <v>ラク</v>
      </c>
      <c r="E1804" t="str">
        <v>ちちしる</v>
      </c>
      <c r="F1804">
        <v>0</v>
      </c>
      <c r="G1804" t="str">
        <v>ちちしる。牛や羊などの乳からつくった飲料。また、ミルク・バター・チーズなどの乳製品。 果汁からつくった飲料。</v>
      </c>
      <c r="I1804">
        <v>10</v>
      </c>
      <c r="J1804">
        <v>50</v>
      </c>
      <c r="K1804">
        <v>50</v>
      </c>
      <c r="L1804">
        <v>1</v>
      </c>
    </row>
    <row r="1805">
      <c r="A1805" t="str">
        <v>賄</v>
      </c>
      <c r="B1805">
        <v>13</v>
      </c>
      <c r="C1805" t="b">
        <v>1</v>
      </c>
      <c r="D1805" t="str">
        <v>ワイ カイ</v>
      </c>
      <c r="E1805" t="str">
        <v>まかな（う） まいな（う）</v>
      </c>
      <c r="F1805">
        <v>0</v>
      </c>
      <c r="G1805" t="str">
        <v>宝。財貨。 まいなう。金品などを贈る。 まいない。贈り物。わいろ。 まかなう。食事の世話をする。きりもりする。やりくりする。</v>
      </c>
      <c r="I1805">
        <v>10</v>
      </c>
      <c r="J1805">
        <v>50</v>
      </c>
      <c r="K1805">
        <v>50</v>
      </c>
      <c r="L1805">
        <v>1</v>
      </c>
    </row>
    <row r="1806">
      <c r="A1806" t="str">
        <v>殖</v>
      </c>
      <c r="B1806">
        <v>12</v>
      </c>
      <c r="C1806" t="b">
        <v>1</v>
      </c>
      <c r="D1806" t="str">
        <v>ショク</v>
      </c>
      <c r="E1806" t="str">
        <v>ふ（える） ふ（やす）</v>
      </c>
      <c r="F1806">
        <v>0</v>
      </c>
      <c r="G1806" t="str">
        <v>ふえる。ふやす。動植物がふえる。そだつ。また、財産などがふえる。 うえる。草木をうえつける。＝植</v>
      </c>
      <c r="H1806" t="str">
        <v>#自然</v>
      </c>
      <c r="I1806">
        <v>10</v>
      </c>
      <c r="J1806">
        <v>65</v>
      </c>
      <c r="K1806">
        <v>45</v>
      </c>
      <c r="L1806">
        <v>0</v>
      </c>
      <c r="M1806">
        <f>VLOOKUP(A1806,[1]kanji_data!$A:$N,14,FALSE)</f>
        <v>0</v>
      </c>
    </row>
    <row r="1807">
      <c r="A1807" t="str">
        <v>尋</v>
      </c>
      <c r="B1807">
        <v>12</v>
      </c>
      <c r="C1807" t="b">
        <v>1</v>
      </c>
      <c r="D1807" t="str">
        <v>ジン</v>
      </c>
      <c r="E1807" t="str">
        <v>たず（ねる） つね ひろ</v>
      </c>
      <c r="F1807" t="str">
        <v>ちか のり ひろし みつ</v>
      </c>
      <c r="G1807" t="str">
        <v>たずねる。問う。聞きただす。 たずねる。さがす。求める。 たずねる。訪問する。 ついで。あとに引き続いて。まもなく。 ひろ。長さの単位。両手を左右に広げた長さ。 ひろ。長さの単位。一尋は六尺。</v>
      </c>
      <c r="H1807" t="str">
        <v>#知性</v>
      </c>
      <c r="I1807">
        <v>100</v>
      </c>
      <c r="J1807">
        <v>70</v>
      </c>
      <c r="K1807">
        <v>60</v>
      </c>
      <c r="L1807">
        <v>0</v>
      </c>
      <c r="M1807">
        <f>VLOOKUP(A1807,[1]kanji_data!$A:$N,14,FALSE)</f>
        <v>0</v>
      </c>
    </row>
    <row r="1808">
      <c r="A1808" t="str">
        <v>訴</v>
      </c>
      <c r="B1808">
        <v>12</v>
      </c>
      <c r="C1808" t="b">
        <v>1</v>
      </c>
      <c r="D1808" t="str">
        <v>ソ</v>
      </c>
      <c r="E1808" t="str">
        <v>うった（える）</v>
      </c>
      <c r="F1808">
        <v>0</v>
      </c>
      <c r="G1808" t="str">
        <v>うったえる。同情や理解を求めるために、不満や不平などをもらす。 うったえる。申し立てる。申し出る。 物事を解決するための手段にする。例：武力に訴える</v>
      </c>
      <c r="H1808" t="str">
        <v>#勇気 #天空</v>
      </c>
      <c r="I1808">
        <v>10</v>
      </c>
      <c r="J1808">
        <v>50</v>
      </c>
      <c r="K1808">
        <v>50</v>
      </c>
      <c r="L1808">
        <v>1</v>
      </c>
    </row>
    <row r="1809">
      <c r="A1809" t="str">
        <v>毀</v>
      </c>
      <c r="B1809">
        <v>13</v>
      </c>
      <c r="C1809" t="b">
        <v>1</v>
      </c>
      <c r="D1809" t="str">
        <v>キ</v>
      </c>
      <c r="E1809" t="str">
        <v>こぼ（つ） こわ（す） そし（る） や（せる） やぶ（る） やぶ（れる）</v>
      </c>
      <c r="F1809">
        <v>0</v>
      </c>
      <c r="G1809" t="str">
        <v>こぼつ。こわす。やぶる。そこなう。傷つける。 やぶれる。こわれる。 そしる。悪口を言う。 やせる。やせほそる。やつれる。 幼児の乳歯が抜けかわる。</v>
      </c>
      <c r="I1809">
        <v>10</v>
      </c>
      <c r="J1809">
        <v>50</v>
      </c>
      <c r="K1809">
        <v>50</v>
      </c>
      <c r="L1809">
        <v>1</v>
      </c>
    </row>
    <row r="1810">
      <c r="A1810" t="str">
        <v>嗅</v>
      </c>
      <c r="B1810">
        <v>13</v>
      </c>
      <c r="C1810" t="b">
        <v>1</v>
      </c>
      <c r="D1810" t="str">
        <v>キュウ</v>
      </c>
      <c r="E1810" t="str">
        <v>か（ぐ）</v>
      </c>
      <c r="F1810">
        <v>0</v>
      </c>
      <c r="G1810" t="str">
        <v>かぐ。鼻でにおいをかぐ。 かぐ。様子をさぐる。</v>
      </c>
      <c r="I1810">
        <v>10</v>
      </c>
      <c r="J1810">
        <v>50</v>
      </c>
      <c r="K1810">
        <v>50</v>
      </c>
      <c r="L1810">
        <v>1</v>
      </c>
    </row>
    <row r="1811">
      <c r="A1811" t="str">
        <v>僅</v>
      </c>
      <c r="B1811">
        <v>13</v>
      </c>
      <c r="C1811" t="b">
        <v>1</v>
      </c>
      <c r="D1811" t="str">
        <v>キン</v>
      </c>
      <c r="E1811" t="str">
        <v>わず（か） わず（かに）</v>
      </c>
      <c r="F1811">
        <v>0</v>
      </c>
      <c r="G1811" t="str">
        <v>わずか。少し。ほんの少し。 わずかに。かろうじて。 近い。差がほとんどない。</v>
      </c>
      <c r="I1811">
        <v>10</v>
      </c>
      <c r="J1811">
        <v>50</v>
      </c>
      <c r="K1811">
        <v>50</v>
      </c>
      <c r="L1811">
        <v>1</v>
      </c>
    </row>
    <row r="1812">
      <c r="A1812" t="str">
        <v>嫉</v>
      </c>
      <c r="B1812">
        <v>13</v>
      </c>
      <c r="C1812" t="b">
        <v>1</v>
      </c>
      <c r="D1812" t="str">
        <v>シツ</v>
      </c>
      <c r="E1812" t="str">
        <v>そね（む） にく（む） ねた（む）</v>
      </c>
      <c r="F1812">
        <v>0</v>
      </c>
      <c r="G1812" t="str">
        <v>ねたむ。そねむ。やく。やきもちを焼く。 にくむ。憎らしく思う。憎み嫌う。</v>
      </c>
      <c r="I1812">
        <v>10</v>
      </c>
      <c r="J1812">
        <v>50</v>
      </c>
      <c r="K1812">
        <v>50</v>
      </c>
      <c r="L1812">
        <v>1</v>
      </c>
    </row>
    <row r="1813">
      <c r="A1813" t="str">
        <v>渡</v>
      </c>
      <c r="B1813">
        <v>12</v>
      </c>
      <c r="C1813" t="b">
        <v>1</v>
      </c>
      <c r="D1813" t="str">
        <v>ト</v>
      </c>
      <c r="E1813" t="str">
        <v>わた（す） わた（る）</v>
      </c>
      <c r="F1813" t="str">
        <v>ただ ひろし</v>
      </c>
      <c r="G1813" t="str">
        <v>わたる。わたす。川や海を船でわたる。 経る。通る。過ぎる。 わたし。わたり。わたし場。 わたす。授ける。届ける。</v>
      </c>
      <c r="H1813" t="str">
        <v>#海・水</v>
      </c>
      <c r="I1813">
        <v>100</v>
      </c>
      <c r="J1813">
        <v>100</v>
      </c>
      <c r="K1813">
        <v>25</v>
      </c>
      <c r="L1813">
        <v>0</v>
      </c>
      <c r="M1813">
        <f>VLOOKUP(A1813,[1]kanji_data!$A:$N,14,FALSE)</f>
        <v>0</v>
      </c>
    </row>
    <row r="1814">
      <c r="A1814" t="str">
        <v>腫</v>
      </c>
      <c r="B1814">
        <v>13</v>
      </c>
      <c r="C1814" t="b">
        <v>1</v>
      </c>
      <c r="D1814" t="str">
        <v>シュ ショウ</v>
      </c>
      <c r="E1814" t="str">
        <v>は（らす） は（れる） はれもの</v>
      </c>
      <c r="F1814">
        <v>0</v>
      </c>
      <c r="G1814" t="str">
        <v>はれる。むくむ。ふくれる。 はれ。むくみ。はれもの。できもの。例：腫瘍</v>
      </c>
      <c r="I1814">
        <v>10</v>
      </c>
      <c r="J1814">
        <v>50</v>
      </c>
      <c r="K1814">
        <v>50</v>
      </c>
      <c r="L1814">
        <v>1</v>
      </c>
    </row>
    <row r="1815">
      <c r="A1815" t="str">
        <v>腎</v>
      </c>
      <c r="B1815">
        <v>13</v>
      </c>
      <c r="C1815" t="b">
        <v>1</v>
      </c>
      <c r="D1815" t="str">
        <v>ジン シン</v>
      </c>
      <c r="E1815">
        <v>0</v>
      </c>
      <c r="F1815">
        <v>0</v>
      </c>
      <c r="G1815" t="str">
        <v>五臓の一つ。腎臓。 かなめ。大切なところ。</v>
      </c>
      <c r="I1815">
        <v>10</v>
      </c>
      <c r="J1815">
        <v>50</v>
      </c>
      <c r="K1815">
        <v>50</v>
      </c>
      <c r="L1815">
        <v>1</v>
      </c>
    </row>
    <row r="1816">
      <c r="A1816" t="str">
        <v>裾</v>
      </c>
      <c r="B1816">
        <v>13</v>
      </c>
      <c r="C1816" t="b">
        <v>1</v>
      </c>
      <c r="D1816" t="str">
        <v>キョ</v>
      </c>
      <c r="E1816" t="str">
        <v>すそ</v>
      </c>
      <c r="F1816">
        <v>0</v>
      </c>
      <c r="G1816" t="str">
        <v>すそ。もすそ。衣服のすそ。着物のすそ。衣服の下の部分。 えり。前えり。 おごる。たかぶる。 すそ。ものの端。下のほう。山のふもと。</v>
      </c>
      <c r="I1816">
        <v>10</v>
      </c>
      <c r="J1816">
        <v>50</v>
      </c>
      <c r="K1816">
        <v>50</v>
      </c>
      <c r="L1816">
        <v>1</v>
      </c>
    </row>
    <row r="1817">
      <c r="A1817" t="str">
        <v>煎</v>
      </c>
      <c r="B1817">
        <v>13</v>
      </c>
      <c r="C1817" t="b">
        <v>1</v>
      </c>
      <c r="D1817" t="str">
        <v>セン</v>
      </c>
      <c r="E1817" t="str">
        <v>い（る） に（る）</v>
      </c>
      <c r="F1817">
        <v>0</v>
      </c>
      <c r="G1817" t="str">
        <v>いる。あぶる。 煮る。煮つめる。せんじる。 精錬する。溶かして練る。</v>
      </c>
      <c r="I1817">
        <v>10</v>
      </c>
      <c r="J1817">
        <v>50</v>
      </c>
      <c r="K1817">
        <v>50</v>
      </c>
      <c r="L1817">
        <v>1</v>
      </c>
    </row>
    <row r="1818">
      <c r="A1818" t="str">
        <v>腺</v>
      </c>
      <c r="B1818">
        <v>13</v>
      </c>
      <c r="C1818" t="b">
        <v>1</v>
      </c>
      <c r="D1818" t="str">
        <v>セン</v>
      </c>
      <c r="E1818" t="str">
        <v>すじ</v>
      </c>
      <c r="F1818">
        <v>0</v>
      </c>
      <c r="G1818" t="str">
        <v>せん。すじ。生物の体内で、体液の分泌活動を行う器官。</v>
      </c>
      <c r="I1818">
        <v>10</v>
      </c>
      <c r="J1818">
        <v>50</v>
      </c>
      <c r="K1818">
        <v>50</v>
      </c>
      <c r="L1818">
        <v>1</v>
      </c>
    </row>
    <row r="1819">
      <c r="A1819" t="str">
        <v>溺</v>
      </c>
      <c r="B1819">
        <v>13</v>
      </c>
      <c r="C1819" t="b">
        <v>1</v>
      </c>
      <c r="D1819" t="str">
        <v>デキ ジョウ ニョウ</v>
      </c>
      <c r="E1819" t="str">
        <v>おぼ（れる） いばり ゆばり</v>
      </c>
      <c r="F1819">
        <v>0</v>
      </c>
      <c r="G1819" t="str">
        <v>おぼれる。水にはまる。水中に沈んで苦しむ。 おぼれる。ふける。ひたる。夢中になる。熱中する。 いばり。ゆばり。小便。また、ゆばりする。小便する。</v>
      </c>
      <c r="I1819">
        <v>10</v>
      </c>
      <c r="J1819">
        <v>50</v>
      </c>
      <c r="K1819">
        <v>50</v>
      </c>
      <c r="L1819">
        <v>1</v>
      </c>
    </row>
    <row r="1820">
      <c r="A1820" t="str">
        <v>雄</v>
      </c>
      <c r="B1820">
        <v>12</v>
      </c>
      <c r="C1820" t="b">
        <v>1</v>
      </c>
      <c r="D1820" t="str">
        <v>ユウ</v>
      </c>
      <c r="E1820" t="str">
        <v>お おす おん まさ（る）</v>
      </c>
      <c r="F1820" t="str">
        <v>かず かつ たか たけ たけし のり よし</v>
      </c>
      <c r="G1820" t="str">
        <v>お。おす。動物のおす。植物のおす。 まさる。すぐれる。すぐれた人。 つよい。いさましい。力強い。 さかん。勢いがある。</v>
      </c>
      <c r="H1820" t="str">
        <v>#勇気 #品格 #繁栄 #自然</v>
      </c>
      <c r="I1820">
        <v>100</v>
      </c>
      <c r="J1820">
        <v>100</v>
      </c>
      <c r="K1820">
        <v>20</v>
      </c>
      <c r="L1820">
        <v>0</v>
      </c>
      <c r="M1820">
        <f>VLOOKUP(A1820,[1]kanji_data!$A:$N,14,FALSE)</f>
        <v>0</v>
      </c>
    </row>
    <row r="1821">
      <c r="A1821" t="str">
        <v>蜂</v>
      </c>
      <c r="B1821">
        <v>13</v>
      </c>
      <c r="C1821" t="b">
        <v>1</v>
      </c>
      <c r="D1821" t="str">
        <v>ホウ</v>
      </c>
      <c r="E1821" t="str">
        <v>はち むら（がる）</v>
      </c>
      <c r="F1821">
        <v>0</v>
      </c>
      <c r="G1821" t="str">
        <v>昆虫の一種。はち。尾の先に針を持つ。 むらがる。 ほこさき。</v>
      </c>
      <c r="I1821">
        <v>10</v>
      </c>
      <c r="J1821">
        <v>50</v>
      </c>
      <c r="K1821">
        <v>50</v>
      </c>
      <c r="L1821">
        <v>1</v>
      </c>
    </row>
    <row r="1822">
      <c r="A1822" t="str">
        <v>惑</v>
      </c>
      <c r="B1822">
        <v>12</v>
      </c>
      <c r="C1822" t="b">
        <v>1</v>
      </c>
      <c r="D1822" t="str">
        <v>ワク コク</v>
      </c>
      <c r="E1822" t="str">
        <v>まど（う）</v>
      </c>
      <c r="F1822">
        <v>0</v>
      </c>
      <c r="G1822" t="str">
        <v>まどう。心が乱れて判断が難しくなる。 まどわす。心を乱して冷静な判断ができないようにする。</v>
      </c>
      <c r="H1822" t="str">
        <v>#知性</v>
      </c>
      <c r="I1822">
        <v>10</v>
      </c>
      <c r="J1822">
        <v>50</v>
      </c>
      <c r="K1822">
        <v>50</v>
      </c>
      <c r="L1822">
        <v>1</v>
      </c>
    </row>
    <row r="1823">
      <c r="A1823" t="str">
        <v>慄</v>
      </c>
      <c r="B1823">
        <v>13</v>
      </c>
      <c r="C1823" t="b">
        <v>1</v>
      </c>
      <c r="D1823" t="str">
        <v>リツ</v>
      </c>
      <c r="E1823" t="str">
        <v>おそ（れる） おのの（く）</v>
      </c>
      <c r="F1823">
        <v>0</v>
      </c>
      <c r="G1823" t="str">
        <v>おそれる。おののく。恐怖や寒さなどで、体がぶるぶるとふるえる。</v>
      </c>
      <c r="I1823">
        <v>10</v>
      </c>
      <c r="J1823">
        <v>50</v>
      </c>
      <c r="K1823">
        <v>50</v>
      </c>
      <c r="L1823">
        <v>1</v>
      </c>
    </row>
    <row r="1824">
      <c r="A1824" t="str">
        <v>詠</v>
      </c>
      <c r="B1824">
        <v>12</v>
      </c>
      <c r="C1824" t="b">
        <v>1</v>
      </c>
      <c r="D1824" t="str">
        <v>エイ</v>
      </c>
      <c r="E1824" t="str">
        <v>よ（む） うた（う） なが（める）</v>
      </c>
      <c r="F1824" t="str">
        <v>え かね</v>
      </c>
      <c r="G1824" t="str">
        <v>うたう。詩歌をうたう。 うた。詩歌。 よむ。和歌を作る。</v>
      </c>
      <c r="H1824" t="str">
        <v>#品格 #知性 #調和</v>
      </c>
      <c r="I1824">
        <v>100</v>
      </c>
      <c r="J1824">
        <v>55</v>
      </c>
      <c r="K1824">
        <v>55</v>
      </c>
      <c r="L1824">
        <v>0</v>
      </c>
      <c r="M1824">
        <f>VLOOKUP(A1824,[1]kanji_data!$A:$N,14,FALSE)</f>
        <v>0</v>
      </c>
    </row>
    <row r="1825">
      <c r="A1825" t="str">
        <v>敢</v>
      </c>
      <c r="B1825">
        <v>12</v>
      </c>
      <c r="C1825" t="b">
        <v>1</v>
      </c>
      <c r="D1825" t="str">
        <v>カン</v>
      </c>
      <c r="E1825" t="str">
        <v>あ（えて）</v>
      </c>
      <c r="F1825" t="str">
        <v>いさみ いさむ つよし</v>
      </c>
      <c r="G1825" t="str">
        <v>「あえて」と読み、「思い切って～する」「押し切って～する」などの意を表す。 「不敢～」の形で、「あえて～せず」と読み、「すすんで～はしない」「決して～しない」などの意を表す。 「敢不～」の形で、「あえて～せざらんや」と読み、「どうして～しないことがあろうか」「どうして～せずにいられようか」などと反語の意を表す。</v>
      </c>
      <c r="H1825" t="str">
        <v>#心・志</v>
      </c>
      <c r="I1825">
        <v>80</v>
      </c>
      <c r="J1825">
        <v>85</v>
      </c>
      <c r="K1825">
        <v>30</v>
      </c>
      <c r="L1825">
        <v>0</v>
      </c>
      <c r="M1825">
        <f>VLOOKUP(A1825,[1]kanji_data!$A:$N,14,FALSE)</f>
        <v>0</v>
      </c>
    </row>
    <row r="1826">
      <c r="A1826" t="str">
        <v>賂</v>
      </c>
      <c r="B1826">
        <v>13</v>
      </c>
      <c r="C1826" t="b">
        <v>1</v>
      </c>
      <c r="D1826" t="str">
        <v>ロ</v>
      </c>
      <c r="E1826" t="str">
        <v>まいな（い） まいな（う）</v>
      </c>
      <c r="F1826">
        <v>0</v>
      </c>
      <c r="G1826" t="str">
        <v>宝。財貨。 まいなう。金品などを贈る。 まいない。贈り物。わいろ。</v>
      </c>
      <c r="I1826">
        <v>10</v>
      </c>
      <c r="J1826">
        <v>50</v>
      </c>
      <c r="K1826">
        <v>50</v>
      </c>
      <c r="L1826">
        <v>1</v>
      </c>
    </row>
    <row r="1827">
      <c r="A1827" t="str">
        <v>喚</v>
      </c>
      <c r="B1827">
        <v>12</v>
      </c>
      <c r="C1827" t="b">
        <v>1</v>
      </c>
      <c r="D1827" t="str">
        <v>カン</v>
      </c>
      <c r="E1827" t="str">
        <v>さけ（ぶ） よ（ぶ） わめ（く）</v>
      </c>
      <c r="F1827">
        <v>0</v>
      </c>
      <c r="G1827" t="str">
        <v>よぶ。呼び寄せる。呼びつける。 さけぶ。わめく。おめく。大声をあげて騒ぎ立てる。</v>
      </c>
      <c r="H1827" t="str">
        <v>#天空</v>
      </c>
      <c r="I1827">
        <v>10</v>
      </c>
      <c r="J1827">
        <v>50</v>
      </c>
      <c r="K1827">
        <v>50</v>
      </c>
      <c r="L1827">
        <v>1</v>
      </c>
    </row>
    <row r="1828">
      <c r="A1828" t="str">
        <v>嘩</v>
      </c>
      <c r="B1828">
        <v>13</v>
      </c>
      <c r="C1828" t="b">
        <v>0</v>
      </c>
      <c r="D1828" t="str">
        <v>カ</v>
      </c>
      <c r="E1828" t="str">
        <v>かまびす（しい）</v>
      </c>
      <c r="F1828">
        <v>0</v>
      </c>
      <c r="G1828" t="str">
        <v>かまびすしい。さわがしい。うるさい。</v>
      </c>
      <c r="I1828">
        <v>10</v>
      </c>
      <c r="J1828">
        <v>50</v>
      </c>
      <c r="K1828">
        <v>50</v>
      </c>
      <c r="L1828">
        <v>1</v>
      </c>
    </row>
    <row r="1829">
      <c r="A1829" t="str">
        <v>塙</v>
      </c>
      <c r="B1829">
        <v>13</v>
      </c>
      <c r="C1829" t="b">
        <v>0</v>
      </c>
      <c r="D1829" t="str">
        <v>カク コウ</v>
      </c>
      <c r="E1829" t="str">
        <v>かた（い） はなわ</v>
      </c>
      <c r="F1829">
        <v>0</v>
      </c>
      <c r="G1829" t="str">
        <v>かたい。かたい土。 たかい。高さのある土地。 石の多いやせた土地。 はなわ。山の突き出た所。小高い所。 ばん。姓氏に用いられる。</v>
      </c>
      <c r="I1829">
        <v>10</v>
      </c>
      <c r="J1829">
        <v>50</v>
      </c>
      <c r="K1829">
        <v>50</v>
      </c>
      <c r="L1829">
        <v>1</v>
      </c>
    </row>
    <row r="1830">
      <c r="A1830" t="str">
        <v>鳩</v>
      </c>
      <c r="B1830">
        <v>13</v>
      </c>
      <c r="C1830" t="b">
        <v>0</v>
      </c>
      <c r="D1830" t="str">
        <v>キュウ ク</v>
      </c>
      <c r="E1830" t="str">
        <v>あつ（まる） あつ（める） はと やす（んずる）</v>
      </c>
      <c r="F1830" t="str">
        <v>あつむ やす</v>
      </c>
      <c r="G1830" t="str">
        <v>はと。ハト科の鳥の総称。 あつまる。あつめる。まとめる。＝糾 やすんずる。安定させる。落ち着かせる。</v>
      </c>
      <c r="I1830">
        <v>15</v>
      </c>
      <c r="J1830">
        <v>55</v>
      </c>
      <c r="K1830">
        <v>55</v>
      </c>
      <c r="L1830">
        <v>0</v>
      </c>
      <c r="M1830">
        <f>VLOOKUP(A1830,[1]kanji_data!$A:$N,14,FALSE)</f>
        <v>0</v>
      </c>
    </row>
    <row r="1831">
      <c r="A1831" t="str">
        <v>遇</v>
      </c>
      <c r="B1831">
        <v>12</v>
      </c>
      <c r="C1831" t="b">
        <v>1</v>
      </c>
      <c r="D1831" t="str">
        <v>グウ グ</v>
      </c>
      <c r="E1831" t="str">
        <v>あ（う） たまたま もてな（す）</v>
      </c>
      <c r="F1831">
        <v>0</v>
      </c>
      <c r="G1831" t="str">
        <v>あう。出会う。思いがけなく出会う。 時世に合う。 当たる。敵対する。 もてなす。もてなし。接待する。 たまたま。思いがけず。ふと。 おり。機会。</v>
      </c>
      <c r="H1831" t="str">
        <v>#心・志</v>
      </c>
      <c r="I1831">
        <v>10</v>
      </c>
      <c r="J1831">
        <v>50</v>
      </c>
      <c r="K1831">
        <v>50</v>
      </c>
      <c r="L1831">
        <v>1</v>
      </c>
    </row>
    <row r="1832">
      <c r="A1832" t="str">
        <v>禽</v>
      </c>
      <c r="B1832">
        <v>13</v>
      </c>
      <c r="C1832" t="b">
        <v>0</v>
      </c>
      <c r="D1832" t="str">
        <v>キン</v>
      </c>
      <c r="E1832" t="str">
        <v>とら（える） とり</v>
      </c>
      <c r="F1832">
        <v>0</v>
      </c>
      <c r="G1832" t="str">
        <v>とり。鳥類の総称。 とらえる。いけどりにする。とりこにする。</v>
      </c>
      <c r="I1832">
        <v>10</v>
      </c>
      <c r="J1832">
        <v>50</v>
      </c>
      <c r="K1832">
        <v>50</v>
      </c>
      <c r="L1832">
        <v>1</v>
      </c>
    </row>
    <row r="1833">
      <c r="A1833" t="str">
        <v>硬</v>
      </c>
      <c r="B1833">
        <v>12</v>
      </c>
      <c r="C1833" t="b">
        <v>1</v>
      </c>
      <c r="D1833" t="str">
        <v>コウ</v>
      </c>
      <c r="E1833" t="str">
        <v>かた（い）</v>
      </c>
      <c r="F1833">
        <v>0</v>
      </c>
      <c r="G1833" t="str">
        <v>かたい。つよい。手強い。</v>
      </c>
      <c r="H1833" t="str">
        <v>#勇気</v>
      </c>
      <c r="I1833">
        <v>10</v>
      </c>
      <c r="J1833">
        <v>85</v>
      </c>
      <c r="K1833">
        <v>30</v>
      </c>
      <c r="L1833">
        <v>1</v>
      </c>
    </row>
    <row r="1834">
      <c r="A1834" t="str">
        <v>慌</v>
      </c>
      <c r="B1834">
        <v>12</v>
      </c>
      <c r="C1834" t="b">
        <v>1</v>
      </c>
      <c r="D1834" t="str">
        <v>コウ</v>
      </c>
      <c r="E1834" t="str">
        <v>あわ（ただしい） あわ（てる）</v>
      </c>
      <c r="F1834">
        <v>0</v>
      </c>
      <c r="G1834" t="str">
        <v>あわただしい。せわしくて落ち着かない。 あわてる。冷静さを失って、うろたえる。 ほのか。ぼんやりする。</v>
      </c>
      <c r="H1834" t="str">
        <v>#品格 #天空</v>
      </c>
      <c r="I1834">
        <v>10</v>
      </c>
      <c r="J1834">
        <v>50</v>
      </c>
      <c r="K1834">
        <v>50</v>
      </c>
      <c r="L1834">
        <v>1</v>
      </c>
    </row>
    <row r="1835">
      <c r="A1835" t="str">
        <v>跨</v>
      </c>
      <c r="B1835">
        <v>13</v>
      </c>
      <c r="C1835" t="b">
        <v>0</v>
      </c>
      <c r="D1835" t="str">
        <v>コ</v>
      </c>
      <c r="E1835" t="str">
        <v>また また（がる） また（ぐ）</v>
      </c>
      <c r="F1835">
        <v>0</v>
      </c>
      <c r="G1835" t="str">
        <v>またがる。乗る。 またぐ。のりこえる。こえる。 占領する。占有する。拠る。 また。うちもも。両ももの内側部分。</v>
      </c>
      <c r="I1835">
        <v>10</v>
      </c>
      <c r="J1835">
        <v>50</v>
      </c>
      <c r="K1835">
        <v>50</v>
      </c>
      <c r="L1835">
        <v>1</v>
      </c>
    </row>
    <row r="1836">
      <c r="A1836" t="str">
        <v>軸</v>
      </c>
      <c r="B1836">
        <v>12</v>
      </c>
      <c r="C1836" t="b">
        <v>1</v>
      </c>
      <c r="D1836" t="str">
        <v>ジク チク</v>
      </c>
      <c r="E1836" t="str">
        <v>しんぎ</v>
      </c>
      <c r="F1836">
        <v>0</v>
      </c>
      <c r="G1836" t="str">
        <v>じく。心木。心棒。回転するものの中心をつらぬく棒。 物事の中心。かなめ。 かけじく。巻き物。 かけじくや巻き物を数える助数詞。 じく。筆の柄・マッチの棒。草の茎などのこと。 俳句・川柳などの巻末に記す評者の句。</v>
      </c>
      <c r="H1836" t="str">
        <v>#勇気 #海・水</v>
      </c>
      <c r="I1836">
        <v>10</v>
      </c>
      <c r="J1836">
        <v>85</v>
      </c>
      <c r="K1836">
        <v>50</v>
      </c>
      <c r="L1836">
        <v>0</v>
      </c>
      <c r="M1836">
        <f>VLOOKUP(A1836,[1]kanji_data!$A:$N,14,FALSE)</f>
        <v>0</v>
      </c>
    </row>
    <row r="1837">
      <c r="A1837" t="str">
        <v>嵯</v>
      </c>
      <c r="B1837">
        <v>13</v>
      </c>
      <c r="C1837" t="b">
        <v>0</v>
      </c>
      <c r="D1837" t="str">
        <v>サ</v>
      </c>
      <c r="E1837" t="str">
        <v>けわ（しい）</v>
      </c>
      <c r="F1837">
        <v>0</v>
      </c>
      <c r="G1837" t="str">
        <v>けわしい。山が険しいさま。</v>
      </c>
      <c r="I1837">
        <v>10</v>
      </c>
      <c r="J1837">
        <v>100</v>
      </c>
      <c r="K1837">
        <v>15</v>
      </c>
      <c r="L1837">
        <v>0</v>
      </c>
      <c r="M1837">
        <f>VLOOKUP(A1837,[1]kanji_data!$A:$N,14,FALSE)</f>
        <v>0</v>
      </c>
    </row>
    <row r="1838">
      <c r="A1838" t="str">
        <v>晶</v>
      </c>
      <c r="B1838">
        <v>12</v>
      </c>
      <c r="C1838" t="b">
        <v>1</v>
      </c>
      <c r="D1838" t="str">
        <v>ショウ</v>
      </c>
      <c r="E1838" t="str">
        <v>あき（らか）</v>
      </c>
      <c r="F1838" t="str">
        <v>あきら てる まさ</v>
      </c>
      <c r="G1838" t="str">
        <v>あきらか。明るく輝く。光り輝く。 「水晶」は鉱石の名。</v>
      </c>
      <c r="H1838" t="str">
        <v>#天空</v>
      </c>
      <c r="I1838">
        <v>100</v>
      </c>
      <c r="J1838">
        <v>60</v>
      </c>
      <c r="K1838">
        <v>60</v>
      </c>
      <c r="L1838">
        <v>0</v>
      </c>
      <c r="M1838">
        <f>VLOOKUP(A1838,[1]kanji_data!$A:$N,14,FALSE)</f>
        <v>0</v>
      </c>
    </row>
    <row r="1839">
      <c r="A1839" t="str">
        <v>掌</v>
      </c>
      <c r="B1839">
        <v>12</v>
      </c>
      <c r="C1839" t="b">
        <v>1</v>
      </c>
      <c r="D1839" t="str">
        <v>ショウ</v>
      </c>
      <c r="E1839" t="str">
        <v>たなごころ つかさど（る） てのひら</v>
      </c>
      <c r="F1839">
        <v>0</v>
      </c>
      <c r="G1839" t="str">
        <v>たなごころ。てのひら。 つかさどる。役目を担う。管理する。</v>
      </c>
      <c r="H1839" t="str">
        <v>#品格 #心・志</v>
      </c>
      <c r="I1839">
        <v>10</v>
      </c>
      <c r="J1839">
        <v>60</v>
      </c>
      <c r="K1839">
        <v>65</v>
      </c>
      <c r="L1839">
        <v>0</v>
      </c>
      <c r="M1839">
        <f>VLOOKUP(A1839,[1]kanji_data!$A:$N,14,FALSE)</f>
        <v>0</v>
      </c>
    </row>
    <row r="1840">
      <c r="A1840" t="str">
        <v>裟</v>
      </c>
      <c r="B1840">
        <v>13</v>
      </c>
      <c r="C1840" t="b">
        <v>0</v>
      </c>
      <c r="D1840" t="str">
        <v>サ</v>
      </c>
      <c r="E1840">
        <v>0</v>
      </c>
      <c r="F1840">
        <v>0</v>
      </c>
      <c r="G1840" t="str">
        <v>梵語の音訳「袈裟（けさ）」に用いる字。</v>
      </c>
      <c r="I1840">
        <v>10</v>
      </c>
      <c r="J1840">
        <v>50</v>
      </c>
      <c r="K1840">
        <v>50</v>
      </c>
      <c r="L1840">
        <v>1</v>
      </c>
    </row>
    <row r="1841">
      <c r="A1841" t="str">
        <v>遂</v>
      </c>
      <c r="B1841">
        <v>12</v>
      </c>
      <c r="C1841" t="b">
        <v>1</v>
      </c>
      <c r="D1841" t="str">
        <v>スイ ズイ</v>
      </c>
      <c r="E1841" t="str">
        <v>と（げる） おお（せる） つい（に）</v>
      </c>
      <c r="F1841">
        <v>0</v>
      </c>
      <c r="G1841" t="str">
        <v>とげる。なしとげる。やりおえる。 育つ。成長する。 ついに。はては。かくて。そのまま。 かなう。 したがう。</v>
      </c>
      <c r="H1841" t="str">
        <v>#繁栄</v>
      </c>
      <c r="I1841">
        <v>40</v>
      </c>
      <c r="J1841">
        <v>100</v>
      </c>
      <c r="K1841">
        <v>25</v>
      </c>
      <c r="L1841">
        <v>0</v>
      </c>
      <c r="M1841">
        <f>VLOOKUP(A1841,[1]kanji_data!$A:$N,14,FALSE)</f>
        <v>0</v>
      </c>
    </row>
    <row r="1842">
      <c r="A1842" t="str">
        <v>随</v>
      </c>
      <c r="B1842">
        <v>12</v>
      </c>
      <c r="C1842" t="b">
        <v>1</v>
      </c>
      <c r="D1842" t="str">
        <v>ズイ</v>
      </c>
      <c r="E1842" t="str">
        <v>したが（う） まにま（に） まま</v>
      </c>
      <c r="F1842">
        <v>0</v>
      </c>
      <c r="G1842" t="str">
        <v>したがう。ついていく。よりそう。 したがう。成り行きにまかせる。 易（エキ）の六十四卦の一つ。 まま。そのまま。あるがまま。思いどおり。 まにまに。成り行きにまかせて。～につれて。</v>
      </c>
      <c r="H1842" t="str">
        <v>#心・志</v>
      </c>
      <c r="I1842">
        <v>10</v>
      </c>
      <c r="J1842">
        <v>65</v>
      </c>
      <c r="K1842">
        <v>60</v>
      </c>
      <c r="L1842">
        <v>0</v>
      </c>
      <c r="M1842">
        <f>VLOOKUP(A1842,[1]kanji_data!$A:$N,14,FALSE)</f>
        <v>0</v>
      </c>
    </row>
    <row r="1843">
      <c r="A1843" t="str">
        <v>蒐</v>
      </c>
      <c r="B1843">
        <v>13</v>
      </c>
      <c r="C1843" t="b">
        <v>0</v>
      </c>
      <c r="D1843" t="str">
        <v>シュウ</v>
      </c>
      <c r="E1843" t="str">
        <v>あつ（める） か（り）</v>
      </c>
      <c r="F1843">
        <v>0</v>
      </c>
      <c r="G1843" t="str">
        <v>あかね。あかねぐさ。アカネ科の多年草。赤色の染料に用いられる。 あつめる。 狩り。春の狩り。狩猟。 しらべる。数える。</v>
      </c>
      <c r="I1843">
        <v>10</v>
      </c>
      <c r="J1843">
        <v>50</v>
      </c>
      <c r="K1843">
        <v>50</v>
      </c>
      <c r="L1843">
        <v>1</v>
      </c>
    </row>
    <row r="1844">
      <c r="A1844" t="str">
        <v>遁</v>
      </c>
      <c r="B1844">
        <v>13</v>
      </c>
      <c r="C1844" t="b">
        <v>0</v>
      </c>
      <c r="D1844" t="str">
        <v>シュン ジュン トン</v>
      </c>
      <c r="E1844" t="str">
        <v>しりご（みする） のが（れる）</v>
      </c>
      <c r="F1844">
        <v>0</v>
      </c>
      <c r="G1844" t="str">
        <v>のがれる。逃げる。かくれる。 あとずさりする。しりごみする。</v>
      </c>
      <c r="I1844">
        <v>10</v>
      </c>
      <c r="J1844">
        <v>50</v>
      </c>
      <c r="K1844">
        <v>50</v>
      </c>
      <c r="L1844">
        <v>1</v>
      </c>
    </row>
    <row r="1845">
      <c r="A1845" t="str">
        <v>超</v>
      </c>
      <c r="B1845">
        <v>12</v>
      </c>
      <c r="C1845" t="b">
        <v>1</v>
      </c>
      <c r="D1845" t="str">
        <v>チョウ</v>
      </c>
      <c r="E1845" t="str">
        <v>こ（える） こ（す）</v>
      </c>
      <c r="F1845" t="str">
        <v>おき たつ とおる まさ まさる ゆき</v>
      </c>
      <c r="G1845" t="str">
        <v>こえる。こす。とびこえる。 ぬきんでる。すぐれる。度をこえる。 遠い。はるか。</v>
      </c>
      <c r="H1845" t="str">
        <v>#品格 #繁栄</v>
      </c>
      <c r="I1845">
        <v>25</v>
      </c>
      <c r="J1845">
        <v>100</v>
      </c>
      <c r="K1845">
        <v>30</v>
      </c>
      <c r="L1845">
        <v>0</v>
      </c>
      <c r="M1845">
        <f>VLOOKUP(A1845,[1]kanji_data!$A:$N,14,FALSE)</f>
        <v>0</v>
      </c>
    </row>
    <row r="1846">
      <c r="A1846" t="str">
        <v>牒</v>
      </c>
      <c r="B1846">
        <v>13</v>
      </c>
      <c r="C1846" t="b">
        <v>0</v>
      </c>
      <c r="D1846" t="str">
        <v>ジョウ チョウ</v>
      </c>
      <c r="E1846" t="str">
        <v>ふだ</v>
      </c>
      <c r="F1846">
        <v>0</v>
      </c>
      <c r="G1846" t="str">
        <v>ふだ。かきつけ。文字を書き記す、木の薄いふだ。 書籍。記録。書き物。帳簿。 役所・官庁間でやりとりする公文書。 訴状。訴えぶみ。</v>
      </c>
      <c r="I1846">
        <v>10</v>
      </c>
      <c r="J1846">
        <v>50</v>
      </c>
      <c r="K1846">
        <v>50</v>
      </c>
      <c r="L1846">
        <v>1</v>
      </c>
    </row>
    <row r="1847">
      <c r="A1847" t="str">
        <v>蛮</v>
      </c>
      <c r="B1847">
        <v>12</v>
      </c>
      <c r="C1847" t="b">
        <v>1</v>
      </c>
      <c r="D1847" t="str">
        <v>バン</v>
      </c>
      <c r="E1847" t="str">
        <v>えびす</v>
      </c>
      <c r="F1847">
        <v>0</v>
      </c>
      <c r="G1847" t="str">
        <v>えびす。文化の開けていない地に住む民のこと。 荒々しい。たけだけしい。乱暴である。 昔、外国人をいやしんで呼んだ語。</v>
      </c>
      <c r="H1847" t="str">
        <v>#勇気</v>
      </c>
      <c r="I1847">
        <v>10</v>
      </c>
      <c r="J1847">
        <v>50</v>
      </c>
      <c r="K1847">
        <v>50</v>
      </c>
      <c r="L1847">
        <v>1</v>
      </c>
    </row>
    <row r="1848">
      <c r="A1848" t="str">
        <v>詫</v>
      </c>
      <c r="B1848">
        <v>13</v>
      </c>
      <c r="C1848" t="b">
        <v>0</v>
      </c>
      <c r="D1848" t="str">
        <v>タ</v>
      </c>
      <c r="E1848" t="str">
        <v>ほこ（る） わび わ（びる）</v>
      </c>
      <c r="F1848">
        <v>0</v>
      </c>
      <c r="G1848" t="str">
        <v>ほこる。自慢する。 おどろきあやしむ。 かこつ。かこつける。 わび。わびる。謝罪する。</v>
      </c>
      <c r="I1848">
        <v>10</v>
      </c>
      <c r="J1848">
        <v>50</v>
      </c>
      <c r="K1848">
        <v>50</v>
      </c>
      <c r="L1848">
        <v>1</v>
      </c>
    </row>
    <row r="1849">
      <c r="A1849" t="str">
        <v>揚</v>
      </c>
      <c r="B1849">
        <v>12</v>
      </c>
      <c r="C1849" t="b">
        <v>1</v>
      </c>
      <c r="D1849" t="str">
        <v>ヨウ</v>
      </c>
      <c r="E1849" t="str">
        <v>あ（がる） あ（げる）</v>
      </c>
      <c r="F1849" t="str">
        <v>あき たか のぶ よ</v>
      </c>
      <c r="G1849" t="str">
        <v>あげる。あがる。高くあげる。高くあがる。 あげる。示す。明らかにする。 古代中国の九州のひとつ。揚州。 あげる。食べ物を油であげる。</v>
      </c>
      <c r="H1849" t="str">
        <v>#知性</v>
      </c>
      <c r="I1849">
        <v>95</v>
      </c>
      <c r="J1849">
        <v>100</v>
      </c>
      <c r="K1849">
        <v>25</v>
      </c>
      <c r="L1849">
        <v>0</v>
      </c>
      <c r="M1849">
        <f>VLOOKUP(A1849,[1]kanji_data!$A:$N,14,FALSE)</f>
        <v>0</v>
      </c>
    </row>
    <row r="1850">
      <c r="A1850" t="str">
        <v>楕</v>
      </c>
      <c r="B1850">
        <v>13</v>
      </c>
      <c r="C1850" t="b">
        <v>0</v>
      </c>
      <c r="D1850" t="str">
        <v>ダ タ</v>
      </c>
      <c r="E1850">
        <v>0</v>
      </c>
      <c r="F1850">
        <v>0</v>
      </c>
      <c r="G1850" t="str">
        <v>細長い円形。長円形。</v>
      </c>
      <c r="I1850">
        <v>10</v>
      </c>
      <c r="J1850">
        <v>50</v>
      </c>
      <c r="K1850">
        <v>50</v>
      </c>
      <c r="L1850">
        <v>1</v>
      </c>
    </row>
    <row r="1851">
      <c r="A1851" t="str">
        <v>碓</v>
      </c>
      <c r="B1851">
        <v>13</v>
      </c>
      <c r="C1851" t="b">
        <v>0</v>
      </c>
      <c r="D1851" t="str">
        <v>タイ</v>
      </c>
      <c r="E1851" t="str">
        <v>うす</v>
      </c>
      <c r="F1851">
        <v>0</v>
      </c>
      <c r="G1851" t="str">
        <v>うす。からうす。ふみうす。足や水力で穀物をつくためのうす。</v>
      </c>
      <c r="I1851">
        <v>10</v>
      </c>
      <c r="J1851">
        <v>50</v>
      </c>
      <c r="K1851">
        <v>50</v>
      </c>
      <c r="L1851">
        <v>1</v>
      </c>
    </row>
    <row r="1852">
      <c r="A1852" t="str">
        <v>廊</v>
      </c>
      <c r="B1852">
        <v>12</v>
      </c>
      <c r="C1852" t="b">
        <v>1</v>
      </c>
      <c r="D1852" t="str">
        <v>ロウ</v>
      </c>
      <c r="E1852" t="str">
        <v>わたどの</v>
      </c>
      <c r="F1852">
        <v>0</v>
      </c>
      <c r="G1852" t="str">
        <v>わたどの。建物をつなぐ渡り廊下。 ひさし。正堂の左右に作られた部屋。</v>
      </c>
      <c r="H1852" t="str">
        <v>#健康</v>
      </c>
      <c r="I1852">
        <v>10</v>
      </c>
      <c r="J1852">
        <v>50</v>
      </c>
      <c r="K1852">
        <v>50</v>
      </c>
      <c r="L1852">
        <v>1</v>
      </c>
    </row>
    <row r="1853">
      <c r="A1853" t="str">
        <v>湾</v>
      </c>
      <c r="B1853">
        <v>12</v>
      </c>
      <c r="C1853" t="b">
        <v>1</v>
      </c>
      <c r="D1853" t="str">
        <v>ワン</v>
      </c>
      <c r="E1853" t="str">
        <v>いりえ</v>
      </c>
      <c r="F1853">
        <v>0</v>
      </c>
      <c r="G1853" t="str">
        <v>入り江。入り海。 曲がる。弓なりに曲がる。曲線をなす。入りこむ。</v>
      </c>
      <c r="H1853" t="str">
        <v>#海・水</v>
      </c>
      <c r="I1853">
        <v>10</v>
      </c>
      <c r="J1853">
        <v>85</v>
      </c>
      <c r="K1853">
        <v>50</v>
      </c>
      <c r="L1853">
        <v>0</v>
      </c>
      <c r="M1853">
        <f>VLOOKUP(A1853,[1]kanji_data!$A:$N,14,FALSE)</f>
        <v>0</v>
      </c>
    </row>
    <row r="1854">
      <c r="A1854" t="str">
        <v>渦</v>
      </c>
      <c r="B1854">
        <v>12</v>
      </c>
      <c r="C1854" t="b">
        <v>1</v>
      </c>
      <c r="D1854" t="str">
        <v>カ</v>
      </c>
      <c r="E1854" t="str">
        <v>うず</v>
      </c>
      <c r="F1854">
        <v>0</v>
      </c>
      <c r="G1854" t="str">
        <v>うず。うずまき。水がうずをまく。 うずまき状のもの。うずを巻いているもの。 中国の川の名「渦水」。</v>
      </c>
      <c r="H1854" t="str">
        <v>#海・水</v>
      </c>
      <c r="I1854">
        <v>10</v>
      </c>
      <c r="J1854">
        <v>50</v>
      </c>
      <c r="K1854">
        <v>50</v>
      </c>
      <c r="L1854">
        <v>1</v>
      </c>
    </row>
    <row r="1855">
      <c r="A1855" t="str">
        <v>煤</v>
      </c>
      <c r="B1855">
        <v>13</v>
      </c>
      <c r="C1855" t="b">
        <v>0</v>
      </c>
      <c r="D1855" t="str">
        <v>バイ</v>
      </c>
      <c r="E1855" t="str">
        <v>すす すす（ける）</v>
      </c>
      <c r="F1855">
        <v>0</v>
      </c>
      <c r="G1855" t="str">
        <v>すす。煙に含まれる黒い粉。油煙。 すすける。 石炭。</v>
      </c>
      <c r="I1855">
        <v>10</v>
      </c>
      <c r="J1855">
        <v>50</v>
      </c>
      <c r="K1855">
        <v>50</v>
      </c>
      <c r="L1855">
        <v>1</v>
      </c>
    </row>
    <row r="1856">
      <c r="A1856" t="str">
        <v>堪</v>
      </c>
      <c r="B1856">
        <v>12</v>
      </c>
      <c r="C1856" t="b">
        <v>1</v>
      </c>
      <c r="D1856" t="str">
        <v>カン タン</v>
      </c>
      <c r="E1856" t="str">
        <v>た（える） こた（える） こら（える） たま（る）</v>
      </c>
      <c r="F1856">
        <v>0</v>
      </c>
      <c r="G1856" t="str">
        <v>たえる。こたえる。こらえる。たまる。我慢する。もちこたえる。 うちかつ。すぐれている。まさる。 盛り上がった地面。 天。「堪輿」は天と地のこと。</v>
      </c>
      <c r="H1856" t="str">
        <v>#勇気 #繁栄</v>
      </c>
      <c r="I1856">
        <v>10</v>
      </c>
      <c r="J1856">
        <v>100</v>
      </c>
      <c r="K1856">
        <v>25</v>
      </c>
      <c r="L1856">
        <v>1</v>
      </c>
    </row>
    <row r="1857">
      <c r="A1857" t="str">
        <v>款</v>
      </c>
      <c r="B1857">
        <v>12</v>
      </c>
      <c r="C1857" t="b">
        <v>1</v>
      </c>
      <c r="D1857" t="str">
        <v>カン</v>
      </c>
      <c r="E1857" t="str">
        <v>しる（す） たた（く） まこと よろこ（ぶ）</v>
      </c>
      <c r="F1857">
        <v>0</v>
      </c>
      <c r="G1857" t="str">
        <v>まこと。まごころ。誠意。 よろこぶ。よろこび楽しむ。 たたく。門をたたく。 しるす。刻む。彫る。また、その文字。 ひとまとまり。法令などの箇条書き。ひとまとまりの項目。</v>
      </c>
      <c r="H1857" t="str">
        <v>#幸福 #心・志</v>
      </c>
      <c r="I1857">
        <v>10</v>
      </c>
      <c r="J1857">
        <v>50</v>
      </c>
      <c r="K1857">
        <v>50</v>
      </c>
      <c r="L1857">
        <v>1</v>
      </c>
    </row>
    <row r="1858">
      <c r="A1858" t="str">
        <v>蒙</v>
      </c>
      <c r="B1858">
        <v>13</v>
      </c>
      <c r="C1858" t="b">
        <v>0</v>
      </c>
      <c r="D1858" t="str">
        <v>ボウ モウ</v>
      </c>
      <c r="E1858" t="str">
        <v>おお（う） くら（い） こうむ（る）</v>
      </c>
      <c r="F1858">
        <v>0</v>
      </c>
      <c r="G1858" t="str">
        <v>おおう。おおいかくす。かぶる。かぶさる。 くらい。道理にくらい。おろか。おろかもの。 こうむる。身にうける。かぶる。 おかす。 易（エキ）の六十四卦の一つ。 国名「蒙古（もうこ / モンゴル）」の略。</v>
      </c>
      <c r="I1858">
        <v>10</v>
      </c>
      <c r="J1858">
        <v>50</v>
      </c>
      <c r="K1858">
        <v>50</v>
      </c>
      <c r="L1858">
        <v>1</v>
      </c>
    </row>
    <row r="1859">
      <c r="A1859" t="str">
        <v>暁</v>
      </c>
      <c r="B1859">
        <v>12</v>
      </c>
      <c r="C1859" t="b">
        <v>1</v>
      </c>
      <c r="D1859" t="str">
        <v>ギョウ キョウ</v>
      </c>
      <c r="E1859" t="str">
        <v>あかつき さと（る）</v>
      </c>
      <c r="F1859" t="str">
        <v>あき あきら あけ さとし さとる とき とし</v>
      </c>
      <c r="G1859" t="str">
        <v>あかつき。明け方。夜明け。 さとる。わかる。明らかになる。 さとす。教えさとす。よくわからせる。</v>
      </c>
      <c r="H1859" t="str">
        <v>#天空 #知性</v>
      </c>
      <c r="I1859">
        <v>100</v>
      </c>
      <c r="J1859">
        <v>65</v>
      </c>
      <c r="K1859">
        <v>50</v>
      </c>
      <c r="L1859">
        <v>0</v>
      </c>
      <c r="M1859">
        <f>VLOOKUP(A1859,[1]kanji_data!$A:$N,14,FALSE)</f>
        <v>0</v>
      </c>
    </row>
    <row r="1860">
      <c r="A1860" t="str">
        <v>琴</v>
      </c>
      <c r="B1860">
        <v>12</v>
      </c>
      <c r="C1860" t="b">
        <v>1</v>
      </c>
      <c r="D1860" t="str">
        <v>キン ゴン</v>
      </c>
      <c r="E1860" t="str">
        <v>こと</v>
      </c>
      <c r="F1860">
        <v>0</v>
      </c>
      <c r="G1860" t="str">
        <v>こと。弦楽器の一種。 こと。筝、和琴などの弦楽器の総称。</v>
      </c>
      <c r="H1860" t="str">
        <v>#調和</v>
      </c>
      <c r="I1860">
        <v>80</v>
      </c>
      <c r="J1860">
        <v>60</v>
      </c>
      <c r="K1860">
        <v>60</v>
      </c>
      <c r="L1860">
        <v>0</v>
      </c>
      <c r="M1860">
        <f>VLOOKUP(A1860,[1]kanji_data!$A:$N,14,FALSE)</f>
        <v>0</v>
      </c>
    </row>
    <row r="1861">
      <c r="A1861" t="str">
        <v>碗</v>
      </c>
      <c r="B1861">
        <v>13</v>
      </c>
      <c r="C1861" t="b">
        <v>0</v>
      </c>
      <c r="D1861" t="str">
        <v>ワン</v>
      </c>
      <c r="E1861">
        <v>0</v>
      </c>
      <c r="F1861">
        <v>0</v>
      </c>
      <c r="G1861" t="str">
        <v>わん。飲食物を入れる容器。</v>
      </c>
      <c r="I1861">
        <v>10</v>
      </c>
      <c r="J1861">
        <v>50</v>
      </c>
      <c r="K1861">
        <v>50</v>
      </c>
      <c r="L1861">
        <v>1</v>
      </c>
    </row>
    <row r="1862">
      <c r="A1862" t="str">
        <v>碎</v>
      </c>
      <c r="B1862">
        <v>13</v>
      </c>
      <c r="C1862" t="b">
        <v>0</v>
      </c>
      <c r="D1862" t="str">
        <v>サイ</v>
      </c>
      <c r="E1862" t="str">
        <v>くだ（く） くだ（ける）</v>
      </c>
      <c r="F1862">
        <v>0</v>
      </c>
      <c r="G1862" t="str">
        <v>くだく。くだける。細かくする。こなごなにする。 細かい。くだくだしい。くどい。わずらわしい。</v>
      </c>
      <c r="I1862">
        <v>10</v>
      </c>
      <c r="J1862">
        <v>50</v>
      </c>
      <c r="K1862">
        <v>50</v>
      </c>
      <c r="L1862">
        <v>1</v>
      </c>
    </row>
    <row r="1863">
      <c r="A1863" t="str">
        <v>搖</v>
      </c>
      <c r="B1863">
        <v>13</v>
      </c>
      <c r="C1863" t="b">
        <v>0</v>
      </c>
      <c r="D1863" t="str">
        <v>ヨウ</v>
      </c>
      <c r="E1863" t="str">
        <v>ゆ（さぶる） ゆ（すぶる） ゆ（する） ゆ（らぐ） ゆ（る） ゆ（るぐ） ゆ（れる）</v>
      </c>
      <c r="F1863">
        <v>0</v>
      </c>
      <c r="G1863" t="str">
        <v>ゆれる。ゆらぐ。ゆるぐ。ゆれ動く。ゆらゆらと動く。 ゆする。ゆすぶる。ゆさぶる。ゆる。ゆり動かす。ゆすって動かす。</v>
      </c>
      <c r="I1863">
        <v>10</v>
      </c>
      <c r="J1863">
        <v>50</v>
      </c>
      <c r="K1863">
        <v>50</v>
      </c>
      <c r="L1863">
        <v>1</v>
      </c>
    </row>
    <row r="1864">
      <c r="A1864" t="str">
        <v>傘</v>
      </c>
      <c r="B1864">
        <v>12</v>
      </c>
      <c r="C1864" t="b">
        <v>1</v>
      </c>
      <c r="D1864" t="str">
        <v>サン</v>
      </c>
      <c r="E1864" t="str">
        <v>かさ</v>
      </c>
      <c r="F1864">
        <v>0</v>
      </c>
      <c r="G1864" t="str">
        <v>かさ。からかさ。雨がさ、日がさなどの総称。</v>
      </c>
      <c r="H1864" t="str">
        <v>#海・水</v>
      </c>
      <c r="I1864">
        <v>10</v>
      </c>
      <c r="J1864">
        <v>50</v>
      </c>
      <c r="K1864">
        <v>50</v>
      </c>
      <c r="L1864">
        <v>1</v>
      </c>
    </row>
    <row r="1865">
      <c r="A1865" t="str">
        <v>滋</v>
      </c>
      <c r="B1865">
        <v>12</v>
      </c>
      <c r="C1865" t="b">
        <v>1</v>
      </c>
      <c r="D1865" t="str">
        <v>ジ シ</v>
      </c>
      <c r="E1865" t="str">
        <v>しげ（る） ま（す）</v>
      </c>
      <c r="F1865" t="str">
        <v>あさ しげる ふさ ます</v>
      </c>
      <c r="G1865" t="str">
        <v>しげる。育つ。育てる。成長する。 うるおう。うるおす。水分や養分を与える。 ます。増える。 いよいよ。ますます。 美味い。味が良い。栄養のある。例：滋養</v>
      </c>
      <c r="H1865" t="str">
        <v>#天空</v>
      </c>
      <c r="I1865">
        <v>80</v>
      </c>
      <c r="J1865">
        <v>85</v>
      </c>
      <c r="K1865">
        <v>35</v>
      </c>
      <c r="L1865">
        <v>0</v>
      </c>
      <c r="M1865">
        <f>VLOOKUP(A1865,[1]kanji_data!$A:$N,14,FALSE)</f>
        <v>0</v>
      </c>
    </row>
    <row r="1866">
      <c r="A1866" t="str">
        <v>循</v>
      </c>
      <c r="B1866">
        <v>12</v>
      </c>
      <c r="C1866" t="b">
        <v>1</v>
      </c>
      <c r="D1866" t="str">
        <v>ジュン</v>
      </c>
      <c r="E1866" t="str">
        <v>したが（う） めぐ（る）</v>
      </c>
      <c r="F1866">
        <v>0</v>
      </c>
      <c r="G1866" t="str">
        <v>したがう。うしろについて行く。決まりの通りにする。 したがう。沿って行く。たどりながら行く。 めぐる。まわる。見まわる。＝巡 なでる。なだめる。なぐさめる。</v>
      </c>
      <c r="H1866" t="str">
        <v>#慈愛</v>
      </c>
      <c r="I1866">
        <v>10</v>
      </c>
      <c r="J1866">
        <v>50</v>
      </c>
      <c r="K1866">
        <v>50</v>
      </c>
      <c r="L1866">
        <v>1</v>
      </c>
    </row>
    <row r="1867">
      <c r="A1867" t="str">
        <v>裝</v>
      </c>
      <c r="B1867">
        <v>13</v>
      </c>
      <c r="C1867" t="b">
        <v>0</v>
      </c>
      <c r="D1867" t="str">
        <v>ソウ ショウ</v>
      </c>
      <c r="E1867" t="str">
        <v>よそお（う） よそ（う）</v>
      </c>
      <c r="F1867">
        <v>0</v>
      </c>
      <c r="G1867" t="str">
        <v>よそおう。よそう。身支度をする。よそおい。 つつむ。衣服でつつむ。たばねる。つめる。 つける。取りつける。ととのえる。仕掛ける。そなえ付ける。</v>
      </c>
      <c r="I1867">
        <v>10</v>
      </c>
      <c r="J1867">
        <v>50</v>
      </c>
      <c r="K1867">
        <v>50</v>
      </c>
      <c r="L1867">
        <v>1</v>
      </c>
    </row>
    <row r="1868">
      <c r="A1868" t="str">
        <v>暑</v>
      </c>
      <c r="B1868">
        <v>13</v>
      </c>
      <c r="C1868" t="b">
        <v>0</v>
      </c>
      <c r="D1868" t="str">
        <v>ショ</v>
      </c>
      <c r="E1868" t="str">
        <v>あつ（い）</v>
      </c>
      <c r="F1868">
        <v>0</v>
      </c>
      <c r="G1868" t="str">
        <v>あつい。気温が高くてあつい。また、そのような季節。夏。</v>
      </c>
      <c r="I1868">
        <v>10</v>
      </c>
      <c r="J1868">
        <v>50</v>
      </c>
      <c r="K1868">
        <v>50</v>
      </c>
      <c r="L1868">
        <v>1</v>
      </c>
    </row>
    <row r="1869">
      <c r="A1869" t="str">
        <v>煮</v>
      </c>
      <c r="B1869">
        <v>12</v>
      </c>
      <c r="C1869" t="b">
        <v>0</v>
      </c>
      <c r="D1869" t="str">
        <v>シャ</v>
      </c>
      <c r="E1869" t="str">
        <v>に（える） に（やす） に（る）</v>
      </c>
      <c r="F1869">
        <v>0</v>
      </c>
      <c r="G1869" t="str">
        <v>にる。にえる。にやす。水に入れて熱する。</v>
      </c>
      <c r="I1869">
        <v>10</v>
      </c>
      <c r="J1869">
        <v>50</v>
      </c>
      <c r="K1869">
        <v>50</v>
      </c>
      <c r="L1869">
        <v>1</v>
      </c>
    </row>
    <row r="1870">
      <c r="A1870" t="str">
        <v>碑</v>
      </c>
      <c r="B1870">
        <v>13</v>
      </c>
      <c r="C1870" t="b">
        <v>0</v>
      </c>
      <c r="D1870" t="str">
        <v>ヒ</v>
      </c>
      <c r="E1870" t="str">
        <v>いしぶみ</v>
      </c>
      <c r="F1870">
        <v>0</v>
      </c>
      <c r="G1870" t="str">
        <v>たていし。棺を墓穴に下ろすために用いる石柱。 たていし。日かげをみることにより時間をはかるために用いる石柱。 いしぶみ。文字の刻まれた石柱。</v>
      </c>
      <c r="I1870">
        <v>10</v>
      </c>
      <c r="J1870">
        <v>50</v>
      </c>
      <c r="K1870">
        <v>50</v>
      </c>
      <c r="L1870">
        <v>1</v>
      </c>
    </row>
    <row r="1871">
      <c r="A1871" t="str">
        <v>鳴</v>
      </c>
      <c r="B1871">
        <v>14</v>
      </c>
      <c r="C1871" t="b">
        <v>1</v>
      </c>
      <c r="D1871" t="str">
        <v>メイ ミョウ</v>
      </c>
      <c r="E1871" t="str">
        <v>な（く） な（らす） な（る）</v>
      </c>
      <c r="F1871" t="str">
        <v>なり</v>
      </c>
      <c r="G1871" t="str">
        <v>なく。鳥や獣、虫などが声を出す。 なる。ならす。物が音を出す。 なる。なりひびく。名声が広く伝わる。</v>
      </c>
      <c r="I1871">
        <v>15</v>
      </c>
      <c r="J1871">
        <v>55</v>
      </c>
      <c r="K1871">
        <v>55</v>
      </c>
      <c r="L1871">
        <v>0</v>
      </c>
      <c r="M1871">
        <f>VLOOKUP(A1871,[1]kanji_data!$A:$N,14,FALSE)</f>
        <v>0</v>
      </c>
    </row>
    <row r="1872">
      <c r="A1872" t="str">
        <v>喪</v>
      </c>
      <c r="B1872">
        <v>12</v>
      </c>
      <c r="C1872" t="b">
        <v>1</v>
      </c>
      <c r="D1872" t="str">
        <v>ソウ</v>
      </c>
      <c r="E1872" t="str">
        <v>も うしな（う） ほろ（びる） ほろ（ぼす）</v>
      </c>
      <c r="F1872">
        <v>0</v>
      </c>
      <c r="G1872" t="str">
        <v>も。人の死後、近い親族などが一定期間外出や祝い事をさけること。 うしなう。持っていたものをなくす。 ほろびる。ほろぼす。</v>
      </c>
      <c r="H1872" t="str">
        <v>#幸福</v>
      </c>
      <c r="I1872">
        <v>0</v>
      </c>
      <c r="J1872">
        <v>50</v>
      </c>
      <c r="K1872">
        <v>50</v>
      </c>
      <c r="L1872">
        <v>1</v>
      </c>
    </row>
    <row r="1873">
      <c r="A1873" t="str">
        <v>様</v>
      </c>
      <c r="B1873">
        <v>14</v>
      </c>
      <c r="C1873" t="b">
        <v>1</v>
      </c>
      <c r="D1873" t="str">
        <v>ヨウ</v>
      </c>
      <c r="E1873" t="str">
        <v>さま</v>
      </c>
      <c r="F1873">
        <v>0</v>
      </c>
      <c r="G1873" t="str">
        <v>さま。すがたかたち。ありさま。 かた。のり。手本。 質や個数、種類などを数えることば。 さま。名前などの下につけて敬意を表す。</v>
      </c>
      <c r="I1873">
        <v>10</v>
      </c>
      <c r="J1873">
        <v>50</v>
      </c>
      <c r="K1873">
        <v>50</v>
      </c>
      <c r="L1873">
        <v>1</v>
      </c>
    </row>
    <row r="1874">
      <c r="A1874" t="str">
        <v>関</v>
      </c>
      <c r="B1874">
        <v>14</v>
      </c>
      <c r="C1874" t="b">
        <v>1</v>
      </c>
      <c r="D1874" t="str">
        <v>カン</v>
      </c>
      <c r="E1874" t="str">
        <v>かか（わる） せき からくり かんぬき</v>
      </c>
      <c r="F1874">
        <v>0</v>
      </c>
      <c r="G1874" t="str">
        <v>せき。せきしょ。国境や交通の要所に設置して通行人を調べるところ。 かんぬき。門の戸をしめる横木。 とざす。しめる。ふさぐ。 からくり。しかけ。しくみ。 かかわる。あずかる。関係する。</v>
      </c>
      <c r="I1874">
        <v>10</v>
      </c>
      <c r="J1874">
        <v>90</v>
      </c>
      <c r="K1874">
        <v>45</v>
      </c>
      <c r="L1874">
        <v>0</v>
      </c>
      <c r="M1874">
        <f>VLOOKUP(A1874,[1]kanji_data!$A:$N,14,FALSE)</f>
        <v>0</v>
      </c>
    </row>
    <row r="1875">
      <c r="A1875" t="str">
        <v>歴</v>
      </c>
      <c r="B1875">
        <v>14</v>
      </c>
      <c r="C1875" t="b">
        <v>1</v>
      </c>
      <c r="D1875" t="str">
        <v>レキ リャク</v>
      </c>
      <c r="E1875" t="str">
        <v>へ（る）</v>
      </c>
      <c r="F1875">
        <v>0</v>
      </c>
      <c r="G1875" t="str">
        <v>へる。すぎる。経過する。また、すぎてきた跡。すぎた事柄。 こえる。とびこえる。 ことごとく。また、ひとつひとつ。次々に。 はっきりしているさま。あきらかなさま。 こよみ。＝暦</v>
      </c>
      <c r="I1875">
        <v>10</v>
      </c>
      <c r="J1875">
        <v>50</v>
      </c>
      <c r="K1875">
        <v>50</v>
      </c>
      <c r="L1875">
        <v>1</v>
      </c>
    </row>
    <row r="1876">
      <c r="A1876" t="str">
        <v>境</v>
      </c>
      <c r="B1876">
        <v>14</v>
      </c>
      <c r="C1876" t="b">
        <v>1</v>
      </c>
      <c r="D1876" t="str">
        <v>キョウ ケイ</v>
      </c>
      <c r="E1876" t="str">
        <v>さかい</v>
      </c>
      <c r="F1876">
        <v>0</v>
      </c>
      <c r="G1876" t="str">
        <v>さかい。くぎり。境界。 場所。地域。区域。 置かれている状態や様子。めぐりあわせ。ありさま。</v>
      </c>
      <c r="I1876">
        <v>10</v>
      </c>
      <c r="J1876">
        <v>55</v>
      </c>
      <c r="K1876">
        <v>55</v>
      </c>
      <c r="L1876">
        <v>0</v>
      </c>
      <c r="M1876">
        <f>VLOOKUP(A1876,[1]kanji_data!$A:$N,14,FALSE)</f>
        <v>0</v>
      </c>
    </row>
    <row r="1877">
      <c r="A1877" t="str">
        <v>銭</v>
      </c>
      <c r="B1877">
        <v>14</v>
      </c>
      <c r="C1877" t="b">
        <v>1</v>
      </c>
      <c r="D1877" t="str">
        <v>セン ゼン</v>
      </c>
      <c r="E1877" t="str">
        <v>ぜに すき</v>
      </c>
      <c r="F1877">
        <v>0</v>
      </c>
      <c r="G1877" t="str">
        <v>ぜに。お金。貨幣。 重さの単位。一両の十分の一。 すき。土をけずる農具。 せん。貨幣の単位。一円の百分の一。</v>
      </c>
      <c r="I1877">
        <v>10</v>
      </c>
      <c r="J1877">
        <v>50</v>
      </c>
      <c r="K1877">
        <v>50</v>
      </c>
      <c r="L1877">
        <v>1</v>
      </c>
    </row>
    <row r="1878">
      <c r="A1878" t="str">
        <v>筒</v>
      </c>
      <c r="B1878">
        <v>12</v>
      </c>
      <c r="C1878" t="b">
        <v>1</v>
      </c>
      <c r="D1878" t="str">
        <v>トウ</v>
      </c>
      <c r="E1878" t="str">
        <v>つつ</v>
      </c>
      <c r="F1878" t="str">
        <v>まる</v>
      </c>
      <c r="G1878" t="str">
        <v>つつ。竹づつ。筒状のもの。 円柱状で中のうつろなもの。 つつ。銃身。鉄砲。砲身。</v>
      </c>
      <c r="H1878" t="str">
        <v>#自然</v>
      </c>
      <c r="I1878">
        <v>5</v>
      </c>
      <c r="J1878">
        <v>50</v>
      </c>
      <c r="K1878">
        <v>50</v>
      </c>
      <c r="L1878">
        <v>1</v>
      </c>
    </row>
    <row r="1879">
      <c r="A1879" t="str">
        <v>棟</v>
      </c>
      <c r="B1879">
        <v>12</v>
      </c>
      <c r="C1879" t="b">
        <v>1</v>
      </c>
      <c r="D1879" t="str">
        <v>トウ</v>
      </c>
      <c r="E1879" t="str">
        <v>むね むな かしら</v>
      </c>
      <c r="F1879">
        <v>0</v>
      </c>
      <c r="G1879" t="str">
        <v>むね。むな。屋根の一番高い部分。 むなぎ。家のむねに使う木材。 かしら。おさ。重要な人物。 星の名。大角の別名。 むね。家屋を数えることば。</v>
      </c>
      <c r="H1879" t="str">
        <v>#品格 #天空 #繁栄 #自然</v>
      </c>
      <c r="I1879">
        <v>40</v>
      </c>
      <c r="J1879">
        <v>80</v>
      </c>
      <c r="K1879">
        <v>45</v>
      </c>
      <c r="L1879">
        <v>0</v>
      </c>
      <c r="M1879">
        <f>VLOOKUP(A1879,[1]kanji_data!$A:$N,14,FALSE)</f>
        <v>0</v>
      </c>
    </row>
    <row r="1880">
      <c r="A1880" t="str">
        <v>廃</v>
      </c>
      <c r="B1880">
        <v>12</v>
      </c>
      <c r="C1880" t="b">
        <v>1</v>
      </c>
      <c r="D1880" t="str">
        <v>ハイ</v>
      </c>
      <c r="E1880" t="str">
        <v>すた（る） すた（れる） や（める）</v>
      </c>
      <c r="F1880">
        <v>0</v>
      </c>
      <c r="G1880" t="str">
        <v>すたれる。すたる。だめになる。 やめる。すてる。すてさる。</v>
      </c>
      <c r="H1880" t="str">
        <v>#天空</v>
      </c>
      <c r="I1880">
        <v>0</v>
      </c>
      <c r="J1880">
        <v>50</v>
      </c>
      <c r="K1880">
        <v>50</v>
      </c>
      <c r="L1880">
        <v>1</v>
      </c>
    </row>
    <row r="1881">
      <c r="A1881" t="str">
        <v>総</v>
      </c>
      <c r="B1881">
        <v>14</v>
      </c>
      <c r="C1881" t="b">
        <v>1</v>
      </c>
      <c r="D1881" t="str">
        <v>ソウ</v>
      </c>
      <c r="E1881" t="str">
        <v>すべ（て） す（べる） ふさ</v>
      </c>
      <c r="F1881" t="str">
        <v>おさ さ そ のぶ みち</v>
      </c>
      <c r="G1881" t="str">
        <v>すべて。全部。みな。そろって。 すべる。まとめる。治める。取り締まる。支配する。 むすぶ。つなぐ。 ふさ。糸を束ねてくくったかざり。</v>
      </c>
      <c r="I1881">
        <v>15</v>
      </c>
      <c r="J1881">
        <v>80</v>
      </c>
      <c r="K1881">
        <v>45</v>
      </c>
      <c r="L1881">
        <v>0</v>
      </c>
      <c r="M1881">
        <f>VLOOKUP(A1881,[1]kanji_data!$A:$N,14,FALSE)</f>
        <v>0</v>
      </c>
    </row>
    <row r="1882">
      <c r="A1882" t="str">
        <v>増</v>
      </c>
      <c r="B1882">
        <v>14</v>
      </c>
      <c r="C1882" t="b">
        <v>1</v>
      </c>
      <c r="D1882" t="str">
        <v>ゾウ ソウ</v>
      </c>
      <c r="E1882" t="str">
        <v>ふ（える） ふ（やす） ま（す）</v>
      </c>
      <c r="F1882">
        <v>0</v>
      </c>
      <c r="G1882" t="str">
        <v>ます。ふえる。ふやす。数や量を多くする。積み上げる。重ねる。 ますます。さらに。より一層。</v>
      </c>
      <c r="I1882">
        <v>10</v>
      </c>
      <c r="J1882">
        <v>50</v>
      </c>
      <c r="K1882">
        <v>50</v>
      </c>
      <c r="L1882">
        <v>1</v>
      </c>
    </row>
    <row r="1883">
      <c r="A1883" t="str">
        <v>雰</v>
      </c>
      <c r="B1883">
        <v>12</v>
      </c>
      <c r="C1883" t="b">
        <v>1</v>
      </c>
      <c r="D1883" t="str">
        <v>フン</v>
      </c>
      <c r="E1883" t="str">
        <v>きり</v>
      </c>
      <c r="F1883">
        <v>0</v>
      </c>
      <c r="G1883" t="str">
        <v>きり。もや。水分を含んだ空気。もやもやとたちこめる空気。 「雰雰（ふんぷん・ふんぶん）」は、雪や雨が乱れ降るさま。</v>
      </c>
      <c r="H1883" t="str">
        <v>#天空 #海・水</v>
      </c>
      <c r="I1883">
        <v>10</v>
      </c>
      <c r="J1883">
        <v>50</v>
      </c>
      <c r="K1883">
        <v>50</v>
      </c>
      <c r="L1883">
        <v>1</v>
      </c>
    </row>
    <row r="1884">
      <c r="A1884" t="str">
        <v>像</v>
      </c>
      <c r="B1884">
        <v>14</v>
      </c>
      <c r="C1884" t="b">
        <v>1</v>
      </c>
      <c r="D1884" t="str">
        <v>ゾウ ショウ</v>
      </c>
      <c r="E1884" t="str">
        <v>かたち かたど（る）</v>
      </c>
      <c r="F1884">
        <v>0</v>
      </c>
      <c r="G1884" t="str">
        <v>かたち。姿。ありさま。 かたち。似姿。似せて作った絵や像。 かたどる。似せる。似せて作る。</v>
      </c>
      <c r="I1884">
        <v>10</v>
      </c>
      <c r="J1884">
        <v>50</v>
      </c>
      <c r="K1884">
        <v>50</v>
      </c>
      <c r="L1884">
        <v>1</v>
      </c>
    </row>
    <row r="1885">
      <c r="A1885" t="str">
        <v>適</v>
      </c>
      <c r="B1885">
        <v>14</v>
      </c>
      <c r="C1885" t="b">
        <v>1</v>
      </c>
      <c r="D1885" t="str">
        <v>テキ セキ タク</v>
      </c>
      <c r="E1885" t="str">
        <v>かな（う） たまたま ゆ（く）</v>
      </c>
      <c r="F1885">
        <v>0</v>
      </c>
      <c r="G1885" t="str">
        <v>ゆく。おもむく。身をよせる。 かなう。つりあう。ほどよい。かなう。ぴたりとあう。 ちょうど。まさに。 たまたま。ちょうどよく。 正妻。 よつぎ。正妻の子。 主人。あるじ。 もっぱら。主として。 上位。正位。 責める。とがめる。</v>
      </c>
      <c r="I1885">
        <v>10</v>
      </c>
      <c r="J1885">
        <v>50</v>
      </c>
      <c r="K1885">
        <v>50</v>
      </c>
      <c r="L1885">
        <v>1</v>
      </c>
    </row>
    <row r="1886">
      <c r="A1886" t="str">
        <v>愉</v>
      </c>
      <c r="B1886">
        <v>12</v>
      </c>
      <c r="C1886" t="b">
        <v>1</v>
      </c>
      <c r="D1886" t="str">
        <v>ユ</v>
      </c>
      <c r="E1886" t="str">
        <v>たの（しい） たの（しむ）</v>
      </c>
      <c r="F1886">
        <v>0</v>
      </c>
      <c r="G1886" t="str">
        <v>たのしい。たのしむ。よろこびたのしむ。</v>
      </c>
      <c r="H1886" t="str">
        <v>#幸福</v>
      </c>
      <c r="I1886">
        <v>40</v>
      </c>
      <c r="J1886">
        <v>30</v>
      </c>
      <c r="K1886">
        <v>85</v>
      </c>
      <c r="L1886">
        <v>0</v>
      </c>
      <c r="M1886">
        <f>VLOOKUP(A1886,[1]kanji_data!$A:$N,14,FALSE)</f>
        <v>0</v>
      </c>
    </row>
    <row r="1887">
      <c r="A1887" t="str">
        <v>裕</v>
      </c>
      <c r="B1887">
        <v>12</v>
      </c>
      <c r="C1887" t="b">
        <v>1</v>
      </c>
      <c r="D1887" t="str">
        <v>ユウ ユ</v>
      </c>
      <c r="E1887" t="str">
        <v>ひろ（い） ゆた（か）</v>
      </c>
      <c r="F1887" t="str">
        <v>すけ たかし ひろ ひろし まさ みち やす やすし ゆ ゆたか</v>
      </c>
      <c r="G1887" t="str">
        <v>ゆたか。ゆとりがある。満ち足りている。十分にある。 ゆるやか。広い。心が広い。ゆったりとしたさま。</v>
      </c>
      <c r="H1887" t="str">
        <v>#繁栄</v>
      </c>
      <c r="I1887">
        <v>100</v>
      </c>
      <c r="J1887">
        <v>55</v>
      </c>
      <c r="K1887">
        <v>70</v>
      </c>
      <c r="L1887">
        <v>0</v>
      </c>
      <c r="M1887">
        <f>VLOOKUP(A1887,[1]kanji_data!$A:$N,14,FALSE)</f>
        <v>0</v>
      </c>
    </row>
    <row r="1888">
      <c r="A1888" t="str">
        <v>磁</v>
      </c>
      <c r="B1888">
        <v>14</v>
      </c>
      <c r="C1888" t="b">
        <v>1</v>
      </c>
      <c r="D1888" t="str">
        <v>ジ シ</v>
      </c>
      <c r="E1888" t="str">
        <v>やきもの</v>
      </c>
      <c r="F1888">
        <v>0</v>
      </c>
      <c r="G1888" t="str">
        <v>鉄をひきつけたり、南北を指し示す性質を持つ鉱物。また、そのような性質。 やきもの。せともの。堅く焼き上げた陶器。</v>
      </c>
      <c r="I1888">
        <v>10</v>
      </c>
      <c r="J1888">
        <v>50</v>
      </c>
      <c r="K1888">
        <v>50</v>
      </c>
      <c r="L1888">
        <v>1</v>
      </c>
    </row>
    <row r="1889">
      <c r="A1889" t="str">
        <v>障</v>
      </c>
      <c r="B1889">
        <v>14</v>
      </c>
      <c r="C1889" t="b">
        <v>1</v>
      </c>
      <c r="D1889" t="str">
        <v>ショウ</v>
      </c>
      <c r="E1889" t="str">
        <v>さわ（る） ふせ（ぐ） へだ（てる）</v>
      </c>
      <c r="F1889">
        <v>0</v>
      </c>
      <c r="G1889" t="str">
        <v>さわる。さしつかえる。さまたげになる。 さわり。さしさわり。じゃま。 ふせぐ。ふさぐ。止める。</v>
      </c>
      <c r="I1889">
        <v>10</v>
      </c>
      <c r="J1889">
        <v>50</v>
      </c>
      <c r="K1889">
        <v>50</v>
      </c>
      <c r="L1889">
        <v>1</v>
      </c>
    </row>
    <row r="1890">
      <c r="A1890" t="str">
        <v>層</v>
      </c>
      <c r="B1890">
        <v>14</v>
      </c>
      <c r="C1890" t="b">
        <v>1</v>
      </c>
      <c r="D1890" t="str">
        <v>ソウ</v>
      </c>
      <c r="E1890" t="str">
        <v>かさ（なる）</v>
      </c>
      <c r="F1890">
        <v>0</v>
      </c>
      <c r="G1890" t="str">
        <v>かさなる。幾重にもかさなる。 かさなり。幾重にもかさなったもの。 二階以上ある建物。かさなった建物。 階級。社会における階級。</v>
      </c>
      <c r="I1890">
        <v>10</v>
      </c>
      <c r="J1890">
        <v>50</v>
      </c>
      <c r="K1890">
        <v>50</v>
      </c>
      <c r="L1890">
        <v>1</v>
      </c>
    </row>
    <row r="1891">
      <c r="A1891" t="str">
        <v>塁</v>
      </c>
      <c r="B1891">
        <v>12</v>
      </c>
      <c r="C1891" t="b">
        <v>1</v>
      </c>
      <c r="D1891" t="str">
        <v>ルイ</v>
      </c>
      <c r="E1891" t="str">
        <v>かさ（ねる） とりで</v>
      </c>
      <c r="F1891" t="str">
        <v>たか</v>
      </c>
      <c r="G1891" t="str">
        <v>とりで。土や石など築いた小さな城。 かさねる。つむ。つみあげる。 つながる。つらなる。 るい。野球のベース。</v>
      </c>
      <c r="H1891" t="str">
        <v>#自然</v>
      </c>
      <c r="I1891">
        <v>15</v>
      </c>
      <c r="J1891">
        <v>100</v>
      </c>
      <c r="K1891">
        <v>20</v>
      </c>
      <c r="L1891">
        <v>0</v>
      </c>
      <c r="M1891">
        <f>VLOOKUP(A1891,[1]kanji_data!$A:$N,14,FALSE)</f>
        <v>0</v>
      </c>
    </row>
    <row r="1892">
      <c r="A1892" t="str">
        <v>嵐</v>
      </c>
      <c r="B1892">
        <v>12</v>
      </c>
      <c r="C1892" t="b">
        <v>1</v>
      </c>
      <c r="D1892" t="str">
        <v>ラン</v>
      </c>
      <c r="E1892" t="str">
        <v>あらし</v>
      </c>
      <c r="F1892">
        <v>0</v>
      </c>
      <c r="G1892" t="str">
        <v>山の澄んだ空気や風。 あらし。きわめて激しい風。また、暴風雨。</v>
      </c>
      <c r="H1892" t="str">
        <v>#天空 #海・水 #自然</v>
      </c>
      <c r="I1892">
        <v>10</v>
      </c>
      <c r="J1892">
        <v>90</v>
      </c>
      <c r="K1892">
        <v>35</v>
      </c>
      <c r="L1892">
        <v>0</v>
      </c>
      <c r="M1892">
        <f>VLOOKUP(A1892,[1]kanji_data!$A:$N,14,FALSE)</f>
        <v>0</v>
      </c>
    </row>
    <row r="1893">
      <c r="A1893" t="str">
        <v>椅</v>
      </c>
      <c r="B1893">
        <v>12</v>
      </c>
      <c r="C1893" t="b">
        <v>1</v>
      </c>
      <c r="D1893" t="str">
        <v>イ</v>
      </c>
      <c r="E1893">
        <v>0</v>
      </c>
      <c r="F1893" t="str">
        <v>あづ あづさ よし</v>
      </c>
      <c r="G1893" t="str">
        <v>いいぎり。イイギリ科の落葉高木。 いす。こしかけ。</v>
      </c>
      <c r="H1893" t="str">
        <v>#自然</v>
      </c>
      <c r="I1893">
        <v>30</v>
      </c>
      <c r="J1893">
        <v>50</v>
      </c>
      <c r="K1893">
        <v>50</v>
      </c>
      <c r="L1893">
        <v>1</v>
      </c>
    </row>
    <row r="1894">
      <c r="A1894" t="str">
        <v>媛</v>
      </c>
      <c r="B1894">
        <v>12</v>
      </c>
      <c r="C1894" t="b">
        <v>1</v>
      </c>
      <c r="D1894" t="str">
        <v>エン</v>
      </c>
      <c r="E1894" t="str">
        <v>ひめ</v>
      </c>
      <c r="F1894" t="str">
        <v>ひ よし</v>
      </c>
      <c r="G1894" t="str">
        <v>美しい。姿やしぐさが美しい。 ひめ。たおやめ。美しい女性。美女。 ひめ。高貴な女性の敬称。</v>
      </c>
      <c r="H1894" t="str">
        <v>#品格 #花・彩</v>
      </c>
      <c r="I1894">
        <v>70</v>
      </c>
      <c r="J1894">
        <v>20</v>
      </c>
      <c r="K1894">
        <v>100</v>
      </c>
      <c r="L1894">
        <v>0</v>
      </c>
      <c r="M1894">
        <f>VLOOKUP(A1894,[1]kanji_data!$A:$N,14,FALSE)</f>
        <v>0</v>
      </c>
    </row>
    <row r="1895">
      <c r="A1895" t="str">
        <v>認</v>
      </c>
      <c r="B1895">
        <v>14</v>
      </c>
      <c r="C1895" t="b">
        <v>1</v>
      </c>
      <c r="D1895" t="str">
        <v>ニン ジン</v>
      </c>
      <c r="E1895" t="str">
        <v>みと（める） したた（める）</v>
      </c>
      <c r="F1895">
        <v>0</v>
      </c>
      <c r="G1895" t="str">
        <v>みとめる。ゆるす。承知する。見定める。 したためる。手紙を書く。 食事をする。食べる。 みとめ。みとめ印の略。</v>
      </c>
      <c r="I1895">
        <v>10</v>
      </c>
      <c r="J1895">
        <v>50</v>
      </c>
      <c r="K1895">
        <v>50</v>
      </c>
      <c r="L1895">
        <v>1</v>
      </c>
    </row>
    <row r="1896">
      <c r="A1896" t="str">
        <v>箇</v>
      </c>
      <c r="B1896">
        <v>14</v>
      </c>
      <c r="C1896" t="b">
        <v>1</v>
      </c>
      <c r="D1896" t="str">
        <v>カ コ</v>
      </c>
      <c r="E1896">
        <v>0</v>
      </c>
      <c r="F1896" t="str">
        <v>かず とも</v>
      </c>
      <c r="G1896" t="str">
        <v>か。こ。物を数えるのに用いる助数詞。 この。この。あの。あれ。ものや場所を指し示すことば。</v>
      </c>
      <c r="I1896">
        <v>15</v>
      </c>
      <c r="J1896">
        <v>50</v>
      </c>
      <c r="K1896">
        <v>50</v>
      </c>
      <c r="L1896">
        <v>1</v>
      </c>
    </row>
    <row r="1897">
      <c r="A1897" t="str">
        <v>需</v>
      </c>
      <c r="B1897">
        <v>14</v>
      </c>
      <c r="C1897" t="b">
        <v>1</v>
      </c>
      <c r="D1897" t="str">
        <v>ジュ</v>
      </c>
      <c r="E1897" t="str">
        <v>もと（める）</v>
      </c>
      <c r="F1897" t="str">
        <v>まち みつ もと もとむ もとめ</v>
      </c>
      <c r="G1897" t="str">
        <v>もとめる。もとめ。必要とする。不足しているものを要求する。 ためらう。進まない。決心がつかない。 易（エキ）の六十四卦の一つ。</v>
      </c>
      <c r="I1897">
        <v>15</v>
      </c>
      <c r="J1897">
        <v>50</v>
      </c>
      <c r="K1897">
        <v>50</v>
      </c>
      <c r="L1897">
        <v>1</v>
      </c>
    </row>
    <row r="1898">
      <c r="A1898" t="str">
        <v>摘</v>
      </c>
      <c r="B1898">
        <v>14</v>
      </c>
      <c r="C1898" t="b">
        <v>1</v>
      </c>
      <c r="D1898" t="str">
        <v>テキ</v>
      </c>
      <c r="E1898" t="str">
        <v>つ（む） つま（む）</v>
      </c>
      <c r="F1898" t="str">
        <v>つみ つむ づみ づむ</v>
      </c>
      <c r="G1898" t="str">
        <v>つむ。つまむ。つまんで取る。 選び出す。選んで抜き出す。 あばき出す。つまみ出す。</v>
      </c>
      <c r="I1898">
        <v>15</v>
      </c>
      <c r="J1898">
        <v>50</v>
      </c>
      <c r="K1898">
        <v>50</v>
      </c>
      <c r="L1898">
        <v>0</v>
      </c>
    </row>
    <row r="1899">
      <c r="A1899" t="str">
        <v>髪</v>
      </c>
      <c r="B1899">
        <v>14</v>
      </c>
      <c r="C1899" t="b">
        <v>1</v>
      </c>
      <c r="D1899" t="str">
        <v>ハツ ホツ</v>
      </c>
      <c r="E1899" t="str">
        <v>かみ</v>
      </c>
      <c r="F1899">
        <v>0</v>
      </c>
      <c r="G1899" t="str">
        <v>かみ。髪の毛。頭の毛。 ごくわずか。わずかな量のたとえ。 長さの単位。一寸の百分の一。</v>
      </c>
      <c r="I1899">
        <v>10</v>
      </c>
      <c r="J1899">
        <v>50</v>
      </c>
      <c r="K1899">
        <v>50</v>
      </c>
      <c r="L1899">
        <v>1</v>
      </c>
    </row>
    <row r="1900">
      <c r="A1900" t="str">
        <v>罰</v>
      </c>
      <c r="B1900">
        <v>14</v>
      </c>
      <c r="C1900" t="b">
        <v>1</v>
      </c>
      <c r="D1900" t="str">
        <v>バチ バツ ハツ</v>
      </c>
      <c r="E1900">
        <v>0</v>
      </c>
      <c r="F1900">
        <v>0</v>
      </c>
      <c r="G1900" t="str">
        <v>とがめ。しおき。ばつ。つみ。とがめる。しおきする。 ばち。罪・悪事のむくい。神仏のとがめ。</v>
      </c>
      <c r="I1900">
        <v>10</v>
      </c>
      <c r="J1900">
        <v>50</v>
      </c>
      <c r="K1900">
        <v>50</v>
      </c>
      <c r="L1900">
        <v>1</v>
      </c>
    </row>
    <row r="1901">
      <c r="A1901" t="str">
        <v>網</v>
      </c>
      <c r="B1901">
        <v>14</v>
      </c>
      <c r="C1901" t="b">
        <v>1</v>
      </c>
      <c r="D1901" t="str">
        <v>モウ ボウ</v>
      </c>
      <c r="E1901" t="str">
        <v>あみ</v>
      </c>
      <c r="F1901">
        <v>0</v>
      </c>
      <c r="G1901" t="str">
        <v>あみ。魚や動物を捕らえるあみ。 法律。法のあみ。 あみする。あみを張って捕らえる。残さずとる。</v>
      </c>
      <c r="I1901">
        <v>10</v>
      </c>
      <c r="J1901">
        <v>50</v>
      </c>
      <c r="K1901">
        <v>50</v>
      </c>
      <c r="L1901">
        <v>1</v>
      </c>
    </row>
    <row r="1902">
      <c r="A1902" t="str">
        <v>喩</v>
      </c>
      <c r="B1902">
        <v>12</v>
      </c>
      <c r="C1902" t="b">
        <v>1</v>
      </c>
      <c r="D1902" t="str">
        <v>ユ</v>
      </c>
      <c r="E1902" t="str">
        <v>さと（す） たと（える） よろこ（ぶ）</v>
      </c>
      <c r="F1902">
        <v>0</v>
      </c>
      <c r="G1902" t="str">
        <v>さとす。教える。教え導く。 さとる。知る。理解する。 たとえる。たとえ。引き合いに出す。 よろこぶ。楽しむ。＝愉</v>
      </c>
      <c r="H1902" t="str">
        <v>#幸福 #知性</v>
      </c>
      <c r="I1902">
        <v>10</v>
      </c>
      <c r="J1902">
        <v>50</v>
      </c>
      <c r="K1902">
        <v>50</v>
      </c>
      <c r="L1902">
        <v>1</v>
      </c>
    </row>
    <row r="1903">
      <c r="A1903" t="str">
        <v>湧</v>
      </c>
      <c r="B1903">
        <v>12</v>
      </c>
      <c r="C1903" t="b">
        <v>1</v>
      </c>
      <c r="D1903" t="str">
        <v>ユウ ヨウ</v>
      </c>
      <c r="E1903" t="str">
        <v>わ（く）</v>
      </c>
      <c r="F1903" t="str">
        <v>ゆ わか わく</v>
      </c>
      <c r="G1903" t="str">
        <v>わく。わき出る。わき上がる。水がわき出る。＝涌</v>
      </c>
      <c r="H1903" t="str">
        <v>#繁栄</v>
      </c>
      <c r="I1903">
        <v>85</v>
      </c>
      <c r="J1903">
        <v>85</v>
      </c>
      <c r="K1903">
        <v>30</v>
      </c>
      <c r="L1903">
        <v>0</v>
      </c>
      <c r="M1903">
        <f>VLOOKUP(A1903,[1]kanji_data!$A:$N,14,FALSE)</f>
        <v>0</v>
      </c>
    </row>
    <row r="1904">
      <c r="A1904" t="str">
        <v>綱</v>
      </c>
      <c r="B1904">
        <v>14</v>
      </c>
      <c r="C1904" t="b">
        <v>1</v>
      </c>
      <c r="D1904" t="str">
        <v>コウ</v>
      </c>
      <c r="E1904" t="str">
        <v>つな</v>
      </c>
      <c r="F1904" t="str">
        <v>つね</v>
      </c>
      <c r="G1904" t="str">
        <v>つな。おおづな。あみづな。 かなめ。おおもと。物事のかなめとなるもの。物事をとりしまるもの。 治める。すべる。管理する。 分類上の大きな区分。</v>
      </c>
      <c r="I1904">
        <v>15</v>
      </c>
      <c r="J1904">
        <v>90</v>
      </c>
      <c r="K1904">
        <v>35</v>
      </c>
      <c r="L1904">
        <v>0</v>
      </c>
      <c r="M1904">
        <f>VLOOKUP(A1904,[1]kanji_data!$A:$N,14,FALSE)</f>
        <v>0</v>
      </c>
    </row>
    <row r="1905">
      <c r="A1905" t="str">
        <v>渥</v>
      </c>
      <c r="B1905">
        <v>12</v>
      </c>
      <c r="C1905" t="b">
        <v>0</v>
      </c>
      <c r="D1905" t="str">
        <v>アク</v>
      </c>
      <c r="E1905" t="str">
        <v>あつ（い） うるお（い） こ（い）</v>
      </c>
      <c r="F1905" t="str">
        <v>あつ あつし ひく</v>
      </c>
      <c r="G1905" t="str">
        <v>あつい。こい。手厚い。ねんごろ。 うるおい。うるおう。うるおす。ひたす。 つや。つややか。光沢。つやがあって美しい。</v>
      </c>
      <c r="H1905" t="str">
        <v>#花・彩</v>
      </c>
      <c r="I1905">
        <v>90</v>
      </c>
      <c r="J1905">
        <v>45</v>
      </c>
      <c r="K1905">
        <v>70</v>
      </c>
      <c r="L1905">
        <v>0</v>
      </c>
      <c r="M1905">
        <f>VLOOKUP(A1905,[1]kanji_data!$A:$N,14,FALSE)</f>
        <v>0</v>
      </c>
    </row>
    <row r="1906">
      <c r="A1906" t="str">
        <v>粥</v>
      </c>
      <c r="B1906">
        <v>12</v>
      </c>
      <c r="C1906" t="b">
        <v>0</v>
      </c>
      <c r="D1906" t="str">
        <v>シュク イク</v>
      </c>
      <c r="E1906" t="str">
        <v>かゆ ひさ（ぐ）</v>
      </c>
      <c r="F1906">
        <v>0</v>
      </c>
      <c r="G1906" t="str">
        <v>かゆ。おかゆ。多めの水で、米をやわらかく煮たもの。＝鬻 「粥粥（しゅくしゅく）」は、芯のないさま。弱々しいさま。 ひさぐ。売る。 そだてる。やしなう。＝育 「粥粥（いくいく）」は、つつしむさま。おそれつつしむさま。</v>
      </c>
      <c r="H1906" t="str">
        <v>#天空</v>
      </c>
      <c r="I1906">
        <v>10</v>
      </c>
      <c r="J1906">
        <v>50</v>
      </c>
      <c r="K1906">
        <v>50</v>
      </c>
      <c r="L1906">
        <v>1</v>
      </c>
    </row>
    <row r="1907">
      <c r="A1907" t="str">
        <v>瑛</v>
      </c>
      <c r="B1907">
        <v>12</v>
      </c>
      <c r="C1907" t="b">
        <v>0</v>
      </c>
      <c r="D1907" t="str">
        <v>エイ</v>
      </c>
      <c r="E1907">
        <v>0</v>
      </c>
      <c r="F1907" t="str">
        <v>あき あきら え てる</v>
      </c>
      <c r="G1907" t="str">
        <v>美しく透明な玉。水晶。 玉の光。</v>
      </c>
      <c r="H1907" t="str">
        <v>#天空 #花・彩</v>
      </c>
      <c r="I1907">
        <v>100</v>
      </c>
      <c r="J1907">
        <v>40</v>
      </c>
      <c r="K1907">
        <v>95</v>
      </c>
      <c r="L1907">
        <v>0</v>
      </c>
      <c r="M1907">
        <f>VLOOKUP(A1907,[1]kanji_data!$A:$N,14,FALSE)</f>
        <v>0</v>
      </c>
    </row>
    <row r="1908">
      <c r="A1908" t="str">
        <v>酵</v>
      </c>
      <c r="B1908">
        <v>14</v>
      </c>
      <c r="C1908" t="b">
        <v>1</v>
      </c>
      <c r="D1908" t="str">
        <v>コウ</v>
      </c>
      <c r="E1908" t="str">
        <v>こうじ もと</v>
      </c>
      <c r="F1908">
        <v>0</v>
      </c>
      <c r="G1908" t="str">
        <v>酒をつくるときのもと。こうじ。こうじかび。 酒がかもされてあわ立つ。 さけかす。</v>
      </c>
      <c r="I1908">
        <v>10</v>
      </c>
      <c r="J1908">
        <v>50</v>
      </c>
      <c r="K1908">
        <v>50</v>
      </c>
      <c r="L1908">
        <v>1</v>
      </c>
    </row>
    <row r="1909">
      <c r="A1909" t="str">
        <v>淵</v>
      </c>
      <c r="B1909">
        <v>12</v>
      </c>
      <c r="C1909" t="b">
        <v>0</v>
      </c>
      <c r="D1909" t="str">
        <v>エン</v>
      </c>
      <c r="E1909" t="str">
        <v>おくぶか（い） ふか（い） ふち</v>
      </c>
      <c r="F1909">
        <v>0</v>
      </c>
      <c r="G1909" t="str">
        <v>ふち。水を深くたたえているところ。 物が多く集まる所。 深い。奥深い。 しずか。奥ゆかしい。静まり返る。ひっそりしている。</v>
      </c>
      <c r="H1909" t="str">
        <v>#海・水 #知性</v>
      </c>
      <c r="I1909">
        <v>10</v>
      </c>
      <c r="J1909">
        <v>55</v>
      </c>
      <c r="K1909">
        <v>60</v>
      </c>
      <c r="L1909">
        <v>0</v>
      </c>
      <c r="M1909">
        <f>VLOOKUP(A1909,[1]kanji_data!$A:$N,14,FALSE)</f>
        <v>0</v>
      </c>
    </row>
    <row r="1910">
      <c r="A1910" t="str">
        <v>凱</v>
      </c>
      <c r="B1910">
        <v>12</v>
      </c>
      <c r="C1910" t="b">
        <v>0</v>
      </c>
      <c r="D1910" t="str">
        <v>カイ ガイ</v>
      </c>
      <c r="E1910" t="str">
        <v>かちどき やわ（らぐ）</v>
      </c>
      <c r="F1910" t="str">
        <v>かつ たのし とき やす よし</v>
      </c>
      <c r="G1910" t="str">
        <v>かちどき。戦に勝ったときの喜びの声。 やわらぐ。楽しむ。なごやか。おだやか。</v>
      </c>
      <c r="H1910" t="str">
        <v>#幸福 #慈愛</v>
      </c>
      <c r="I1910">
        <v>95</v>
      </c>
      <c r="J1910">
        <v>70</v>
      </c>
      <c r="K1910">
        <v>55</v>
      </c>
      <c r="L1910">
        <v>0</v>
      </c>
      <c r="M1910">
        <f>VLOOKUP(A1910,[1]kanji_data!$A:$N,14,FALSE)</f>
        <v>0</v>
      </c>
    </row>
    <row r="1911">
      <c r="A1911" t="str">
        <v>遭</v>
      </c>
      <c r="B1911">
        <v>14</v>
      </c>
      <c r="C1911" t="b">
        <v>1</v>
      </c>
      <c r="D1911" t="str">
        <v>ソウ</v>
      </c>
      <c r="E1911" t="str">
        <v>あ（う）</v>
      </c>
      <c r="F1911">
        <v>0</v>
      </c>
      <c r="G1911" t="str">
        <v>あう。めぐりあう。出くわす。 めぐる。かこむ。周囲。 たび。回。度数を表す。 受身をあらわす助字。</v>
      </c>
      <c r="I1911">
        <v>10</v>
      </c>
      <c r="J1911">
        <v>50</v>
      </c>
      <c r="K1911">
        <v>50</v>
      </c>
      <c r="L1911">
        <v>1</v>
      </c>
    </row>
    <row r="1912">
      <c r="A1912" t="str">
        <v>碑</v>
      </c>
      <c r="B1912">
        <v>14</v>
      </c>
      <c r="C1912" t="b">
        <v>1</v>
      </c>
      <c r="D1912" t="str">
        <v>ヒ</v>
      </c>
      <c r="E1912" t="str">
        <v>いしぶみ</v>
      </c>
      <c r="F1912">
        <v>0</v>
      </c>
      <c r="G1912" t="str">
        <v>たていし。棺を墓穴に下ろすために用いる石柱。 たていし。日かげをみることにより時間をはかるために用いる石柱。 いしぶみ。文字の刻まれた石柱。</v>
      </c>
      <c r="I1912">
        <v>10</v>
      </c>
      <c r="J1912">
        <v>50</v>
      </c>
      <c r="K1912">
        <v>50</v>
      </c>
      <c r="L1912">
        <v>1</v>
      </c>
    </row>
    <row r="1913">
      <c r="A1913" t="str">
        <v>萱</v>
      </c>
      <c r="B1913">
        <v>12</v>
      </c>
      <c r="C1913" t="b">
        <v>0</v>
      </c>
      <c r="D1913" t="str">
        <v>カン ケン</v>
      </c>
      <c r="E1913" t="str">
        <v>かや わすれぐさ</v>
      </c>
      <c r="F1913" t="str">
        <v>ただ まさ</v>
      </c>
      <c r="G1913" t="str">
        <v>わすれぐさ。かんぞう。ユリ科の多年草。 かや。すげ。すすき。屋根をふくのに用いる植物の総称。</v>
      </c>
      <c r="H1913" t="str">
        <v>#自然</v>
      </c>
      <c r="I1913">
        <v>5</v>
      </c>
      <c r="J1913">
        <v>50</v>
      </c>
      <c r="K1913">
        <v>50</v>
      </c>
      <c r="L1913">
        <v>1</v>
      </c>
    </row>
    <row r="1914">
      <c r="A1914" t="str">
        <v>膜</v>
      </c>
      <c r="B1914">
        <v>14</v>
      </c>
      <c r="C1914" t="b">
        <v>1</v>
      </c>
      <c r="D1914" t="str">
        <v>マク バク ボ モ</v>
      </c>
      <c r="E1914">
        <v>0</v>
      </c>
      <c r="F1914">
        <v>0</v>
      </c>
      <c r="G1914" t="str">
        <v>まく。体内の臓器や筋肉などをおおい包む薄い皮。 うすかわ、ものの表面をおおう薄い皮。 両手をあげて、地に伏して拝むこと。</v>
      </c>
      <c r="I1914">
        <v>10</v>
      </c>
      <c r="J1914">
        <v>50</v>
      </c>
      <c r="K1914">
        <v>50</v>
      </c>
      <c r="L1914">
        <v>1</v>
      </c>
    </row>
    <row r="1915">
      <c r="A1915" t="str">
        <v>稀</v>
      </c>
      <c r="B1915">
        <v>12</v>
      </c>
      <c r="C1915" t="b">
        <v>0</v>
      </c>
      <c r="D1915" t="str">
        <v>キ ケ</v>
      </c>
      <c r="E1915" t="str">
        <v>うす（い） まば（ら） まれ</v>
      </c>
      <c r="F1915">
        <v>0</v>
      </c>
      <c r="G1915" t="str">
        <v>まれ。めずらしい。かすか。まばら。 うすい。うすめる。</v>
      </c>
      <c r="H1915" t="str">
        <v>#繁栄</v>
      </c>
      <c r="I1915">
        <v>50</v>
      </c>
      <c r="J1915">
        <v>70</v>
      </c>
      <c r="K1915">
        <v>50</v>
      </c>
      <c r="L1915">
        <v>0</v>
      </c>
      <c r="M1915">
        <f>VLOOKUP(A1915,[1]kanji_data!$A:$N,14,FALSE)</f>
        <v>0</v>
      </c>
    </row>
    <row r="1916">
      <c r="A1916" t="str">
        <v>葵</v>
      </c>
      <c r="B1916">
        <v>12</v>
      </c>
      <c r="C1916" t="b">
        <v>0</v>
      </c>
      <c r="D1916" t="str">
        <v>キ</v>
      </c>
      <c r="E1916" t="str">
        <v>あおい</v>
      </c>
      <c r="F1916" t="str">
        <v>あお まもる</v>
      </c>
      <c r="G1916" t="str">
        <v>あおい。草の名。あおい科の植物。 あおい。紋所の一つ。</v>
      </c>
      <c r="H1916" t="str">
        <v>#自然</v>
      </c>
      <c r="I1916">
        <v>100</v>
      </c>
      <c r="J1916">
        <v>60</v>
      </c>
      <c r="K1916">
        <v>50</v>
      </c>
      <c r="L1916">
        <v>0</v>
      </c>
      <c r="M1916">
        <f>VLOOKUP(A1916,[1]kanji_data!$A:$N,14,FALSE)</f>
        <v>0</v>
      </c>
    </row>
    <row r="1917">
      <c r="A1917" t="str">
        <v>卿</v>
      </c>
      <c r="B1917">
        <v>12</v>
      </c>
      <c r="C1917" t="b">
        <v>0</v>
      </c>
      <c r="D1917" t="str">
        <v>キョウ ケイ</v>
      </c>
      <c r="E1917" t="str">
        <v>きみ くげ</v>
      </c>
      <c r="F1917" t="str">
        <v>あき あきら のり</v>
      </c>
      <c r="G1917" t="str">
        <v>きみ。人に対しての敬称。 きみ。天子が重臣を呼ぶ語。 きみ。同等または同等以下の身分の者を呼ぶ語。 きみ。夫婦間で相手を呼ぶ語。 くげ。天子や諸侯のもとで政治をつかさどる高官。 かみ。四等官で、省の第一位。</v>
      </c>
      <c r="H1917" t="str">
        <v>#品格</v>
      </c>
      <c r="I1917">
        <v>85</v>
      </c>
      <c r="J1917">
        <v>45</v>
      </c>
      <c r="K1917">
        <v>65</v>
      </c>
      <c r="L1917">
        <v>0</v>
      </c>
      <c r="M1917">
        <f>VLOOKUP(A1917,[1]kanji_data!$A:$N,14,FALSE)</f>
        <v>0</v>
      </c>
    </row>
    <row r="1918">
      <c r="A1918" t="str">
        <v>喬</v>
      </c>
      <c r="B1918">
        <v>12</v>
      </c>
      <c r="C1918" t="b">
        <v>0</v>
      </c>
      <c r="D1918" t="str">
        <v>キョウ</v>
      </c>
      <c r="E1918" t="str">
        <v>おご（る） たか（い）</v>
      </c>
      <c r="F1918" t="str">
        <v>すけ たかし ただ のぶ もと</v>
      </c>
      <c r="G1918" t="str">
        <v>たかい。そそり立つ。おもに木や山などの高さが高いさまをいう。 おごる。おごりたかぶる。</v>
      </c>
      <c r="H1918" t="str">
        <v>#繁栄 #自然</v>
      </c>
      <c r="I1918">
        <v>90</v>
      </c>
      <c r="J1918">
        <v>95</v>
      </c>
      <c r="K1918">
        <v>40</v>
      </c>
      <c r="L1918">
        <v>0</v>
      </c>
      <c r="M1918">
        <f>VLOOKUP(A1918,[1]kanji_data!$A:$N,14,FALSE)</f>
        <v>0</v>
      </c>
    </row>
    <row r="1919">
      <c r="A1919" t="str">
        <v>欽</v>
      </c>
      <c r="B1919">
        <v>12</v>
      </c>
      <c r="C1919" t="b">
        <v>0</v>
      </c>
      <c r="D1919" t="str">
        <v>キン</v>
      </c>
      <c r="E1919" t="str">
        <v>うやま（う） つつし（む）</v>
      </c>
      <c r="F1919" t="str">
        <v>ただ まこと よし</v>
      </c>
      <c r="G1919" t="str">
        <v>つつしむ。うやまう。かしこまる。 天子に関する物事につけることば。</v>
      </c>
      <c r="H1919" t="str">
        <v>#品格 #心・志</v>
      </c>
      <c r="I1919">
        <v>85</v>
      </c>
      <c r="J1919">
        <v>55</v>
      </c>
      <c r="K1919">
        <v>65</v>
      </c>
      <c r="L1919">
        <v>0</v>
      </c>
      <c r="M1919">
        <f>VLOOKUP(A1919,[1]kanji_data!$A:$N,14,FALSE)</f>
        <v>0</v>
      </c>
    </row>
    <row r="1920">
      <c r="A1920" t="str">
        <v>誘</v>
      </c>
      <c r="B1920">
        <v>14</v>
      </c>
      <c r="C1920" t="b">
        <v>1</v>
      </c>
      <c r="D1920" t="str">
        <v>ユウ</v>
      </c>
      <c r="E1920" t="str">
        <v>さそ（う） いざな（う） おび（く）</v>
      </c>
      <c r="F1920">
        <v>0</v>
      </c>
      <c r="G1920" t="str">
        <v>さそう。いざなう。みちびく。そそのかす。</v>
      </c>
      <c r="I1920">
        <v>10</v>
      </c>
      <c r="J1920">
        <v>50</v>
      </c>
      <c r="K1920">
        <v>50</v>
      </c>
      <c r="L1920">
        <v>1</v>
      </c>
    </row>
    <row r="1921">
      <c r="A1921" t="str">
        <v>腔</v>
      </c>
      <c r="B1921">
        <v>12</v>
      </c>
      <c r="C1921" t="b">
        <v>0</v>
      </c>
      <c r="D1921" t="str">
        <v>クウ コウ</v>
      </c>
      <c r="E1921" t="str">
        <v>から からだ</v>
      </c>
      <c r="F1921">
        <v>0</v>
      </c>
      <c r="G1921" t="str">
        <v>から。うつろ。体内の空虚なところ。中がからっぽなところ。 からだ。身のうち。 ふし。曲調。歌のふしまわし。 ほじし。羊の干し肉。 羊の肋（あばら）。</v>
      </c>
      <c r="H1921" t="str">
        <v>#天空</v>
      </c>
      <c r="I1921">
        <v>10</v>
      </c>
      <c r="J1921">
        <v>50</v>
      </c>
      <c r="K1921">
        <v>50</v>
      </c>
      <c r="L1921">
        <v>1</v>
      </c>
    </row>
    <row r="1922">
      <c r="A1922" t="str">
        <v>漏</v>
      </c>
      <c r="B1922">
        <v>14</v>
      </c>
      <c r="C1922" t="b">
        <v>1</v>
      </c>
      <c r="D1922" t="str">
        <v>ロウ</v>
      </c>
      <c r="E1922" t="str">
        <v>も（らす） も（る） も（れる）</v>
      </c>
      <c r="F1922">
        <v>0</v>
      </c>
      <c r="G1922" t="str">
        <v>もる。もれる。もらす。水や光などがすきまからもれ出る。また、秘密が外に知られる。 抜け落ちる。取りこぼす。忘れる。手抜かりがある。 水時計。 煩悩。</v>
      </c>
      <c r="I1922">
        <v>10</v>
      </c>
      <c r="J1922">
        <v>50</v>
      </c>
      <c r="K1922">
        <v>50</v>
      </c>
      <c r="L1922">
        <v>1</v>
      </c>
    </row>
    <row r="1923">
      <c r="A1923" t="str">
        <v>寡</v>
      </c>
      <c r="B1923">
        <v>14</v>
      </c>
      <c r="C1923" t="b">
        <v>1</v>
      </c>
      <c r="D1923" t="str">
        <v>カ</v>
      </c>
      <c r="E1923" t="str">
        <v>すく（ない） やもめ</v>
      </c>
      <c r="F1923">
        <v>0</v>
      </c>
      <c r="G1923" t="str">
        <v>すくない。数や量がすくない。 すくなくする。減らす。 やもめ。夫に先立たれた女性。 よわい。力が弱い。 王や諸侯が自分を謙遜していうことば。</v>
      </c>
      <c r="I1923">
        <v>10</v>
      </c>
      <c r="J1923">
        <v>50</v>
      </c>
      <c r="K1923">
        <v>50</v>
      </c>
      <c r="L1923">
        <v>1</v>
      </c>
    </row>
    <row r="1924">
      <c r="A1924" t="str">
        <v>喧</v>
      </c>
      <c r="B1924">
        <v>12</v>
      </c>
      <c r="C1924" t="b">
        <v>0</v>
      </c>
      <c r="D1924" t="str">
        <v>ケン</v>
      </c>
      <c r="E1924" t="str">
        <v>かまびす（しい） やかま（しい）</v>
      </c>
      <c r="F1924">
        <v>0</v>
      </c>
      <c r="G1924" t="str">
        <v>かまびすしい。やかましい。うるさい。 盛んなさま。盛大なさま。</v>
      </c>
      <c r="H1924" t="str">
        <v>#繁栄</v>
      </c>
      <c r="I1924">
        <v>10</v>
      </c>
      <c r="J1924">
        <v>50</v>
      </c>
      <c r="K1924">
        <v>50</v>
      </c>
      <c r="L1924">
        <v>1</v>
      </c>
    </row>
    <row r="1925">
      <c r="A1925" t="str">
        <v>硯</v>
      </c>
      <c r="B1925">
        <v>12</v>
      </c>
      <c r="C1925" t="b">
        <v>0</v>
      </c>
      <c r="D1925" t="str">
        <v>ケン ゲン</v>
      </c>
      <c r="E1925" t="str">
        <v>すずり</v>
      </c>
      <c r="F1925" t="str">
        <v>すず</v>
      </c>
      <c r="G1925" t="str">
        <v>すずり。すずり石。墨をするための道具。転じて、学問のたとえ。</v>
      </c>
      <c r="H1925" t="str">
        <v>#知性</v>
      </c>
      <c r="I1925">
        <v>85</v>
      </c>
      <c r="J1925">
        <v>55</v>
      </c>
      <c r="K1925">
        <v>55</v>
      </c>
      <c r="L1925">
        <v>0</v>
      </c>
      <c r="M1925">
        <f>VLOOKUP(A1925,[1]kanji_data!$A:$N,14,FALSE)</f>
        <v>0</v>
      </c>
    </row>
    <row r="1926">
      <c r="A1926" t="str">
        <v>絢</v>
      </c>
      <c r="B1926">
        <v>12</v>
      </c>
      <c r="C1926" t="b">
        <v>0</v>
      </c>
      <c r="D1926" t="str">
        <v>ケン</v>
      </c>
      <c r="E1926" t="str">
        <v>あや</v>
      </c>
      <c r="F1926" t="str">
        <v>しゅん じゅん はる</v>
      </c>
      <c r="G1926" t="str">
        <v>あや。織物の美しい模様。 はやい。</v>
      </c>
      <c r="H1926" t="str">
        <v>#花・彩</v>
      </c>
      <c r="I1926">
        <v>100</v>
      </c>
      <c r="J1926">
        <v>30</v>
      </c>
      <c r="K1926">
        <v>90</v>
      </c>
      <c r="L1926">
        <v>0</v>
      </c>
      <c r="M1926">
        <f>VLOOKUP(A1926,[1]kanji_data!$A:$N,14,FALSE)</f>
        <v>0</v>
      </c>
    </row>
    <row r="1927">
      <c r="A1927" t="str">
        <v>遮</v>
      </c>
      <c r="B1927">
        <v>14</v>
      </c>
      <c r="C1927" t="b">
        <v>1</v>
      </c>
      <c r="D1927" t="str">
        <v>シャ</v>
      </c>
      <c r="E1927" t="str">
        <v>さえぎ（る）</v>
      </c>
      <c r="F1927">
        <v>0</v>
      </c>
      <c r="G1927" t="str">
        <v>さえぎる。とめる。とどめる。 覆い隠す。 これ。この。 梵語の音訳に用いる字。</v>
      </c>
      <c r="I1927">
        <v>10</v>
      </c>
      <c r="J1927">
        <v>50</v>
      </c>
      <c r="K1927">
        <v>50</v>
      </c>
      <c r="L1927">
        <v>1</v>
      </c>
    </row>
    <row r="1928">
      <c r="A1928" t="str">
        <v>駄</v>
      </c>
      <c r="B1928">
        <v>14</v>
      </c>
      <c r="C1928" t="b">
        <v>1</v>
      </c>
      <c r="D1928" t="str">
        <v>ダ タ</v>
      </c>
      <c r="E1928" t="str">
        <v>の（せる）</v>
      </c>
      <c r="F1928">
        <v>0</v>
      </c>
      <c r="G1928" t="str">
        <v>のせる。馬に荷物をのせる。荷物を背負う。 荷物。積み荷。 においうま。にうま。荷物を運ぶ馬。 つまらないもの。くだらないもの。 はきもの。</v>
      </c>
      <c r="I1928">
        <v>10</v>
      </c>
      <c r="J1928">
        <v>50</v>
      </c>
      <c r="K1928">
        <v>50</v>
      </c>
      <c r="L1928">
        <v>1</v>
      </c>
    </row>
    <row r="1929">
      <c r="A1929" t="str">
        <v>嫡</v>
      </c>
      <c r="B1929">
        <v>14</v>
      </c>
      <c r="C1929" t="b">
        <v>1</v>
      </c>
      <c r="D1929" t="str">
        <v>チャク テキ</v>
      </c>
      <c r="E1929" t="str">
        <v>よつぎ</v>
      </c>
      <c r="F1929">
        <v>0</v>
      </c>
      <c r="G1929" t="str">
        <v>正妻。本妻。 よつぎ。あとつぎ。正妻の生んだ子（特に正妻の産んだ長男）。</v>
      </c>
      <c r="I1929">
        <v>10</v>
      </c>
      <c r="J1929">
        <v>50</v>
      </c>
      <c r="K1929">
        <v>50</v>
      </c>
      <c r="L1929">
        <v>1</v>
      </c>
    </row>
    <row r="1930">
      <c r="A1930" t="str">
        <v>萩</v>
      </c>
      <c r="B1930">
        <v>12</v>
      </c>
      <c r="C1930" t="b">
        <v>0</v>
      </c>
      <c r="D1930" t="str">
        <v>シュウ</v>
      </c>
      <c r="E1930" t="str">
        <v>はぎ</v>
      </c>
      <c r="F1930">
        <v>0</v>
      </c>
      <c r="G1930" t="str">
        <v>よもぎ。くさよもぎ。 ひさぎ。あかめがしわ。 はぎ。マメ科の落葉低木。</v>
      </c>
      <c r="H1930" t="str">
        <v>#自然</v>
      </c>
      <c r="I1930">
        <v>10</v>
      </c>
      <c r="J1930">
        <v>20</v>
      </c>
      <c r="K1930">
        <v>100</v>
      </c>
      <c r="L1930">
        <v>0</v>
      </c>
      <c r="M1930">
        <f>VLOOKUP(A1930,[1]kanji_data!$A:$N,14,FALSE)</f>
        <v>0</v>
      </c>
    </row>
    <row r="1931">
      <c r="A1931" t="str">
        <v>葺</v>
      </c>
      <c r="B1931">
        <v>12</v>
      </c>
      <c r="C1931" t="b">
        <v>0</v>
      </c>
      <c r="D1931" t="str">
        <v>シュウ</v>
      </c>
      <c r="E1931" t="str">
        <v>つくろ（う） ふ（く）</v>
      </c>
      <c r="F1931">
        <v>0</v>
      </c>
      <c r="G1931" t="str">
        <v>つくろう。ととのえる。修理する。なおす。 ふく。かやなどで屋根をおおう。 おおう。かさねる。かさなる。</v>
      </c>
      <c r="H1931" t="str">
        <v>#自然</v>
      </c>
      <c r="I1931">
        <v>10</v>
      </c>
      <c r="J1931">
        <v>50</v>
      </c>
      <c r="K1931">
        <v>50</v>
      </c>
      <c r="L1931">
        <v>1</v>
      </c>
    </row>
    <row r="1932">
      <c r="A1932" t="str">
        <v>竣</v>
      </c>
      <c r="B1932">
        <v>12</v>
      </c>
      <c r="C1932" t="b">
        <v>0</v>
      </c>
      <c r="D1932" t="str">
        <v>シュン</v>
      </c>
      <c r="E1932" t="str">
        <v>お（わる）</v>
      </c>
      <c r="F1932" t="str">
        <v>たか たかし</v>
      </c>
      <c r="G1932" t="str">
        <v>おえる。おわる。工事が終わる。仕事をなしとげる。 しりぞく。しりぞきうずくまる。ためらう。</v>
      </c>
      <c r="H1932" t="str">
        <v>#繁栄</v>
      </c>
      <c r="I1932">
        <v>20</v>
      </c>
      <c r="J1932">
        <v>100</v>
      </c>
      <c r="K1932">
        <v>25</v>
      </c>
      <c r="L1932">
        <v>0</v>
      </c>
      <c r="M1932">
        <f>VLOOKUP(A1932,[1]kanji_data!$A:$N,14,FALSE)</f>
        <v>0</v>
      </c>
    </row>
    <row r="1933">
      <c r="A1933" t="str">
        <v>閏</v>
      </c>
      <c r="B1933">
        <v>12</v>
      </c>
      <c r="C1933" t="b">
        <v>0</v>
      </c>
      <c r="D1933" t="str">
        <v>ジュン</v>
      </c>
      <c r="E1933" t="str">
        <v>うるう</v>
      </c>
      <c r="F1933" t="str">
        <v>うる</v>
      </c>
      <c r="G1933" t="str">
        <v>うるう。余りの月日。平年よりも日数や月数が多いこと。 正統ではない。正統でない位。</v>
      </c>
      <c r="H1933" t="str">
        <v>#天空 #繁栄</v>
      </c>
      <c r="I1933">
        <v>15</v>
      </c>
      <c r="J1933">
        <v>50</v>
      </c>
      <c r="K1933">
        <v>50</v>
      </c>
      <c r="L1933">
        <v>1</v>
      </c>
    </row>
    <row r="1934">
      <c r="A1934" t="str">
        <v>漬</v>
      </c>
      <c r="B1934">
        <v>14</v>
      </c>
      <c r="C1934" t="b">
        <v>1</v>
      </c>
      <c r="D1934" t="str">
        <v>シ ジ</v>
      </c>
      <c r="E1934" t="str">
        <v>つ（かる） つ（ける）</v>
      </c>
      <c r="F1934">
        <v>0</v>
      </c>
      <c r="G1934" t="str">
        <v>ひたす。ひたる。水などの液体につける。しみこませる。 染まる。染める。伝染する。感染する。</v>
      </c>
      <c r="I1934">
        <v>10</v>
      </c>
      <c r="J1934">
        <v>50</v>
      </c>
      <c r="K1934">
        <v>50</v>
      </c>
      <c r="L1934">
        <v>1</v>
      </c>
    </row>
    <row r="1935">
      <c r="A1935" t="str">
        <v>湘</v>
      </c>
      <c r="B1935">
        <v>12</v>
      </c>
      <c r="C1935" t="b">
        <v>0</v>
      </c>
      <c r="D1935" t="str">
        <v>ショウ</v>
      </c>
      <c r="E1935">
        <v>0</v>
      </c>
      <c r="F1935">
        <v>0</v>
      </c>
      <c r="G1935" t="str">
        <v>中国を流れる川の名「湘水（しょうすい）」「湘江（しょうこう）」。</v>
      </c>
      <c r="H1935" t="str">
        <v>#海・水</v>
      </c>
      <c r="I1935">
        <v>40</v>
      </c>
      <c r="J1935">
        <v>80</v>
      </c>
      <c r="K1935">
        <v>45</v>
      </c>
      <c r="L1935">
        <v>0</v>
      </c>
      <c r="M1935">
        <f>VLOOKUP(A1935,[1]kanji_data!$A:$N,14,FALSE)</f>
        <v>0</v>
      </c>
    </row>
    <row r="1936">
      <c r="A1936" t="str">
        <v>僕</v>
      </c>
      <c r="B1936">
        <v>14</v>
      </c>
      <c r="C1936" t="b">
        <v>1</v>
      </c>
      <c r="D1936" t="str">
        <v>ボク ホク</v>
      </c>
      <c r="E1936" t="str">
        <v>しもべ やつがれ</v>
      </c>
      <c r="F1936">
        <v>0</v>
      </c>
      <c r="G1936" t="str">
        <v>しもべ。召し使い。 やつがれ。ぼく。男性が自分をへりくだっていう語。 御者。馬車を操って走らせる人。 つかさどる。官名に用いられる。</v>
      </c>
      <c r="I1936">
        <v>10</v>
      </c>
      <c r="J1936">
        <v>50</v>
      </c>
      <c r="K1936">
        <v>50</v>
      </c>
      <c r="L1936">
        <v>1</v>
      </c>
    </row>
    <row r="1937">
      <c r="A1937" t="str">
        <v>箋</v>
      </c>
      <c r="B1937">
        <v>14</v>
      </c>
      <c r="C1937" t="b">
        <v>1</v>
      </c>
      <c r="D1937" t="str">
        <v>セン</v>
      </c>
      <c r="E1937" t="str">
        <v>かきもの てがみ ときあ（かし） なふだ はりふだ ふだ</v>
      </c>
      <c r="F1937" t="str">
        <v>ふみ</v>
      </c>
      <c r="G1937" t="str">
        <v>かきもの。てがみ。文書。 ときあかし。注釈。 なふだ。名刺。 ふだ。はりふだ。注釈を書き記しておくもの。 文体のひとつ。上奏文。</v>
      </c>
      <c r="I1937">
        <v>15</v>
      </c>
      <c r="J1937">
        <v>50</v>
      </c>
      <c r="K1937">
        <v>50</v>
      </c>
      <c r="L1937">
        <v>1</v>
      </c>
    </row>
    <row r="1938">
      <c r="A1938" t="str">
        <v>遜</v>
      </c>
      <c r="B1938">
        <v>14</v>
      </c>
      <c r="C1938" t="b">
        <v>1</v>
      </c>
      <c r="D1938" t="str">
        <v>ソン</v>
      </c>
      <c r="E1938" t="str">
        <v>のが（れる） へりくだ（る） ゆず（る）</v>
      </c>
      <c r="F1938">
        <v>0</v>
      </c>
      <c r="G1938" t="str">
        <v>のがれる。逃げる。逃げ去る。 ゆずる。自分を後にして、他人を先にする。 へりくだる。控えめにする。自分を低くする。 およばない。おとる。</v>
      </c>
      <c r="I1938">
        <v>10</v>
      </c>
      <c r="J1938">
        <v>50</v>
      </c>
      <c r="K1938">
        <v>50</v>
      </c>
      <c r="L1938">
        <v>1</v>
      </c>
    </row>
    <row r="1939">
      <c r="A1939" t="str">
        <v>棲</v>
      </c>
      <c r="B1939">
        <v>12</v>
      </c>
      <c r="C1939" t="b">
        <v>0</v>
      </c>
      <c r="D1939" t="str">
        <v>セイ</v>
      </c>
      <c r="E1939" t="str">
        <v>す すみか す（む）</v>
      </c>
      <c r="F1939">
        <v>0</v>
      </c>
      <c r="G1939" t="str">
        <v>すむ。鳥が巣をつくってすむ。＝栖 すむ。やどる。とどまる。＝栖 す。すみか。鳥のすみか。＝栖 「棲棲（せいせい）」は、あわただしいさま。忙しいさま。＝栖栖（せいせい）</v>
      </c>
      <c r="H1939" t="str">
        <v>#品格</v>
      </c>
      <c r="I1939">
        <v>10</v>
      </c>
      <c r="J1939">
        <v>50</v>
      </c>
      <c r="K1939">
        <v>50</v>
      </c>
      <c r="L1939">
        <v>1</v>
      </c>
    </row>
    <row r="1940">
      <c r="A1940" t="str">
        <v>貌</v>
      </c>
      <c r="B1940">
        <v>14</v>
      </c>
      <c r="C1940" t="b">
        <v>1</v>
      </c>
      <c r="D1940" t="str">
        <v>ボウ バク</v>
      </c>
      <c r="E1940" t="str">
        <v>かお かたち</v>
      </c>
      <c r="F1940" t="str">
        <v>かた すがた とお</v>
      </c>
      <c r="G1940" t="str">
        <v>顔。かたち。姿。外見。 ありさま。様子。状態。 かたどる。外見を写す。 はるか遠い。遠くおぼろげなさま。</v>
      </c>
      <c r="I1940">
        <v>15</v>
      </c>
      <c r="J1940">
        <v>50</v>
      </c>
      <c r="K1940">
        <v>50</v>
      </c>
      <c r="L1940">
        <v>1</v>
      </c>
    </row>
    <row r="1941">
      <c r="A1941" t="str">
        <v>蜜</v>
      </c>
      <c r="B1941">
        <v>14</v>
      </c>
      <c r="C1941" t="b">
        <v>1</v>
      </c>
      <c r="D1941" t="str">
        <v>ミツ ビツ</v>
      </c>
      <c r="E1941">
        <v>0</v>
      </c>
      <c r="F1941">
        <v>0</v>
      </c>
      <c r="G1941" t="str">
        <v>みつ。はちみつ。甘いもの。 梵語の音訳に用いる字。</v>
      </c>
      <c r="I1941">
        <v>10</v>
      </c>
      <c r="J1941">
        <v>25</v>
      </c>
      <c r="K1941">
        <v>90</v>
      </c>
      <c r="L1941">
        <v>0</v>
      </c>
      <c r="M1941">
        <f>VLOOKUP(A1941,[1]kanji_data!$A:$N,14,FALSE)</f>
        <v>0</v>
      </c>
    </row>
    <row r="1942">
      <c r="A1942" t="str">
        <v>瘍</v>
      </c>
      <c r="B1942">
        <v>14</v>
      </c>
      <c r="C1942" t="b">
        <v>1</v>
      </c>
      <c r="D1942" t="str">
        <v>ヨウ</v>
      </c>
      <c r="E1942" t="str">
        <v>かさ できもの</v>
      </c>
      <c r="F1942">
        <v>0</v>
      </c>
      <c r="G1942" t="str">
        <v>かさ。できもの。悪性のはれもの。できものの総称。</v>
      </c>
      <c r="I1942">
        <v>10</v>
      </c>
      <c r="J1942">
        <v>50</v>
      </c>
      <c r="K1942">
        <v>50</v>
      </c>
      <c r="L1942">
        <v>1</v>
      </c>
    </row>
    <row r="1943">
      <c r="A1943" t="str">
        <v>湊</v>
      </c>
      <c r="B1943">
        <v>12</v>
      </c>
      <c r="C1943" t="b">
        <v>0</v>
      </c>
      <c r="D1943" t="str">
        <v>ソウ</v>
      </c>
      <c r="E1943" t="str">
        <v>あつ（まる） みなと</v>
      </c>
      <c r="F1943" t="str">
        <v>そ み</v>
      </c>
      <c r="G1943" t="str">
        <v>集まる。集める。人や物が集まる。 港。船着き場。船の集まるところ。</v>
      </c>
      <c r="H1943" t="str">
        <v>#海・水 #調和</v>
      </c>
      <c r="I1943">
        <v>100</v>
      </c>
      <c r="J1943">
        <v>65</v>
      </c>
      <c r="K1943">
        <v>65</v>
      </c>
      <c r="L1943">
        <v>0</v>
      </c>
      <c r="M1943">
        <f>VLOOKUP(A1943,[1]kanji_data!$A:$N,14,FALSE)</f>
        <v>0</v>
      </c>
    </row>
    <row r="1944">
      <c r="A1944" t="str">
        <v>辣</v>
      </c>
      <c r="B1944">
        <v>14</v>
      </c>
      <c r="C1944" t="b">
        <v>1</v>
      </c>
      <c r="D1944" t="str">
        <v>ラツ</v>
      </c>
      <c r="E1944" t="str">
        <v>から（い） きび（しい） むご（い）</v>
      </c>
      <c r="F1944">
        <v>0</v>
      </c>
      <c r="G1944" t="str">
        <v>ぴりっと辛い。味が刺激的である。 きびしい。むごい。ひどい。</v>
      </c>
      <c r="I1944">
        <v>10</v>
      </c>
      <c r="J1944">
        <v>50</v>
      </c>
      <c r="K1944">
        <v>50</v>
      </c>
      <c r="L1944">
        <v>1</v>
      </c>
    </row>
    <row r="1945">
      <c r="A1945" t="str">
        <v>湛</v>
      </c>
      <c r="B1945">
        <v>12</v>
      </c>
      <c r="C1945" t="b">
        <v>0</v>
      </c>
      <c r="D1945" t="str">
        <v>タン チン</v>
      </c>
      <c r="E1945" t="str">
        <v>あつ（い） しず（む） たた（える） ふか（い） ふけ（る）</v>
      </c>
      <c r="F1945" t="str">
        <v>あつし きよ ふかし やす やすし</v>
      </c>
      <c r="G1945" t="str">
        <v>たたえる。水がいっぱいに満ちあふれている。 厚い。豊か。深い。 ふける。おぼれる。深入りする。 楽しむ。 しずむ。しずめる。ひたす。没頭する。 深い。</v>
      </c>
      <c r="H1945" t="str">
        <v>#幸福 #繁栄</v>
      </c>
      <c r="I1945">
        <v>95</v>
      </c>
      <c r="J1945">
        <v>60</v>
      </c>
      <c r="K1945">
        <v>65</v>
      </c>
      <c r="L1945">
        <v>0</v>
      </c>
      <c r="M1945">
        <f>VLOOKUP(A1945,[1]kanji_data!$A:$N,14,FALSE)</f>
        <v>0</v>
      </c>
    </row>
    <row r="1946">
      <c r="A1946" t="str">
        <v>智</v>
      </c>
      <c r="B1946">
        <v>12</v>
      </c>
      <c r="C1946" t="b">
        <v>0</v>
      </c>
      <c r="D1946" t="str">
        <v>チ</v>
      </c>
      <c r="E1946" t="str">
        <v>さと（い） ちえ</v>
      </c>
      <c r="F1946" t="str">
        <v>あきら さとし さとる とし とも のり もと</v>
      </c>
      <c r="G1946" t="str">
        <v>さとい。かしこい。物知り。 ちえ。物事を理解、処理する能力。</v>
      </c>
      <c r="H1946" t="str">
        <v>#知性</v>
      </c>
      <c r="I1946">
        <v>100</v>
      </c>
      <c r="J1946">
        <v>70</v>
      </c>
      <c r="K1946">
        <v>50</v>
      </c>
      <c r="L1946">
        <v>0</v>
      </c>
      <c r="M1946">
        <f>VLOOKUP(A1946,[1]kanji_data!$A:$N,14,FALSE)</f>
        <v>0</v>
      </c>
    </row>
    <row r="1947">
      <c r="A1947" t="str">
        <v>斡</v>
      </c>
      <c r="B1947">
        <v>14</v>
      </c>
      <c r="C1947" t="b">
        <v>0</v>
      </c>
      <c r="D1947" t="str">
        <v>アツ カン</v>
      </c>
      <c r="E1947" t="str">
        <v>つかさど（る） めぐ（る）</v>
      </c>
      <c r="F1947" t="str">
        <v>まる</v>
      </c>
      <c r="G1947" t="str">
        <v>めぐる。めぐらす。 つかさどる。とりしきる。</v>
      </c>
      <c r="I1947">
        <v>15</v>
      </c>
      <c r="J1947">
        <v>50</v>
      </c>
      <c r="K1947">
        <v>50</v>
      </c>
      <c r="L1947">
        <v>1</v>
      </c>
    </row>
    <row r="1948">
      <c r="A1948" t="str">
        <v>箕</v>
      </c>
      <c r="B1948">
        <v>14</v>
      </c>
      <c r="C1948" t="b">
        <v>0</v>
      </c>
      <c r="D1948" t="str">
        <v>キ</v>
      </c>
      <c r="E1948" t="str">
        <v>ちりとり み</v>
      </c>
      <c r="F1948">
        <v>0</v>
      </c>
      <c r="G1948" t="str">
        <v>み。ちりとり。穀物の殻やちりをふるいわける道具。 両足を投げ出して、あぐらをかく。 二十八宿の一つ。みぼし。 昔の国名。</v>
      </c>
      <c r="I1948">
        <v>10</v>
      </c>
      <c r="J1948">
        <v>50</v>
      </c>
      <c r="K1948">
        <v>50</v>
      </c>
      <c r="L1948">
        <v>1</v>
      </c>
    </row>
    <row r="1949">
      <c r="A1949" t="str">
        <v>厩</v>
      </c>
      <c r="B1949">
        <v>14</v>
      </c>
      <c r="C1949" t="b">
        <v>0</v>
      </c>
      <c r="D1949" t="str">
        <v>キュウ ク</v>
      </c>
      <c r="E1949" t="str">
        <v>うまや</v>
      </c>
      <c r="F1949">
        <v>0</v>
      </c>
      <c r="G1949" t="str">
        <v>うまや。馬を飼う小屋。</v>
      </c>
      <c r="I1949">
        <v>10</v>
      </c>
      <c r="J1949">
        <v>50</v>
      </c>
      <c r="K1949">
        <v>50</v>
      </c>
      <c r="L1949">
        <v>1</v>
      </c>
    </row>
    <row r="1950">
      <c r="A1950" t="str">
        <v>膏</v>
      </c>
      <c r="B1950">
        <v>14</v>
      </c>
      <c r="C1950" t="b">
        <v>0</v>
      </c>
      <c r="D1950" t="str">
        <v>コウ</v>
      </c>
      <c r="E1950" t="str">
        <v>あぶら うるお（す） こ（える）</v>
      </c>
      <c r="F1950">
        <v>0</v>
      </c>
      <c r="G1950" t="str">
        <v>あぶら。脂肪。肉のあぶら。 化粧に用いるあぶら。べに。 あぶらぐすり。例：軟膏 美味い。味が良い。美味。 こえる。あぶらがついて太る。 心臓の下の部分。むなもと。 あぶらをさす。なめらかにする。 うるおす。湿らす。</v>
      </c>
      <c r="I1950">
        <v>10</v>
      </c>
      <c r="J1950">
        <v>50</v>
      </c>
      <c r="K1950">
        <v>50</v>
      </c>
      <c r="L1950">
        <v>1</v>
      </c>
    </row>
    <row r="1951">
      <c r="A1951" t="str">
        <v>閤</v>
      </c>
      <c r="B1951">
        <v>14</v>
      </c>
      <c r="C1951" t="b">
        <v>0</v>
      </c>
      <c r="D1951" t="str">
        <v>コウ</v>
      </c>
      <c r="E1951" t="str">
        <v>くぐりど へや</v>
      </c>
      <c r="F1951">
        <v>0</v>
      </c>
      <c r="G1951" t="str">
        <v>くぐりど。大門のわきにある小門。 宮中の小門。 へや。女性の部屋。寝室。 高い建物。御殿。宮殿。</v>
      </c>
      <c r="I1951">
        <v>10</v>
      </c>
      <c r="J1951">
        <v>45</v>
      </c>
      <c r="K1951">
        <v>65</v>
      </c>
      <c r="L1951">
        <v>0</v>
      </c>
      <c r="M1951">
        <f>VLOOKUP(A1951,[1]kanji_data!$A:$N,14,FALSE)</f>
        <v>0</v>
      </c>
    </row>
    <row r="1952">
      <c r="A1952" t="str">
        <v>董</v>
      </c>
      <c r="B1952">
        <v>12</v>
      </c>
      <c r="C1952" t="b">
        <v>0</v>
      </c>
      <c r="D1952" t="str">
        <v>トウ</v>
      </c>
      <c r="E1952" t="str">
        <v>ただ（す）</v>
      </c>
      <c r="F1952" t="str">
        <v>しげ ただし なお のぶ まこと まさ よし</v>
      </c>
      <c r="G1952" t="str">
        <v>ただす。おさめる。監督する。見張る。 はすの根。れんこん。 古い道具。骨董（こっとう）</v>
      </c>
      <c r="H1952" t="str">
        <v>#自然</v>
      </c>
      <c r="I1952">
        <v>15</v>
      </c>
      <c r="J1952">
        <v>50</v>
      </c>
      <c r="K1952">
        <v>70</v>
      </c>
      <c r="L1952">
        <v>0</v>
      </c>
      <c r="M1952">
        <f>VLOOKUP(A1952,[1]kanji_data!$A:$N,14,FALSE)</f>
        <v>0</v>
      </c>
    </row>
    <row r="1953">
      <c r="A1953" t="str">
        <v>敦</v>
      </c>
      <c r="B1953">
        <v>12</v>
      </c>
      <c r="C1953" t="b">
        <v>0</v>
      </c>
      <c r="D1953" t="str">
        <v>トン</v>
      </c>
      <c r="E1953" t="str">
        <v>あつ（い）</v>
      </c>
      <c r="F1953" t="str">
        <v>あつし おさむ つとむ つる のぶ</v>
      </c>
      <c r="G1953" t="str">
        <v>あつい。まこと。人情があつい。誠実である。真心のある。＝惇 たっとぶ。とうとぶ。重んじる。</v>
      </c>
      <c r="H1953" t="str">
        <v>#心・志</v>
      </c>
      <c r="I1953">
        <v>100</v>
      </c>
      <c r="J1953">
        <v>45</v>
      </c>
      <c r="K1953">
        <v>75</v>
      </c>
      <c r="L1953">
        <v>0</v>
      </c>
      <c r="M1953">
        <f>VLOOKUP(A1953,[1]kanji_data!$A:$N,14,FALSE)</f>
        <v>0</v>
      </c>
    </row>
    <row r="1954">
      <c r="A1954" t="str">
        <v>爾</v>
      </c>
      <c r="B1954">
        <v>14</v>
      </c>
      <c r="C1954" t="b">
        <v>0</v>
      </c>
      <c r="D1954" t="str">
        <v>ジ ニ</v>
      </c>
      <c r="E1954" t="str">
        <v>そ（の） なんじ</v>
      </c>
      <c r="F1954" t="str">
        <v>あきら ちか ちかし み みつる</v>
      </c>
      <c r="G1954" t="str">
        <v>なんじ。おまえ。あなた。二人称の代名詞。 その。それ。この。これ。ここ。かれ。指示代名詞。 しかり。しかく。かくのごとし。そのとおりである。 「のみ」と読み、「～だけ」の意。 他の語の下に添えて、状態を表す。</v>
      </c>
      <c r="I1954">
        <v>15</v>
      </c>
      <c r="J1954">
        <v>50</v>
      </c>
      <c r="K1954">
        <v>50</v>
      </c>
      <c r="L1954">
        <v>1</v>
      </c>
    </row>
    <row r="1955">
      <c r="A1955" t="str">
        <v>斐</v>
      </c>
      <c r="B1955">
        <v>12</v>
      </c>
      <c r="C1955" t="b">
        <v>0</v>
      </c>
      <c r="D1955" t="str">
        <v>ヒ</v>
      </c>
      <c r="E1955" t="str">
        <v>あや</v>
      </c>
      <c r="F1955" t="str">
        <v>あきら い なが よし</v>
      </c>
      <c r="G1955" t="str">
        <v>あや。あや模様が美しいさま。</v>
      </c>
      <c r="H1955" t="str">
        <v>#花・彩</v>
      </c>
      <c r="I1955">
        <v>90</v>
      </c>
      <c r="J1955">
        <v>30</v>
      </c>
      <c r="K1955">
        <v>90</v>
      </c>
      <c r="L1955">
        <v>0</v>
      </c>
      <c r="M1955">
        <f>VLOOKUP(A1955,[1]kanji_data!$A:$N,14,FALSE)</f>
        <v>0</v>
      </c>
    </row>
    <row r="1956">
      <c r="A1956" t="str">
        <v>摺</v>
      </c>
      <c r="B1956">
        <v>14</v>
      </c>
      <c r="C1956" t="b">
        <v>0</v>
      </c>
      <c r="D1956" t="str">
        <v>ショウ ロウ</v>
      </c>
      <c r="E1956" t="str">
        <v>くじ（く） す（る） たた（む） ひだ</v>
      </c>
      <c r="F1956">
        <v>0</v>
      </c>
      <c r="G1956" t="str">
        <v>たたむ。折りたたむ。折り重ねる。 ひだ。しわ。折り目。 くじく。ひしぐ。折る。 する。こする。こすりつける。</v>
      </c>
      <c r="I1956">
        <v>10</v>
      </c>
      <c r="J1956">
        <v>50</v>
      </c>
      <c r="K1956">
        <v>50</v>
      </c>
      <c r="L1956">
        <v>1</v>
      </c>
    </row>
    <row r="1957">
      <c r="A1957" t="str">
        <v>裳</v>
      </c>
      <c r="B1957">
        <v>14</v>
      </c>
      <c r="C1957" t="b">
        <v>0</v>
      </c>
      <c r="D1957" t="str">
        <v>ショウ</v>
      </c>
      <c r="E1957" t="str">
        <v>も もすそ</v>
      </c>
      <c r="F1957">
        <v>0</v>
      </c>
      <c r="G1957" t="str">
        <v>も。もすそ。したばかま。腰から下にまとう衣服。</v>
      </c>
      <c r="I1957">
        <v>10</v>
      </c>
      <c r="J1957">
        <v>50</v>
      </c>
      <c r="K1957">
        <v>50</v>
      </c>
      <c r="L1957">
        <v>1</v>
      </c>
    </row>
    <row r="1958">
      <c r="A1958" t="str">
        <v>銑</v>
      </c>
      <c r="B1958">
        <v>14</v>
      </c>
      <c r="C1958" t="b">
        <v>0</v>
      </c>
      <c r="D1958" t="str">
        <v>セン</v>
      </c>
      <c r="E1958" t="str">
        <v>ずく</v>
      </c>
      <c r="F1958" t="str">
        <v>さね てつ</v>
      </c>
      <c r="G1958" t="str">
        <v>精錬された金属。つやのある金属。 弓の両端につける金の飾り。 ずく。鋳物の原料となる鉄。</v>
      </c>
      <c r="I1958">
        <v>15</v>
      </c>
      <c r="J1958">
        <v>50</v>
      </c>
      <c r="K1958">
        <v>50</v>
      </c>
      <c r="L1958">
        <v>1</v>
      </c>
    </row>
    <row r="1959">
      <c r="A1959" t="str">
        <v>遥</v>
      </c>
      <c r="B1959">
        <v>12</v>
      </c>
      <c r="C1959" t="b">
        <v>0</v>
      </c>
      <c r="D1959" t="str">
        <v>ヨウ</v>
      </c>
      <c r="E1959" t="str">
        <v>さまよ（う） とお（い） なが（い） はる（か）</v>
      </c>
      <c r="F1959" t="str">
        <v>すみ とお のぶ のり はる はるか みち</v>
      </c>
      <c r="G1959" t="str">
        <v>さまよう。ぶらぶらする。 はるか。距離が遠い。 ながい。時間が長い。</v>
      </c>
      <c r="H1959" t="str">
        <v>#天空</v>
      </c>
      <c r="I1959">
        <v>100</v>
      </c>
      <c r="J1959">
        <v>75</v>
      </c>
      <c r="K1959">
        <v>45</v>
      </c>
      <c r="L1959">
        <v>0</v>
      </c>
      <c r="M1959">
        <f>VLOOKUP(A1959,[1]kanji_data!$A:$N,14,FALSE)</f>
        <v>0</v>
      </c>
    </row>
    <row r="1960">
      <c r="A1960" t="str">
        <v>漕</v>
      </c>
      <c r="B1960">
        <v>14</v>
      </c>
      <c r="C1960" t="b">
        <v>0</v>
      </c>
      <c r="D1960" t="str">
        <v>ソウ</v>
      </c>
      <c r="E1960" t="str">
        <v>こ（ぐ） はこ（ぶ）</v>
      </c>
      <c r="F1960">
        <v>0</v>
      </c>
      <c r="G1960" t="str">
        <v>こぐ。舟をこぐ。 はこぶ。舟で人や物を運ぶ。</v>
      </c>
      <c r="I1960">
        <v>10</v>
      </c>
      <c r="J1960">
        <v>90</v>
      </c>
      <c r="K1960">
        <v>35</v>
      </c>
      <c r="L1960">
        <v>0</v>
      </c>
      <c r="M1960">
        <f>VLOOKUP(A1960,[1]kanji_data!$A:$N,14,FALSE)</f>
        <v>0</v>
      </c>
    </row>
    <row r="1961">
      <c r="A1961" t="str">
        <v>椋</v>
      </c>
      <c r="B1961">
        <v>12</v>
      </c>
      <c r="C1961" t="b">
        <v>0</v>
      </c>
      <c r="D1961" t="str">
        <v>リョウ</v>
      </c>
      <c r="E1961" t="str">
        <v>むく</v>
      </c>
      <c r="F1961" t="str">
        <v>くら</v>
      </c>
      <c r="G1961" t="str">
        <v>みずき。ミズキ科の落葉高木。 むく。むくのき。ニレ科の落葉高木。</v>
      </c>
      <c r="H1961" t="str">
        <v>#自然</v>
      </c>
      <c r="I1961">
        <v>85</v>
      </c>
      <c r="J1961">
        <v>50</v>
      </c>
      <c r="K1961">
        <v>50</v>
      </c>
      <c r="L1961">
        <v>0</v>
      </c>
      <c r="M1961">
        <f>VLOOKUP(A1961,[1]kanji_data!$A:$N,14,FALSE)</f>
        <v>0</v>
      </c>
    </row>
    <row r="1962">
      <c r="A1962" t="str">
        <v>琳</v>
      </c>
      <c r="B1962">
        <v>12</v>
      </c>
      <c r="C1962" t="b">
        <v>0</v>
      </c>
      <c r="D1962" t="str">
        <v>リン</v>
      </c>
      <c r="E1962">
        <v>0</v>
      </c>
      <c r="F1962" t="str">
        <v>たま</v>
      </c>
      <c r="G1962" t="str">
        <v>美しい玉。 玉が触れ合って鳴る音の様子。</v>
      </c>
      <c r="H1962" t="str">
        <v>#花・彩</v>
      </c>
      <c r="I1962">
        <v>100</v>
      </c>
      <c r="J1962">
        <v>30</v>
      </c>
      <c r="K1962">
        <v>90</v>
      </c>
      <c r="L1962">
        <v>0</v>
      </c>
      <c r="M1962">
        <f>VLOOKUP(A1962,[1]kanji_data!$A:$N,14,FALSE)</f>
        <v>0</v>
      </c>
    </row>
    <row r="1963">
      <c r="A1963" t="str">
        <v>禄</v>
      </c>
      <c r="B1963">
        <v>12</v>
      </c>
      <c r="C1963" t="b">
        <v>0</v>
      </c>
      <c r="D1963" t="str">
        <v>ロク</v>
      </c>
      <c r="E1963" t="str">
        <v>さいわ（い） ふち</v>
      </c>
      <c r="F1963">
        <v>0</v>
      </c>
      <c r="G1963" t="str">
        <v>さいわい。天から与えられた幸せ。神の恵み。 ふち。役人の給与。俸給。給料。</v>
      </c>
      <c r="H1963" t="str">
        <v>#幸福 #慈愛</v>
      </c>
      <c r="I1963">
        <v>10</v>
      </c>
      <c r="J1963">
        <v>65</v>
      </c>
      <c r="K1963">
        <v>50</v>
      </c>
      <c r="L1963">
        <v>0</v>
      </c>
      <c r="M1963">
        <f>VLOOKUP(A1963,[1]kanji_data!$A:$N,14,FALSE)</f>
        <v>0</v>
      </c>
    </row>
    <row r="1964">
      <c r="A1964" t="str">
        <v>隈</v>
      </c>
      <c r="B1964">
        <v>12</v>
      </c>
      <c r="C1964" t="b">
        <v>0</v>
      </c>
      <c r="D1964" t="str">
        <v>ワイ</v>
      </c>
      <c r="E1964" t="str">
        <v>くま すみ</v>
      </c>
      <c r="F1964">
        <v>0</v>
      </c>
      <c r="G1964" t="str">
        <v>くま。すみ。山や川の曲がって入りくんだところ。</v>
      </c>
      <c r="H1964" t="str">
        <v>#海・水</v>
      </c>
      <c r="I1964">
        <v>10</v>
      </c>
      <c r="J1964">
        <v>50</v>
      </c>
      <c r="K1964">
        <v>50</v>
      </c>
      <c r="L1964">
        <v>1</v>
      </c>
    </row>
    <row r="1965">
      <c r="A1965" t="str">
        <v>綜</v>
      </c>
      <c r="B1965">
        <v>14</v>
      </c>
      <c r="C1965" t="b">
        <v>0</v>
      </c>
      <c r="D1965" t="str">
        <v>ソウ</v>
      </c>
      <c r="E1965" t="str">
        <v>おさ す（べる） まじ（える）</v>
      </c>
      <c r="F1965" t="str">
        <v>おさむ そ</v>
      </c>
      <c r="G1965" t="str">
        <v>すべる。すべくくる。一つにまとめる。すべ治める。 おさ。機織りの道具。 まじる。まじえる。</v>
      </c>
      <c r="I1965">
        <v>15</v>
      </c>
      <c r="J1965">
        <v>80</v>
      </c>
      <c r="K1965">
        <v>45</v>
      </c>
      <c r="L1965">
        <v>0</v>
      </c>
      <c r="M1965">
        <f>VLOOKUP(A1965,[1]kanji_data!$A:$N,14,FALSE)</f>
        <v>0</v>
      </c>
    </row>
    <row r="1966">
      <c r="A1966" t="str">
        <v>惺</v>
      </c>
      <c r="B1966">
        <v>12</v>
      </c>
      <c r="C1966" t="b">
        <v>0</v>
      </c>
      <c r="D1966" t="str">
        <v>セイ</v>
      </c>
      <c r="E1966" t="str">
        <v>さと（る） しず（か）</v>
      </c>
      <c r="F1966" t="str">
        <v>あきら さとし さとる しずか</v>
      </c>
      <c r="G1966" t="str">
        <v>さとる。はっきりとわかる。 しずか。心が落ち着いている。</v>
      </c>
      <c r="H1966" t="str">
        <v>#知性</v>
      </c>
      <c r="I1966">
        <v>95</v>
      </c>
      <c r="J1966">
        <v>60</v>
      </c>
      <c r="K1966">
        <v>65</v>
      </c>
      <c r="L1966">
        <v>0</v>
      </c>
      <c r="M1966">
        <f>VLOOKUP(A1966,[1]kanji_data!$A:$N,14,FALSE)</f>
        <v>0</v>
      </c>
    </row>
    <row r="1967">
      <c r="A1967" t="str">
        <v>槌</v>
      </c>
      <c r="B1967">
        <v>14</v>
      </c>
      <c r="C1967" t="b">
        <v>0</v>
      </c>
      <c r="D1967" t="str">
        <v>ツイ</v>
      </c>
      <c r="E1967" t="str">
        <v>う（つ） つち</v>
      </c>
      <c r="F1967">
        <v>0</v>
      </c>
      <c r="G1967" t="str">
        <v>つち。物をうちたたく道具。 うつ。たたく。うちたたく。</v>
      </c>
      <c r="I1967">
        <v>10</v>
      </c>
      <c r="J1967">
        <v>50</v>
      </c>
      <c r="K1967">
        <v>50</v>
      </c>
      <c r="L1967">
        <v>1</v>
      </c>
    </row>
    <row r="1968">
      <c r="A1968" t="str">
        <v>渾</v>
      </c>
      <c r="B1968">
        <v>12</v>
      </c>
      <c r="C1968" t="b">
        <v>0</v>
      </c>
      <c r="D1968" t="str">
        <v>コン</v>
      </c>
      <c r="E1968" t="str">
        <v>すべ（て） にご（る） ま（じる）</v>
      </c>
      <c r="F1968">
        <v>0</v>
      </c>
      <c r="G1968" t="str">
        <v>にごる。にごす。 水がさかんにわき出るさま。また、水が流れるさま。 まじる。まざる。まじりあう。 すべて。まったく。ひっくるめて。 大きい。</v>
      </c>
      <c r="H1968" t="str">
        <v>#繁栄</v>
      </c>
      <c r="I1968">
        <v>10</v>
      </c>
      <c r="J1968">
        <v>50</v>
      </c>
      <c r="K1968">
        <v>50</v>
      </c>
      <c r="L1968">
        <v>1</v>
      </c>
    </row>
    <row r="1969">
      <c r="A1969" t="str">
        <v>琥</v>
      </c>
      <c r="B1969">
        <v>12</v>
      </c>
      <c r="C1969" t="b">
        <v>0</v>
      </c>
      <c r="D1969" t="str">
        <v>ク コ</v>
      </c>
      <c r="E1969">
        <v>0</v>
      </c>
      <c r="F1969" t="str">
        <v>く たま</v>
      </c>
      <c r="G1969" t="str">
        <v>トラの形をした玉の器。西方の神を祭るために用いる。 トラの形をした玉の割り符。 透明感のある黄色の玉石。琥珀（こはく）。</v>
      </c>
      <c r="H1969" t="str">
        <v>#花・彩</v>
      </c>
      <c r="I1969">
        <v>95</v>
      </c>
      <c r="J1969">
        <v>25</v>
      </c>
      <c r="K1969">
        <v>85</v>
      </c>
      <c r="L1969">
        <v>0</v>
      </c>
      <c r="M1969">
        <f>VLOOKUP(A1969,[1]kanji_data!$A:$N,14,FALSE)</f>
        <v>0</v>
      </c>
    </row>
    <row r="1970">
      <c r="A1970" t="str">
        <v>綴</v>
      </c>
      <c r="B1970">
        <v>14</v>
      </c>
      <c r="C1970" t="b">
        <v>0</v>
      </c>
      <c r="D1970" t="str">
        <v>テイ テツ</v>
      </c>
      <c r="E1970" t="str">
        <v>つづ（る） と（じる）</v>
      </c>
      <c r="F1970" t="str">
        <v>つづり つづる</v>
      </c>
      <c r="G1970" t="str">
        <v>つづる。つなぐ。つなぎあわせる。つなぎつらねる。 つづる。文章を作る。文章を書く。 とじる。重ねてぬう。ぬいつける。 とめる。とどめる。やめる。</v>
      </c>
      <c r="I1970">
        <v>15</v>
      </c>
      <c r="J1970">
        <v>55</v>
      </c>
      <c r="K1970">
        <v>55</v>
      </c>
      <c r="L1970">
        <v>0</v>
      </c>
      <c r="M1970">
        <f>VLOOKUP(A1970,[1]kanji_data!$A:$N,14,FALSE)</f>
        <v>0</v>
      </c>
    </row>
    <row r="1971">
      <c r="A1971" t="str">
        <v>皓</v>
      </c>
      <c r="B1971">
        <v>12</v>
      </c>
      <c r="C1971" t="b">
        <v>0</v>
      </c>
      <c r="D1971" t="str">
        <v>コウ</v>
      </c>
      <c r="E1971" t="str">
        <v>きよ（い） しろ（い） ひか（る）</v>
      </c>
      <c r="F1971" t="str">
        <v>あき あきら そら つく てる ひかる ひろ ひろし</v>
      </c>
      <c r="G1971" t="str">
        <v>しろい。ひかる。しろく光り輝く。 きよい。あきらか。いさぎよい。潔白。</v>
      </c>
      <c r="H1971" t="str">
        <v>#天空 #海・水</v>
      </c>
      <c r="I1971">
        <v>70</v>
      </c>
      <c r="J1971">
        <v>50</v>
      </c>
      <c r="K1971">
        <v>70</v>
      </c>
      <c r="L1971">
        <v>0</v>
      </c>
      <c r="M1971">
        <f>VLOOKUP(A1971,[1]kanji_data!$A:$N,14,FALSE)</f>
        <v>0</v>
      </c>
    </row>
    <row r="1972">
      <c r="A1972" t="str">
        <v>翔</v>
      </c>
      <c r="B1972">
        <v>12</v>
      </c>
      <c r="C1972" t="b">
        <v>0</v>
      </c>
      <c r="D1972" t="str">
        <v>ショウ</v>
      </c>
      <c r="E1972" t="str">
        <v>かけ（る） と（ぶ）</v>
      </c>
      <c r="F1972" t="str">
        <v>か かける</v>
      </c>
      <c r="G1972" t="str">
        <v>かける。飛ぶ。飛びめぐる。 両手を張って行く。 めぐる。振り返る。 つまびらか。詳しい。</v>
      </c>
      <c r="H1972" t="str">
        <v>#勇気 #天空</v>
      </c>
      <c r="I1972">
        <v>100</v>
      </c>
      <c r="J1972">
        <v>75</v>
      </c>
      <c r="K1972">
        <v>45</v>
      </c>
      <c r="L1972">
        <v>0</v>
      </c>
      <c r="M1972">
        <f>VLOOKUP(A1972,[1]kanji_data!$A:$N,14,FALSE)</f>
        <v>0</v>
      </c>
    </row>
    <row r="1973">
      <c r="A1973" t="str">
        <v>單</v>
      </c>
      <c r="B1973">
        <v>12</v>
      </c>
      <c r="C1973" t="b">
        <v>0</v>
      </c>
      <c r="D1973" t="str">
        <v>ゼン タン</v>
      </c>
      <c r="E1973" t="str">
        <v>ひとえ ひと（つ）</v>
      </c>
      <c r="F1973">
        <v>0</v>
      </c>
      <c r="G1973" t="str">
        <v>ひとえ。裏地のない衣。 ひとつ。ひとり。ただひとつである。 まじりけがない。変化がない。 薄い。弱い。 書きつけ。札。カード。 まこと。誠意がある。手厚い。 單于（ゼンウ）は匈奴（キョウド）の王の称号。</v>
      </c>
      <c r="H1973" t="str">
        <v>#心・志</v>
      </c>
      <c r="I1973">
        <v>10</v>
      </c>
      <c r="J1973">
        <v>50</v>
      </c>
      <c r="K1973">
        <v>50</v>
      </c>
      <c r="L1973">
        <v>1</v>
      </c>
    </row>
    <row r="1974">
      <c r="A1974" t="str">
        <v>堯</v>
      </c>
      <c r="B1974">
        <v>12</v>
      </c>
      <c r="C1974" t="b">
        <v>0</v>
      </c>
      <c r="D1974" t="str">
        <v>ギョウ</v>
      </c>
      <c r="E1974" t="str">
        <v>たか（い）</v>
      </c>
      <c r="F1974">
        <v>0</v>
      </c>
      <c r="G1974" t="str">
        <v>たかい。けだかい。この上なく高い。 中国の伝説上の帝王の名前。</v>
      </c>
      <c r="H1974" t="str">
        <v>#品格 #繁栄</v>
      </c>
      <c r="I1974">
        <v>40</v>
      </c>
      <c r="J1974">
        <v>70</v>
      </c>
      <c r="K1974">
        <v>55</v>
      </c>
      <c r="L1974">
        <v>0</v>
      </c>
      <c r="M1974">
        <f>VLOOKUP(A1974,[1]kanji_data!$A:$N,14,FALSE)</f>
        <v>0</v>
      </c>
    </row>
    <row r="1975">
      <c r="A1975" t="str">
        <v>惠</v>
      </c>
      <c r="B1975">
        <v>12</v>
      </c>
      <c r="C1975" t="b">
        <v>0</v>
      </c>
      <c r="D1975" t="str">
        <v>エ ケイ</v>
      </c>
      <c r="E1975" t="str">
        <v>めぐ（む）</v>
      </c>
      <c r="F1975" t="str">
        <v>めぐみ</v>
      </c>
      <c r="G1975" t="str">
        <v>めぐむ。めぐみ。情けをかける。あわれんで親切にする。物を与える。 おだやか。おだやかなさま。 さとい。かしこい。気がきく。＝慧</v>
      </c>
      <c r="H1975" t="str">
        <v>#慈愛 #知性</v>
      </c>
      <c r="I1975">
        <v>50</v>
      </c>
      <c r="J1975">
        <v>35</v>
      </c>
      <c r="K1975">
        <v>75</v>
      </c>
      <c r="L1975">
        <v>0</v>
      </c>
      <c r="M1975">
        <f>VLOOKUP(A1975,[1]kanji_data!$A:$N,14,FALSE)</f>
        <v>0</v>
      </c>
    </row>
    <row r="1976">
      <c r="A1976" t="str">
        <v>萬</v>
      </c>
      <c r="B1976">
        <v>13</v>
      </c>
      <c r="C1976" t="b">
        <v>0</v>
      </c>
      <c r="D1976" t="str">
        <v>バン マン</v>
      </c>
      <c r="E1976" t="str">
        <v>よろず</v>
      </c>
      <c r="F1976" t="str">
        <v>かず かつ すすむ たか ま</v>
      </c>
      <c r="G1976" t="str">
        <v>まん。数の単位。千の十倍。 よろず。すべて。すべての。数が非常に多い。 決して。絶対に。どんなことがあっても。 さそり。毒虫。 契約書や証書などの文書で数字を表すとき、書き換えを防ぐために「万」の代わりに用いる文字。大字。</v>
      </c>
      <c r="H1976" t="str">
        <v>#繁栄</v>
      </c>
      <c r="I1976">
        <v>50</v>
      </c>
      <c r="J1976">
        <v>65</v>
      </c>
      <c r="K1976">
        <v>50</v>
      </c>
      <c r="L1976">
        <v>0</v>
      </c>
      <c r="M1976">
        <f>VLOOKUP(A1976,[1]kanji_data!$A:$N,14,FALSE)</f>
        <v>0</v>
      </c>
    </row>
    <row r="1977">
      <c r="A1977" t="str">
        <v>蓬</v>
      </c>
      <c r="B1977">
        <v>14</v>
      </c>
      <c r="C1977" t="b">
        <v>0</v>
      </c>
      <c r="D1977" t="str">
        <v>ホウ</v>
      </c>
      <c r="E1977" t="str">
        <v>よもぎ</v>
      </c>
      <c r="F1977" t="str">
        <v>しげ ほ</v>
      </c>
      <c r="G1977" t="str">
        <v>よもぎ。もちぐさ。キク科の多年草。 乱れた。乱れているさま。群がるさま。</v>
      </c>
      <c r="I1977">
        <v>15</v>
      </c>
      <c r="J1977">
        <v>50</v>
      </c>
      <c r="K1977">
        <v>50</v>
      </c>
      <c r="L1977">
        <v>0</v>
      </c>
      <c r="M1977">
        <f>VLOOKUP(A1977,[1]kanji_data!$A:$N,14,FALSE)</f>
        <v>0</v>
      </c>
    </row>
    <row r="1978">
      <c r="A1978" t="str">
        <v>鞄</v>
      </c>
      <c r="B1978">
        <v>14</v>
      </c>
      <c r="C1978" t="b">
        <v>0</v>
      </c>
      <c r="D1978" t="str">
        <v>ホウ</v>
      </c>
      <c r="E1978" t="str">
        <v>かばん なめしがわ</v>
      </c>
      <c r="F1978">
        <v>0</v>
      </c>
      <c r="G1978" t="str">
        <v>なめしがわ。やわらかくなめした皮。また、皮をなめす職人。 かばん。物を持ち運ぶための道具。</v>
      </c>
      <c r="I1978">
        <v>10</v>
      </c>
      <c r="J1978">
        <v>50</v>
      </c>
      <c r="K1978">
        <v>50</v>
      </c>
      <c r="L1978">
        <v>1</v>
      </c>
    </row>
    <row r="1979">
      <c r="A1979" t="str">
        <v>綸</v>
      </c>
      <c r="B1979">
        <v>14</v>
      </c>
      <c r="C1979" t="b">
        <v>0</v>
      </c>
      <c r="D1979" t="str">
        <v>リン ロン カン ケン</v>
      </c>
      <c r="E1979" t="str">
        <v>いと おさ（める）</v>
      </c>
      <c r="F1979" t="str">
        <v>お くみ</v>
      </c>
      <c r="G1979" t="str">
        <v>いと。太い糸。釣り糸。弦楽器に用いる糸。 おさめる。つかさどる。 天子のことば。天子の命令。 おびひも。青色のおびひも。</v>
      </c>
      <c r="I1979">
        <v>15</v>
      </c>
      <c r="J1979">
        <v>60</v>
      </c>
      <c r="K1979">
        <v>70</v>
      </c>
      <c r="L1979">
        <v>0</v>
      </c>
      <c r="M1979">
        <f>VLOOKUP(A1979,[1]kanji_data!$A:$N,14,FALSE)</f>
        <v>0</v>
      </c>
    </row>
    <row r="1980">
      <c r="A1980" t="str">
        <v>遙</v>
      </c>
      <c r="B1980">
        <v>14</v>
      </c>
      <c r="C1980" t="b">
        <v>0</v>
      </c>
      <c r="D1980" t="str">
        <v>ヨウ</v>
      </c>
      <c r="E1980" t="str">
        <v>さまよ（う） とお（い） なが（い） はる（か）</v>
      </c>
      <c r="F1980" t="str">
        <v>すみ とお のぶ のり はるか みち</v>
      </c>
      <c r="G1980" t="str">
        <v>さまよう。ぶらぶらする。 はるか。距離が遠い。 ながい。時間が長い。</v>
      </c>
      <c r="I1980">
        <v>15</v>
      </c>
      <c r="J1980">
        <v>75</v>
      </c>
      <c r="K1980">
        <v>45</v>
      </c>
      <c r="L1980">
        <v>0</v>
      </c>
      <c r="M1980">
        <f>VLOOKUP(A1980,[1]kanji_data!$A:$N,14,FALSE)</f>
        <v>0</v>
      </c>
    </row>
    <row r="1981">
      <c r="A1981" t="str">
        <v>爲</v>
      </c>
      <c r="B1981">
        <v>12</v>
      </c>
      <c r="C1981" t="b">
        <v>0</v>
      </c>
      <c r="D1981" t="str">
        <v>イ</v>
      </c>
      <c r="E1981" t="str">
        <v>す（る） ため つく（る） な（す） な（る）</v>
      </c>
      <c r="F1981">
        <v>0</v>
      </c>
      <c r="G1981" t="str">
        <v>する。…とする。…にする。なす。行う。 なる。…となる。…になる。できあがる。物事が成就する。 つくる。こしらえる。設ける。つくりあげる。 おさめる。まとめる。統治する。 なおす。治療する。 いつわる。まねする。まねをして学ぶ。 「や」「か」と読み、疑問・反語をあらわす。 ため。ためにする。助ける。</v>
      </c>
      <c r="H1981" t="str">
        <v>#知性</v>
      </c>
      <c r="I1981">
        <v>10</v>
      </c>
      <c r="J1981">
        <v>50</v>
      </c>
      <c r="K1981">
        <v>50</v>
      </c>
      <c r="L1981">
        <v>1</v>
      </c>
    </row>
    <row r="1982">
      <c r="A1982" t="str">
        <v>齊</v>
      </c>
      <c r="B1982">
        <v>14</v>
      </c>
      <c r="C1982" t="b">
        <v>0</v>
      </c>
      <c r="D1982" t="str">
        <v>セイ サイ シ</v>
      </c>
      <c r="E1982" t="str">
        <v>ととの（える） ひと（しい） ものいみ</v>
      </c>
      <c r="F1982">
        <v>0</v>
      </c>
      <c r="G1982" t="str">
        <v>ととのえる。ひとしくする。 ととのう。ひとしい。きちんとそろう。 ひとしい。みな。 中国の国名。王朝名。 まぜあわせる。調合する。整える。 ものいみ。神仏を祭るとき、飲食や行動を慎んで、心身を清める。＝斎 もすそ。裳のすそ。衣服のすそ。</v>
      </c>
      <c r="I1982">
        <v>10</v>
      </c>
      <c r="J1982">
        <v>90</v>
      </c>
      <c r="K1982">
        <v>45</v>
      </c>
      <c r="L1982">
        <v>0</v>
      </c>
      <c r="M1982">
        <f>VLOOKUP(A1982,[1]kanji_data!$A:$N,14,FALSE)</f>
        <v>0</v>
      </c>
    </row>
    <row r="1983">
      <c r="A1983" t="str">
        <v>都</v>
      </c>
      <c r="B1983">
        <v>12</v>
      </c>
      <c r="C1983" t="b">
        <v>0</v>
      </c>
      <c r="D1983" t="str">
        <v>ツ ト</v>
      </c>
      <c r="E1983" t="str">
        <v>みやこ すべ（て）</v>
      </c>
      <c r="F1983">
        <v>0</v>
      </c>
      <c r="G1983" t="str">
        <v>みやこ。天子の宮城のある地。 みやこする。都を定める。 大きな町。 みやびやか。上品で美しい。 集まる。集める。 統べる。 すべて。みな。 ああ。感嘆の声。 と。東京都の略称。</v>
      </c>
      <c r="H1983" t="str">
        <v>#品格 #花・彩 #調和</v>
      </c>
      <c r="I1983">
        <v>50</v>
      </c>
      <c r="J1983">
        <v>45</v>
      </c>
      <c r="K1983">
        <v>65</v>
      </c>
      <c r="L1983">
        <v>0</v>
      </c>
      <c r="M1983">
        <f>VLOOKUP(A1983,[1]kanji_data!$A:$N,14,FALSE)</f>
        <v>0</v>
      </c>
    </row>
    <row r="1984">
      <c r="A1984" t="str">
        <v>渚</v>
      </c>
      <c r="B1984">
        <v>12</v>
      </c>
      <c r="C1984" t="b">
        <v>0</v>
      </c>
      <c r="D1984" t="str">
        <v>ショ</v>
      </c>
      <c r="E1984" t="str">
        <v>なぎさ みぎわ</v>
      </c>
      <c r="F1984">
        <v>0</v>
      </c>
      <c r="G1984" t="str">
        <v>なぎさ。みぎわ。みずぎわ。波打ち際。 す。なかす。河川や湖の中にできた小島。</v>
      </c>
      <c r="H1984" t="str">
        <v>#海・水</v>
      </c>
      <c r="I1984">
        <v>40</v>
      </c>
      <c r="J1984">
        <v>25</v>
      </c>
      <c r="K1984">
        <v>100</v>
      </c>
      <c r="L1984">
        <v>0</v>
      </c>
      <c r="M1984">
        <f>VLOOKUP(A1984,[1]kanji_data!$A:$N,14,FALSE)</f>
        <v>0</v>
      </c>
    </row>
    <row r="1985">
      <c r="A1985" t="str">
        <v>琢</v>
      </c>
      <c r="B1985">
        <v>13</v>
      </c>
      <c r="C1985" t="b">
        <v>0</v>
      </c>
      <c r="D1985" t="str">
        <v>タク</v>
      </c>
      <c r="E1985" t="str">
        <v>みが（く）</v>
      </c>
      <c r="F1985">
        <v>0</v>
      </c>
      <c r="G1985" t="str">
        <v>みがく。たたく。玉をみがく。形を整える。 技をみがく。学問をみがく。 えらぶ。選択する。 かざる。</v>
      </c>
      <c r="H1985" t="str">
        <v>#知性 #繁栄</v>
      </c>
      <c r="I1985">
        <v>10</v>
      </c>
      <c r="J1985">
        <v>70</v>
      </c>
      <c r="K1985">
        <v>50</v>
      </c>
      <c r="L1985">
        <v>0</v>
      </c>
      <c r="M1985">
        <f>VLOOKUP(A1985,[1]kanji_data!$A:$N,14,FALSE)</f>
        <v>0</v>
      </c>
    </row>
    <row r="1986">
      <c r="A1986" t="str">
        <v>盡</v>
      </c>
      <c r="B1986">
        <v>14</v>
      </c>
      <c r="C1986" t="b">
        <v>0</v>
      </c>
      <c r="D1986" t="str">
        <v>ジン</v>
      </c>
      <c r="E1986" t="str">
        <v>つ（かす） つ（きる） つ（くす） ことごと（く） すが（れる）</v>
      </c>
      <c r="F1986">
        <v>0</v>
      </c>
      <c r="G1986" t="str">
        <v>つきる。つくす。つかす。すべて出しきる。すべて費やす。すっかり無くなる。 つきる。つくす。おわる。 ことごとく。すべて。みな。全部。</v>
      </c>
      <c r="I1986">
        <v>10</v>
      </c>
      <c r="J1986">
        <v>50</v>
      </c>
      <c r="K1986">
        <v>50</v>
      </c>
      <c r="L1986">
        <v>1</v>
      </c>
    </row>
    <row r="1987">
      <c r="A1987" t="str">
        <v>團</v>
      </c>
      <c r="B1987">
        <v>14</v>
      </c>
      <c r="C1987" t="b">
        <v>0</v>
      </c>
      <c r="D1987" t="str">
        <v>ダン トン タン</v>
      </c>
      <c r="E1987" t="str">
        <v>かたまり まる（い）</v>
      </c>
      <c r="F1987">
        <v>0</v>
      </c>
      <c r="G1987" t="str">
        <v>まるい。まるい形。円形。 かたまり。ひとかたまり。集まり。</v>
      </c>
      <c r="I1987">
        <v>10</v>
      </c>
      <c r="J1987">
        <v>50</v>
      </c>
      <c r="K1987">
        <v>50</v>
      </c>
      <c r="L1987">
        <v>1</v>
      </c>
    </row>
    <row r="1988">
      <c r="A1988" t="str">
        <v>逸</v>
      </c>
      <c r="B1988">
        <v>12</v>
      </c>
      <c r="C1988" t="b">
        <v>0</v>
      </c>
      <c r="D1988" t="str">
        <v>イツ イチ</v>
      </c>
      <c r="E1988" t="str">
        <v>うしな（う） すぐ（れる） そ（らす） そ（れる） はぐ（れる） はし（る） はや（る）</v>
      </c>
      <c r="F1988">
        <v>0</v>
      </c>
      <c r="G1988" t="str">
        <v>はしる。にげる。にがす。そらす。 なくなる。見失う。失う。 隠れる。世間から隠れる。 すぐれる。抜きんでる。 楽しむ。気ままに楽しむ。喜ぶ。 あやまち。あやまる。みだら。 ゆるす。ゆるやか。 はやる。興奮する。気がせく。</v>
      </c>
      <c r="H1988" t="str">
        <v>#勇気 #幸福 #繁栄</v>
      </c>
      <c r="I1988">
        <v>10</v>
      </c>
      <c r="J1988">
        <v>70</v>
      </c>
      <c r="K1988">
        <v>55</v>
      </c>
      <c r="L1988">
        <v>0</v>
      </c>
      <c r="M1988">
        <f>VLOOKUP(A1988,[1]kanji_data!$A:$N,14,FALSE)</f>
        <v>0</v>
      </c>
    </row>
    <row r="1989">
      <c r="A1989" t="str">
        <v>滯</v>
      </c>
      <c r="B1989">
        <v>14</v>
      </c>
      <c r="C1989" t="b">
        <v>0</v>
      </c>
      <c r="D1989" t="str">
        <v>タイ</v>
      </c>
      <c r="E1989" t="str">
        <v>とどこお（る）</v>
      </c>
      <c r="F1989">
        <v>0</v>
      </c>
      <c r="G1989" t="str">
        <v>とどこおる。物事が進まない。はかどらない。 とどこおる。止まる。動かない。一箇所にとどまる。 こる。こり固まる。</v>
      </c>
      <c r="I1989">
        <v>10</v>
      </c>
      <c r="J1989">
        <v>50</v>
      </c>
      <c r="K1989">
        <v>50</v>
      </c>
      <c r="L1989">
        <v>1</v>
      </c>
    </row>
    <row r="1990">
      <c r="A1990" t="str">
        <v>僧</v>
      </c>
      <c r="B1990">
        <v>14</v>
      </c>
      <c r="C1990" t="b">
        <v>0</v>
      </c>
      <c r="D1990" t="str">
        <v>ソウ</v>
      </c>
      <c r="E1990">
        <v>0</v>
      </c>
      <c r="F1990">
        <v>0</v>
      </c>
      <c r="G1990" t="str">
        <v>仏道に入った人。法師。僧侶。</v>
      </c>
      <c r="I1990">
        <v>10</v>
      </c>
      <c r="J1990">
        <v>50</v>
      </c>
      <c r="K1990">
        <v>50</v>
      </c>
      <c r="L1990">
        <v>1</v>
      </c>
    </row>
    <row r="1991">
      <c r="A1991" t="str">
        <v>嘆</v>
      </c>
      <c r="B1991">
        <v>14</v>
      </c>
      <c r="C1991" t="b">
        <v>0</v>
      </c>
      <c r="D1991" t="str">
        <v>タン</v>
      </c>
      <c r="E1991" t="str">
        <v>なげ（かわしい） なげ（く）</v>
      </c>
      <c r="F1991">
        <v>0</v>
      </c>
      <c r="G1991" t="str">
        <v>なげく。なげかわしい。ため息をついて悲しむ。 深く感心してほめる。ほめたたえる。</v>
      </c>
      <c r="I1991">
        <v>10</v>
      </c>
      <c r="J1991">
        <v>50</v>
      </c>
      <c r="K1991">
        <v>50</v>
      </c>
      <c r="L1991">
        <v>1</v>
      </c>
    </row>
    <row r="1992">
      <c r="A1992" t="str">
        <v>焰</v>
      </c>
      <c r="B1992">
        <v>12</v>
      </c>
      <c r="C1992" t="b">
        <v>0</v>
      </c>
      <c r="D1992" t="str">
        <v>エン</v>
      </c>
      <c r="E1992" t="str">
        <v>ほのお も（える）</v>
      </c>
      <c r="F1992">
        <v>0</v>
      </c>
      <c r="G1992" t="str">
        <v>ほのお。ほむら。 もえる。火が燃え上がるさま。</v>
      </c>
      <c r="H1992" t="str">
        <v>#繁栄</v>
      </c>
      <c r="I1992">
        <v>10</v>
      </c>
      <c r="J1992">
        <v>50</v>
      </c>
      <c r="K1992">
        <v>50</v>
      </c>
      <c r="L1992">
        <v>1</v>
      </c>
    </row>
    <row r="1993">
      <c r="A1993" t="str">
        <v>虛</v>
      </c>
      <c r="B1993">
        <v>12</v>
      </c>
      <c r="C1993" t="b">
        <v>0</v>
      </c>
      <c r="D1993" t="str">
        <v>キョ コ</v>
      </c>
      <c r="E1993" t="str">
        <v>うつ（ける） うつ（ろ） うろ むな（しい）</v>
      </c>
      <c r="F1993">
        <v>0</v>
      </c>
      <c r="G1993" t="str">
        <v>むなしい。何もない。中身がない。からっぽ。うわべだけの。 むなしくする。からにする。 弱い。からだが弱い。 うつろ。穴。 おか。大きな丘。 たてものなどのあと。例：廃虛（はいきょ） 二十八宿の一つ。とみてぼし。</v>
      </c>
      <c r="H1993" t="str">
        <v>#自然</v>
      </c>
      <c r="I1993">
        <v>10</v>
      </c>
      <c r="J1993">
        <v>50</v>
      </c>
      <c r="K1993">
        <v>50</v>
      </c>
      <c r="L1993">
        <v>1</v>
      </c>
    </row>
    <row r="1994">
      <c r="A1994" t="str">
        <v>禍</v>
      </c>
      <c r="B1994">
        <v>14</v>
      </c>
      <c r="C1994" t="b">
        <v>0</v>
      </c>
      <c r="D1994" t="str">
        <v>カ</v>
      </c>
      <c r="E1994" t="str">
        <v>まが わざわ（い）</v>
      </c>
      <c r="F1994">
        <v>0</v>
      </c>
      <c r="G1994" t="str">
        <v>わざわい。まが。不幸。神のとがめ。災難。 わざわいする。わざわいを与える。不幸を与える。</v>
      </c>
      <c r="I1994">
        <v>10</v>
      </c>
      <c r="J1994">
        <v>50</v>
      </c>
      <c r="K1994">
        <v>50</v>
      </c>
      <c r="L1994">
        <v>1</v>
      </c>
    </row>
    <row r="1995">
      <c r="A1995" t="str">
        <v>遠</v>
      </c>
      <c r="B1995">
        <v>13</v>
      </c>
      <c r="C1995" t="b">
        <v>1</v>
      </c>
      <c r="D1995" t="str">
        <v>エン オン</v>
      </c>
      <c r="E1995" t="str">
        <v>とお（い） おち</v>
      </c>
      <c r="F1995">
        <v>0</v>
      </c>
      <c r="G1995" t="str">
        <v>とおい。距離や時間のへだたりが大きい。 広い。広がる。あまねくいきわたる。 とおざける。引き離す。うとんじる。 親しくない。うとんじる。うとい。</v>
      </c>
      <c r="H1995" t="str">
        <v>#繁栄</v>
      </c>
      <c r="I1995">
        <v>10</v>
      </c>
      <c r="J1995">
        <v>80</v>
      </c>
      <c r="K1995">
        <v>50</v>
      </c>
      <c r="L1995">
        <v>0</v>
      </c>
      <c r="M1995">
        <f>VLOOKUP(A1995,[1]kanji_data!$A:$N,14,FALSE)</f>
        <v>0</v>
      </c>
    </row>
    <row r="1996">
      <c r="A1996" t="str">
        <v>園</v>
      </c>
      <c r="B1996">
        <v>13</v>
      </c>
      <c r="C1996" t="b">
        <v>1</v>
      </c>
      <c r="D1996" t="str">
        <v>エン オン</v>
      </c>
      <c r="E1996" t="str">
        <v>その にわ</v>
      </c>
      <c r="F1996">
        <v>0</v>
      </c>
      <c r="G1996" t="str">
        <v>その。にわ。畑。 みささぎ。天子、王妃などの墓。</v>
      </c>
      <c r="H1996" t="str">
        <v>#幸福 #自然</v>
      </c>
      <c r="I1996">
        <v>50</v>
      </c>
      <c r="J1996">
        <v>55</v>
      </c>
      <c r="K1996">
        <v>55</v>
      </c>
      <c r="L1996">
        <v>0</v>
      </c>
      <c r="M1996">
        <f>VLOOKUP(A1996,[1]kanji_data!$A:$N,14,FALSE)</f>
        <v>0</v>
      </c>
    </row>
    <row r="1997">
      <c r="A1997" t="str">
        <v>楽</v>
      </c>
      <c r="B1997">
        <v>13</v>
      </c>
      <c r="C1997" t="b">
        <v>1</v>
      </c>
      <c r="D1997" t="str">
        <v>ガク ラク ギョウ ゴウ</v>
      </c>
      <c r="E1997" t="str">
        <v>たの（しい） たの（しむ） かな（でる） この（む）</v>
      </c>
      <c r="F1997" t="str">
        <v>ささ もと よし ら</v>
      </c>
      <c r="G1997" t="str">
        <v>おんがく。 かなでる。音をかなでる。演奏する。 たのしい。たのしむ。よろこぶ。 このむ。愛する。ねがう。求める。 らく。たやすい。心身に苦痛がなく、のびのびする。</v>
      </c>
      <c r="H1997" t="str">
        <v>#幸福 #慈愛 #調和</v>
      </c>
      <c r="I1997">
        <v>90</v>
      </c>
      <c r="J1997">
        <v>50</v>
      </c>
      <c r="K1997">
        <v>70</v>
      </c>
      <c r="L1997">
        <v>0</v>
      </c>
      <c r="M1997">
        <f>VLOOKUP(A1997,[1]kanji_data!$A:$N,14,FALSE)</f>
        <v>0</v>
      </c>
    </row>
    <row r="1998">
      <c r="A1998" t="str">
        <v>新</v>
      </c>
      <c r="B1998">
        <v>13</v>
      </c>
      <c r="C1998" t="b">
        <v>1</v>
      </c>
      <c r="D1998" t="str">
        <v>シン</v>
      </c>
      <c r="E1998" t="str">
        <v>あたら（しい） あら（た） にい さら</v>
      </c>
      <c r="F1998" t="str">
        <v>あきら あらた すすむ ちか はじめ よし わか</v>
      </c>
      <c r="G1998" t="str">
        <v>あたらしい。あらた。あたらしい物事。 あらたにする。あたらしいものにする。あらたまる。 にい。あら。ことばの上につけて「あたらしい」の意を表す。</v>
      </c>
      <c r="H1998" t="str">
        <v>#繁栄</v>
      </c>
      <c r="I1998">
        <v>100</v>
      </c>
      <c r="J1998">
        <v>65</v>
      </c>
      <c r="K1998">
        <v>50</v>
      </c>
      <c r="L1998">
        <v>0</v>
      </c>
      <c r="M1998">
        <f>VLOOKUP(A1998,[1]kanji_data!$A:$N,14,FALSE)</f>
        <v>0</v>
      </c>
    </row>
    <row r="1999">
      <c r="A1999" t="str">
        <v>署</v>
      </c>
      <c r="B1999">
        <v>14</v>
      </c>
      <c r="C1999" t="b">
        <v>0</v>
      </c>
      <c r="D1999" t="str">
        <v>ショ</v>
      </c>
      <c r="E1999" t="str">
        <v>しる（す） やくわり</v>
      </c>
      <c r="F1999">
        <v>0</v>
      </c>
      <c r="G1999" t="str">
        <v>やくわり。役のわりふり。わりあて。てわけ。 役所。 しるす。書き記す。表書き。 職務を代行する。</v>
      </c>
      <c r="I1999">
        <v>10</v>
      </c>
      <c r="J1999">
        <v>50</v>
      </c>
      <c r="K1999">
        <v>50</v>
      </c>
      <c r="L1999">
        <v>1</v>
      </c>
    </row>
    <row r="2000">
      <c r="A2000" t="str">
        <v>摑</v>
      </c>
      <c r="B2000">
        <v>14</v>
      </c>
      <c r="C2000" t="b">
        <v>0</v>
      </c>
      <c r="D2000" t="str">
        <v>カク</v>
      </c>
      <c r="E2000" t="str">
        <v>つか（む）</v>
      </c>
      <c r="F2000">
        <v>0</v>
      </c>
      <c r="G2000" t="str">
        <v>うつ。たたく。手でたたく。 つかむ。手の指を曲げて、その中にしっかりとにぎる。</v>
      </c>
      <c r="I2000">
        <v>10</v>
      </c>
      <c r="J2000">
        <v>50</v>
      </c>
      <c r="K2000">
        <v>50</v>
      </c>
      <c r="L2000">
        <v>1</v>
      </c>
    </row>
    <row r="2001">
      <c r="A2001" t="str">
        <v>話</v>
      </c>
      <c r="B2001">
        <v>13</v>
      </c>
      <c r="C2001" t="b">
        <v>1</v>
      </c>
      <c r="D2001" t="str">
        <v>ワ</v>
      </c>
      <c r="E2001" t="str">
        <v>はなし はな（す）</v>
      </c>
      <c r="F2001">
        <v>0</v>
      </c>
      <c r="G2001" t="str">
        <v>はなし。物語。例：談話 はなす。言う。しゃべる。語る。告げる。 はなし。うわさ。評判。</v>
      </c>
      <c r="H2001" t="str">
        <v>#品格</v>
      </c>
      <c r="I2001">
        <v>10</v>
      </c>
      <c r="J2001">
        <v>50</v>
      </c>
      <c r="K2001">
        <v>50</v>
      </c>
      <c r="L2001">
        <v>1</v>
      </c>
    </row>
    <row r="2002">
      <c r="A2002" t="str">
        <v>線</v>
      </c>
      <c r="B2002">
        <v>15</v>
      </c>
      <c r="C2002" t="b">
        <v>1</v>
      </c>
      <c r="D2002" t="str">
        <v>セン</v>
      </c>
      <c r="E2002" t="str">
        <v>いと すじ</v>
      </c>
      <c r="F2002">
        <v>0</v>
      </c>
      <c r="G2002" t="str">
        <v>いと。糸のように細長いもの。 すじ。細い道。決められた道筋。 境界。さかいめ。</v>
      </c>
      <c r="I2002">
        <v>10</v>
      </c>
      <c r="J2002">
        <v>50</v>
      </c>
      <c r="K2002">
        <v>50</v>
      </c>
      <c r="L2002">
        <v>1</v>
      </c>
    </row>
    <row r="2003">
      <c r="A2003" t="str">
        <v>意</v>
      </c>
      <c r="B2003">
        <v>13</v>
      </c>
      <c r="C2003" t="b">
        <v>1</v>
      </c>
      <c r="D2003" t="str">
        <v>イ</v>
      </c>
      <c r="E2003" t="str">
        <v>おも（う） こころ</v>
      </c>
      <c r="F2003">
        <v>0</v>
      </c>
      <c r="G2003" t="str">
        <v>こころ。思い。気持ち。 わけ。意味。意図するところ。 おもう。思いめぐらす。考える。</v>
      </c>
      <c r="H2003" t="str">
        <v>#心・志</v>
      </c>
      <c r="I2003">
        <v>50</v>
      </c>
      <c r="J2003">
        <v>90</v>
      </c>
      <c r="K2003">
        <v>40</v>
      </c>
      <c r="L2003">
        <v>0</v>
      </c>
      <c r="M2003">
        <f>VLOOKUP(A2003,[1]kanji_data!$A:$N,14,FALSE)</f>
        <v>0</v>
      </c>
    </row>
    <row r="2004">
      <c r="A2004" t="str">
        <v>感</v>
      </c>
      <c r="B2004">
        <v>13</v>
      </c>
      <c r="C2004" t="b">
        <v>1</v>
      </c>
      <c r="D2004" t="str">
        <v>カン</v>
      </c>
      <c r="E2004" t="str">
        <v>かま（ける）</v>
      </c>
      <c r="F2004">
        <v>0</v>
      </c>
      <c r="G2004" t="str">
        <v>心が動く。物事に触れて、ある気持ちをいただく。 感覚器官が外部からの刺激を受けとる。</v>
      </c>
      <c r="H2004" t="str">
        <v>#心・志</v>
      </c>
      <c r="I2004">
        <v>10</v>
      </c>
      <c r="J2004">
        <v>5</v>
      </c>
      <c r="K2004">
        <v>100</v>
      </c>
      <c r="L2004">
        <v>0</v>
      </c>
      <c r="M2004">
        <f>VLOOKUP(A2004,[1]kanji_data!$A:$N,14,FALSE)</f>
        <v>0</v>
      </c>
    </row>
    <row r="2005">
      <c r="A2005" t="str">
        <v>漢</v>
      </c>
      <c r="B2005">
        <v>13</v>
      </c>
      <c r="C2005" t="b">
        <v>1</v>
      </c>
      <c r="D2005" t="str">
        <v>カン</v>
      </c>
      <c r="E2005" t="str">
        <v>おとこ から</v>
      </c>
      <c r="F2005">
        <v>0</v>
      </c>
      <c r="G2005" t="str">
        <v>中国を流れる川の名「漢水」。 男。男子。男性の称。 天の川。 中国の王朝の名。また、中国に関することがら。 民族の名。漢族。漢民族。 あや。から。中国のこと。</v>
      </c>
      <c r="H2005" t="str">
        <v>#海・水</v>
      </c>
      <c r="I2005">
        <v>10</v>
      </c>
      <c r="J2005">
        <v>85</v>
      </c>
      <c r="K2005">
        <v>30</v>
      </c>
      <c r="L2005">
        <v>0</v>
      </c>
      <c r="M2005">
        <f>VLOOKUP(A2005,[1]kanji_data!$A:$N,14,FALSE)</f>
        <v>0</v>
      </c>
    </row>
    <row r="2006">
      <c r="A2006" t="str">
        <v>業</v>
      </c>
      <c r="B2006">
        <v>13</v>
      </c>
      <c r="C2006" t="b">
        <v>1</v>
      </c>
      <c r="D2006" t="str">
        <v>ギョウ ゴウ</v>
      </c>
      <c r="E2006" t="str">
        <v>わざ</v>
      </c>
      <c r="F2006" t="str">
        <v>なり のり</v>
      </c>
      <c r="G2006" t="str">
        <v>わざ。つとめ。仕事。 わざ。しわざ。おこない。行為。 わざ。技術。技能。 なりわい。生活のための仕事。 すでに。もはや。まえに。 ごう。前世の善悪のおこないによって、現世で受ける報い。 鐘や鼓（つづみ）などを吊るす横木に付ける、大きな板状の飾り。 ごう。腹が立つこと。怒りの心。</v>
      </c>
      <c r="H2006" t="str">
        <v>#知性</v>
      </c>
      <c r="I2006">
        <v>30</v>
      </c>
      <c r="J2006">
        <v>50</v>
      </c>
      <c r="K2006">
        <v>50</v>
      </c>
      <c r="L2006">
        <v>1</v>
      </c>
    </row>
    <row r="2007">
      <c r="A2007" t="str">
        <v>詩</v>
      </c>
      <c r="B2007">
        <v>13</v>
      </c>
      <c r="C2007" t="b">
        <v>1</v>
      </c>
      <c r="D2007" t="str">
        <v>シ</v>
      </c>
      <c r="E2007" t="str">
        <v>うた</v>
      </c>
      <c r="F2007" t="str">
        <v>たもつ ゆき</v>
      </c>
      <c r="G2007" t="str">
        <v>うた。からうた。韻文の一体。漢詩。 五経の一つ。詩経。</v>
      </c>
      <c r="H2007" t="str">
        <v>#品格 #知性</v>
      </c>
      <c r="I2007">
        <v>100</v>
      </c>
      <c r="J2007">
        <v>55</v>
      </c>
      <c r="K2007">
        <v>55</v>
      </c>
      <c r="L2007">
        <v>0</v>
      </c>
      <c r="M2007">
        <f>VLOOKUP(A2007,[1]kanji_data!$A:$N,14,FALSE)</f>
        <v>0</v>
      </c>
    </row>
    <row r="2008">
      <c r="A2008" t="str">
        <v>想</v>
      </c>
      <c r="B2008">
        <v>13</v>
      </c>
      <c r="C2008" t="b">
        <v>1</v>
      </c>
      <c r="D2008" t="str">
        <v>ソウ ソ</v>
      </c>
      <c r="E2008" t="str">
        <v>おも（う）</v>
      </c>
      <c r="F2008">
        <v>0</v>
      </c>
      <c r="G2008" t="str">
        <v>おもう。心の中で考える。思いめぐらす。 おもい。考え。</v>
      </c>
      <c r="H2008" t="str">
        <v>#心・志</v>
      </c>
      <c r="I2008">
        <v>5</v>
      </c>
      <c r="J2008">
        <v>55</v>
      </c>
      <c r="K2008">
        <v>55</v>
      </c>
      <c r="L2008">
        <v>0</v>
      </c>
      <c r="M2008">
        <f>VLOOKUP(A2008,[1]kanji_data!$A:$N,14,FALSE)</f>
        <v>0</v>
      </c>
    </row>
    <row r="2009">
      <c r="A2009" t="str">
        <v>鉄</v>
      </c>
      <c r="B2009">
        <v>13</v>
      </c>
      <c r="C2009" t="b">
        <v>1</v>
      </c>
      <c r="D2009" t="str">
        <v>テツ</v>
      </c>
      <c r="E2009" t="str">
        <v>かね くろがね</v>
      </c>
      <c r="F2009" t="str">
        <v>きみ とし まがね</v>
      </c>
      <c r="G2009" t="str">
        <v>てつ。くろがね。金属の名。 かたい。つよい。堅固。 鉄でつくった武器。刃物。</v>
      </c>
      <c r="H2009" t="str">
        <v>#勇気</v>
      </c>
      <c r="I2009">
        <v>15</v>
      </c>
      <c r="J2009">
        <v>85</v>
      </c>
      <c r="K2009">
        <v>30</v>
      </c>
      <c r="L2009">
        <v>0</v>
      </c>
      <c r="M2009">
        <f>VLOOKUP(A2009,[1]kanji_data!$A:$N,14,FALSE)</f>
        <v>0</v>
      </c>
    </row>
    <row r="2010">
      <c r="A2010" t="str">
        <v>談</v>
      </c>
      <c r="B2010">
        <v>15</v>
      </c>
      <c r="C2010" t="b">
        <v>1</v>
      </c>
      <c r="D2010" t="str">
        <v>ダン タン</v>
      </c>
      <c r="E2010" t="str">
        <v>かた（る）</v>
      </c>
      <c r="F2010">
        <v>0</v>
      </c>
      <c r="G2010" t="str">
        <v>かたる。はなす。 かたり。はなし。物語。</v>
      </c>
      <c r="I2010">
        <v>10</v>
      </c>
      <c r="J2010">
        <v>50</v>
      </c>
      <c r="K2010">
        <v>50</v>
      </c>
      <c r="L2010">
        <v>1</v>
      </c>
    </row>
    <row r="2011">
      <c r="A2011" t="str">
        <v>福</v>
      </c>
      <c r="B2011">
        <v>13</v>
      </c>
      <c r="C2011" t="b">
        <v>1</v>
      </c>
      <c r="D2011" t="str">
        <v>フク</v>
      </c>
      <c r="E2011" t="str">
        <v>さいわ（い）</v>
      </c>
      <c r="F2011" t="str">
        <v>さき さち たる とし とみ ね むら もと よ よし</v>
      </c>
      <c r="G2011" t="str">
        <v>さいわい。しあわせ。 さいわいを与える。しあわせを与える。 祭りの際、神に供える酒や肉。</v>
      </c>
      <c r="H2011" t="str">
        <v>#幸福</v>
      </c>
      <c r="I2011">
        <v>100</v>
      </c>
      <c r="J2011">
        <v>65</v>
      </c>
      <c r="K2011">
        <v>50</v>
      </c>
      <c r="L2011">
        <v>0</v>
      </c>
      <c r="M2011">
        <f>VLOOKUP(A2011,[1]kanji_data!$A:$N,14,FALSE)</f>
        <v>0</v>
      </c>
    </row>
    <row r="2012">
      <c r="A2012" t="str">
        <v>路</v>
      </c>
      <c r="B2012">
        <v>13</v>
      </c>
      <c r="C2012" t="b">
        <v>1</v>
      </c>
      <c r="D2012" t="str">
        <v>ロ</v>
      </c>
      <c r="E2012" t="str">
        <v>じ くるま みち</v>
      </c>
      <c r="F2012" t="str">
        <v>のり ゆき ゆく</v>
      </c>
      <c r="G2012" t="str">
        <v>みち。じ。人や車馬が行き来する道。 すじみち。やり方。道理。条理。 方法。やり方。しかた。 重要な地位。 大きい。 旅行。旅をする。 あらわれる。あらわす。 つかれる。やぶれる。おとろえる。 天子の車。 宋代の行政区画の名。</v>
      </c>
      <c r="H2012" t="str">
        <v>#繁栄</v>
      </c>
      <c r="I2012">
        <v>100</v>
      </c>
      <c r="J2012">
        <v>95</v>
      </c>
      <c r="K2012">
        <v>35</v>
      </c>
      <c r="L2012">
        <v>0</v>
      </c>
      <c r="M2012">
        <f>VLOOKUP(A2012,[1]kanji_data!$A:$N,14,FALSE)</f>
        <v>0</v>
      </c>
    </row>
    <row r="2013">
      <c r="A2013" t="str">
        <v>愛</v>
      </c>
      <c r="B2013">
        <v>13</v>
      </c>
      <c r="C2013" t="b">
        <v>1</v>
      </c>
      <c r="D2013" t="str">
        <v>アイ</v>
      </c>
      <c r="E2013" t="str">
        <v>いと（しい） う（い） お（しむ） かな（しい） まな め（でる）</v>
      </c>
      <c r="F2013" t="str">
        <v>あ え さね ちか なり なる のり まなみ めぐむ よし より</v>
      </c>
      <c r="G2013" t="str">
        <v>いとおしむ。いとしむ。いつくしむ。かわいがる。かわいがって大切にする。 めでる。好む。味わい楽しむ。 おしむ。おしんで大切にする。 いとしい。いとおしい。かわいらしい。かわいらしく思う。 まな。「とてもかわいがっている」「とても大切に育てている」などの意を表す。</v>
      </c>
      <c r="H2013" t="str">
        <v>#幸福 #慈愛 #花・彩</v>
      </c>
      <c r="I2013">
        <v>100</v>
      </c>
      <c r="J2013">
        <v>45</v>
      </c>
      <c r="K2013">
        <v>75</v>
      </c>
      <c r="L2013">
        <v>0</v>
      </c>
      <c r="M2013">
        <f>VLOOKUP(A2013,[1]kanji_data!$A:$N,14,FALSE)</f>
        <v>0</v>
      </c>
    </row>
    <row r="2014">
      <c r="A2014" t="str">
        <v>選</v>
      </c>
      <c r="B2014">
        <v>15</v>
      </c>
      <c r="C2014" t="b">
        <v>1</v>
      </c>
      <c r="D2014" t="str">
        <v>セン</v>
      </c>
      <c r="E2014" t="str">
        <v>えら（ぶ） え（る） すぐ（る） よ（る）</v>
      </c>
      <c r="F2014">
        <v>0</v>
      </c>
      <c r="G2014" t="str">
        <v>えらぶ。える。よる。よりわける。 おくる。つかわす。 えらばれた人。 詩文をえらび書物をつくる。 ととのう。そろう。 よわい。よわよわしい。</v>
      </c>
      <c r="I2014">
        <v>10</v>
      </c>
      <c r="J2014">
        <v>50</v>
      </c>
      <c r="K2014">
        <v>50</v>
      </c>
      <c r="L2014">
        <v>1</v>
      </c>
    </row>
    <row r="2015">
      <c r="A2015" t="str">
        <v>試</v>
      </c>
      <c r="B2015">
        <v>13</v>
      </c>
      <c r="C2015" t="b">
        <v>1</v>
      </c>
      <c r="D2015" t="str">
        <v>シ</v>
      </c>
      <c r="E2015" t="str">
        <v>こころ（みる） ため（す）</v>
      </c>
      <c r="F2015" t="str">
        <v>もち</v>
      </c>
      <c r="G2015" t="str">
        <v>こころみる。ためす。 こころみ。試験。 任命する。用いる。 調べる。比較する。</v>
      </c>
      <c r="H2015" t="str">
        <v>#心・志</v>
      </c>
      <c r="I2015">
        <v>30</v>
      </c>
      <c r="J2015">
        <v>50</v>
      </c>
      <c r="K2015">
        <v>50</v>
      </c>
      <c r="L2015">
        <v>1</v>
      </c>
    </row>
    <row r="2016">
      <c r="A2016" t="str">
        <v>敵</v>
      </c>
      <c r="B2016">
        <v>15</v>
      </c>
      <c r="C2016" t="b">
        <v>1</v>
      </c>
      <c r="D2016" t="str">
        <v>テキ</v>
      </c>
      <c r="E2016" t="str">
        <v>かたき あだ かな（う）</v>
      </c>
      <c r="F2016">
        <v>0</v>
      </c>
      <c r="G2016" t="str">
        <v>かたき。あだ。争いの相手。 あいて。力が等しい相手。対等の相手。 つりあう。かなう。肩を並べる。</v>
      </c>
      <c r="I2016">
        <v>10</v>
      </c>
      <c r="J2016">
        <v>50</v>
      </c>
      <c r="K2016">
        <v>50</v>
      </c>
      <c r="L2016">
        <v>1</v>
      </c>
    </row>
    <row r="2017">
      <c r="A2017" t="str">
        <v>照</v>
      </c>
      <c r="B2017">
        <v>13</v>
      </c>
      <c r="C2017" t="b">
        <v>1</v>
      </c>
      <c r="D2017" t="str">
        <v>ショウ</v>
      </c>
      <c r="E2017" t="str">
        <v>て（らす） て（る） て（れる）</v>
      </c>
      <c r="F2017" t="str">
        <v>あき あきら あり てり てる とし のぶ みつ</v>
      </c>
      <c r="G2017" t="str">
        <v>てる。てらす。光を当てる。明るく輝く。 てり。光。日光。 てらし合わせる。つき合わせる。見くらべる。 写真。写真を撮る。 てれる。恥ずかしがる。</v>
      </c>
      <c r="H2017" t="str">
        <v>#天空</v>
      </c>
      <c r="I2017">
        <v>100</v>
      </c>
      <c r="J2017">
        <v>60</v>
      </c>
      <c r="K2017">
        <v>55</v>
      </c>
      <c r="L2017">
        <v>0</v>
      </c>
      <c r="M2017">
        <f>VLOOKUP(A2017,[1]kanji_data!$A:$N,14,FALSE)</f>
        <v>0</v>
      </c>
    </row>
    <row r="2018">
      <c r="A2018" t="str">
        <v>節</v>
      </c>
      <c r="B2018">
        <v>13</v>
      </c>
      <c r="C2018" t="b">
        <v>1</v>
      </c>
      <c r="D2018" t="str">
        <v>セツ セチ</v>
      </c>
      <c r="E2018" t="str">
        <v>ふし ノット みさお</v>
      </c>
      <c r="F2018" t="str">
        <v>たか たかし のり よし</v>
      </c>
      <c r="G2018" t="str">
        <v>ふし。よ。竹のふし。草木のふし。体のふし。つなぎめ。結合している部分。 くぎり。きりめ。詩歌・文章の一区切り。 きまり。さだめ。のり。みさお。例：礼節 ほどよい。ほどよくする。ひかえめにする。適度を保つ。 とき。おり。ころ。時期。時候の区分。 しるし。割り符。手形。 かぎる。はぶく。倹約する。 祝いの日。祝日。 楽器の名。 易（エキ）の六十四卦の一つ。 ノット。舟の速度の単位。</v>
      </c>
      <c r="H2018" t="str">
        <v>#品格 #幸福 #自然</v>
      </c>
      <c r="I2018">
        <v>90</v>
      </c>
      <c r="J2018">
        <v>50</v>
      </c>
      <c r="K2018">
        <v>70</v>
      </c>
      <c r="L2018">
        <v>0</v>
      </c>
      <c r="M2018">
        <f>VLOOKUP(A2018,[1]kanji_data!$A:$N,14,FALSE)</f>
        <v>0</v>
      </c>
    </row>
    <row r="2019">
      <c r="A2019" t="str">
        <v>戦</v>
      </c>
      <c r="B2019">
        <v>13</v>
      </c>
      <c r="C2019" t="b">
        <v>1</v>
      </c>
      <c r="D2019" t="str">
        <v>セン</v>
      </c>
      <c r="E2019" t="str">
        <v>たたか（う） いくさ おのの（く） そよ（ぐ）</v>
      </c>
      <c r="F2019">
        <v>0</v>
      </c>
      <c r="G2019" t="str">
        <v>たたかう。武器をもってたたかう。 たたかい。いくさ。戦争。 おののく。からだがふるえる。 そよぐ。草木が風に吹かれてゆれ動く。</v>
      </c>
      <c r="H2019" t="str">
        <v>#勇気 #自然</v>
      </c>
      <c r="I2019">
        <v>10</v>
      </c>
      <c r="J2019">
        <v>50</v>
      </c>
      <c r="K2019">
        <v>50</v>
      </c>
      <c r="L2019">
        <v>1</v>
      </c>
    </row>
    <row r="2020">
      <c r="A2020" t="str">
        <v>編</v>
      </c>
      <c r="B2020">
        <v>15</v>
      </c>
      <c r="C2020" t="b">
        <v>1</v>
      </c>
      <c r="D2020" t="str">
        <v>ヘン</v>
      </c>
      <c r="E2020" t="str">
        <v>あ（む） とじいと ふみ</v>
      </c>
      <c r="F2020" t="str">
        <v>あみ よし</v>
      </c>
      <c r="G2020" t="str">
        <v>あむ。順序だててならべる。文書などを集めて書籍を作る。 とじいと。書籍のとじ糸。 書籍。書物。作品。詩・文章を数えることば。 へん。書籍中の部分け。</v>
      </c>
      <c r="I2020">
        <v>15</v>
      </c>
      <c r="J2020">
        <v>50</v>
      </c>
      <c r="K2020">
        <v>50</v>
      </c>
      <c r="L2020">
        <v>1</v>
      </c>
    </row>
    <row r="2021">
      <c r="A2021" t="str">
        <v>稿</v>
      </c>
      <c r="B2021">
        <v>15</v>
      </c>
      <c r="C2021" t="b">
        <v>1</v>
      </c>
      <c r="D2021" t="str">
        <v>コウ</v>
      </c>
      <c r="E2021" t="str">
        <v>したがき わら</v>
      </c>
      <c r="F2021">
        <v>0</v>
      </c>
      <c r="G2021" t="str">
        <v>したがき。詩や文章のしたがき。原案。 わら。稲や麦などの茎。</v>
      </c>
      <c r="I2021">
        <v>10</v>
      </c>
      <c r="J2021">
        <v>50</v>
      </c>
      <c r="K2021">
        <v>50</v>
      </c>
      <c r="L2021">
        <v>1</v>
      </c>
    </row>
    <row r="2022">
      <c r="A2022" t="str">
        <v>腸</v>
      </c>
      <c r="B2022">
        <v>13</v>
      </c>
      <c r="C2022" t="b">
        <v>1</v>
      </c>
      <c r="D2022" t="str">
        <v>チョウ</v>
      </c>
      <c r="E2022" t="str">
        <v>はらわた わた</v>
      </c>
      <c r="F2022">
        <v>0</v>
      </c>
      <c r="G2022" t="str">
        <v>はらわた。内臓の一つ。例：小腸 大腸 こころ。考え。思い。</v>
      </c>
      <c r="H2022" t="str">
        <v>#心・志</v>
      </c>
      <c r="I2022">
        <v>10</v>
      </c>
      <c r="J2022">
        <v>50</v>
      </c>
      <c r="K2022">
        <v>50</v>
      </c>
      <c r="L2022">
        <v>1</v>
      </c>
    </row>
    <row r="2023">
      <c r="A2023" t="str">
        <v>震</v>
      </c>
      <c r="B2023">
        <v>15</v>
      </c>
      <c r="C2023" t="b">
        <v>1</v>
      </c>
      <c r="D2023" t="str">
        <v>シン</v>
      </c>
      <c r="E2023" t="str">
        <v>ふる（う） ふる（える）</v>
      </c>
      <c r="F2023" t="str">
        <v>おと なり なる のぶ</v>
      </c>
      <c r="G2023" t="str">
        <v>ふるう。ふるえる。ゆれうごく。 ふるえおののく。おどろきおそれる。 いかずち。はげしい雷。 易（エキ）の八卦の一つ。方位では東。 易（エキ）の六十四卦の一つ。</v>
      </c>
      <c r="I2023">
        <v>15</v>
      </c>
      <c r="J2023">
        <v>50</v>
      </c>
      <c r="K2023">
        <v>50</v>
      </c>
      <c r="L2023">
        <v>1</v>
      </c>
    </row>
    <row r="2024">
      <c r="A2024" t="str">
        <v>解</v>
      </c>
      <c r="B2024">
        <v>13</v>
      </c>
      <c r="C2024" t="b">
        <v>1</v>
      </c>
      <c r="D2024" t="str">
        <v>カイ ゲ</v>
      </c>
      <c r="E2024" t="str">
        <v>と（かす） と（く） と（ける） さと（る） ほぐ（れる） ほつ（れる） ほど（く） ほど（ける） わか（る）</v>
      </c>
      <c r="F2024">
        <v>0</v>
      </c>
      <c r="G2024" t="str">
        <v>とく。とける。ばらばらに分ける。 とく。とける。ほどく。ときほぐす。 とく。ときはなす。とりあげる。 とく。ときあかす。明らかにする。 とける。さとる。よくわかる。 おくる。人や物をおくりとどける。 おこたる。なまける。＝懈 易（エキ）の六十四卦の一つ。 ゲ。下の者から上の者へ渡す公文書。</v>
      </c>
      <c r="H2024" t="str">
        <v>#知性</v>
      </c>
      <c r="I2024">
        <v>10</v>
      </c>
      <c r="J2024">
        <v>55</v>
      </c>
      <c r="K2024">
        <v>55</v>
      </c>
      <c r="L2024">
        <v>1</v>
      </c>
    </row>
    <row r="2025">
      <c r="A2025" t="str">
        <v>幹</v>
      </c>
      <c r="B2025">
        <v>13</v>
      </c>
      <c r="C2025" t="b">
        <v>1</v>
      </c>
      <c r="D2025" t="str">
        <v>カン</v>
      </c>
      <c r="E2025" t="str">
        <v>みき から わざ</v>
      </c>
      <c r="F2025" t="str">
        <v>き たかし とも まさ み もと もとき よし</v>
      </c>
      <c r="G2025" t="str">
        <v>みき。樹木の中心となる太い部分。また、物事の重要な部分。 わざ。はたらき。能力。才能。</v>
      </c>
      <c r="H2025" t="str">
        <v>#知性 #自然</v>
      </c>
      <c r="I2025">
        <v>100</v>
      </c>
      <c r="J2025">
        <v>90</v>
      </c>
      <c r="K2025">
        <v>45</v>
      </c>
      <c r="L2025">
        <v>0</v>
      </c>
      <c r="M2025">
        <f>VLOOKUP(A2025,[1]kanji_data!$A:$N,14,FALSE)</f>
        <v>0</v>
      </c>
    </row>
    <row r="2026">
      <c r="A2026" t="str">
        <v>義</v>
      </c>
      <c r="B2026">
        <v>13</v>
      </c>
      <c r="C2026" t="b">
        <v>1</v>
      </c>
      <c r="D2026" t="str">
        <v>ギ</v>
      </c>
      <c r="E2026" t="str">
        <v>よ（い）</v>
      </c>
      <c r="F2026" t="str">
        <v>あき いさ しげ ただし ちか つとむ とも のり みち よし より</v>
      </c>
      <c r="G2026" t="str">
        <v>人として行うべき正しい道。道理。 わけ。意味。 よい。正しい。道理にかなった。 仮の。実物の代わり。血のつながりのないものを血族として扱う。例：義母、義父</v>
      </c>
      <c r="H2026" t="str">
        <v>#品格</v>
      </c>
      <c r="I2026">
        <v>100</v>
      </c>
      <c r="J2026">
        <v>55</v>
      </c>
      <c r="K2026">
        <v>65</v>
      </c>
      <c r="L2026">
        <v>0</v>
      </c>
      <c r="M2026">
        <f>VLOOKUP(A2026,[1]kanji_data!$A:$N,14,FALSE)</f>
        <v>0</v>
      </c>
    </row>
    <row r="2027">
      <c r="A2027" t="str">
        <v>禁</v>
      </c>
      <c r="B2027">
        <v>13</v>
      </c>
      <c r="C2027" t="b">
        <v>1</v>
      </c>
      <c r="D2027" t="str">
        <v>キン</v>
      </c>
      <c r="E2027" t="str">
        <v>いさ（める） い（む） とど（める）</v>
      </c>
      <c r="F2027">
        <v>0</v>
      </c>
      <c r="G2027" t="str">
        <v>いむ。いみさける。不吉なことをさける。 とどめる。ふさぐ。さしとめる。やめさせる。いましめる。 閉じ込める。また、閉じ込めるためのろうや。監獄。 御所。宮中。宮城。天子の居城。天子の居所。 ひそかに。秘密に。 まじない。呪い。 たえる。もちこたえる。おさえる。</v>
      </c>
      <c r="H2027" t="str">
        <v>#勇気</v>
      </c>
      <c r="I2027">
        <v>10</v>
      </c>
      <c r="J2027">
        <v>50</v>
      </c>
      <c r="K2027">
        <v>50</v>
      </c>
      <c r="L2027">
        <v>1</v>
      </c>
    </row>
    <row r="2028">
      <c r="A2028" t="str">
        <v>群</v>
      </c>
      <c r="B2028">
        <v>13</v>
      </c>
      <c r="C2028" t="b">
        <v>1</v>
      </c>
      <c r="D2028" t="str">
        <v>グン</v>
      </c>
      <c r="E2028" t="str">
        <v>むら む（れ） む（れる）</v>
      </c>
      <c r="F2028" t="str">
        <v>とも もと</v>
      </c>
      <c r="G2028" t="str">
        <v>むら。むれ。集まり。むらがり。仲間。組。 むらがる。むれる。集まる。 もろもろの。たくさんの。多くの。数が多い。</v>
      </c>
      <c r="H2028" t="str">
        <v>#繁栄 #調和</v>
      </c>
      <c r="I2028">
        <v>15</v>
      </c>
      <c r="J2028">
        <v>50</v>
      </c>
      <c r="K2028">
        <v>50</v>
      </c>
      <c r="L2028">
        <v>1</v>
      </c>
    </row>
    <row r="2029">
      <c r="A2029" t="str">
        <v>踏</v>
      </c>
      <c r="B2029">
        <v>15</v>
      </c>
      <c r="C2029" t="b">
        <v>1</v>
      </c>
      <c r="D2029" t="str">
        <v>トウ</v>
      </c>
      <c r="E2029" t="str">
        <v>ふ（まえる） ふ（む）</v>
      </c>
      <c r="F2029">
        <v>0</v>
      </c>
      <c r="G2029" t="str">
        <v>ふむ。ふみつける。ふみ歩く。ふみ進む。 ふみおこなう。確かめる。実践する。 おおよその値段をつける。</v>
      </c>
      <c r="I2029">
        <v>10</v>
      </c>
      <c r="J2029">
        <v>50</v>
      </c>
      <c r="K2029">
        <v>50</v>
      </c>
      <c r="L2029">
        <v>1</v>
      </c>
    </row>
    <row r="2030">
      <c r="A2030" t="str">
        <v>罪</v>
      </c>
      <c r="B2030">
        <v>13</v>
      </c>
      <c r="C2030" t="b">
        <v>1</v>
      </c>
      <c r="D2030" t="str">
        <v>ザイ</v>
      </c>
      <c r="E2030" t="str">
        <v>つみ</v>
      </c>
      <c r="F2030">
        <v>0</v>
      </c>
      <c r="G2030" t="str">
        <v>つみ。とが。とがみ。法律を犯す行為。法律に反する行為。 つみする。つみにあてる。刑罰を加える。 自分にとって不都合であること。過失。過ち。</v>
      </c>
      <c r="H2030" t="str">
        <v>#天空</v>
      </c>
      <c r="I2030">
        <v>0</v>
      </c>
      <c r="J2030">
        <v>50</v>
      </c>
      <c r="K2030">
        <v>50</v>
      </c>
      <c r="L2030">
        <v>1</v>
      </c>
    </row>
    <row r="2031">
      <c r="A2031" t="str">
        <v>盤</v>
      </c>
      <c r="B2031">
        <v>15</v>
      </c>
      <c r="C2031" t="b">
        <v>1</v>
      </c>
      <c r="D2031" t="str">
        <v>バン ハン</v>
      </c>
      <c r="E2031" t="str">
        <v>おおざら ま（がる） めぐ（る） わだかま（る）</v>
      </c>
      <c r="F2031">
        <v>0</v>
      </c>
      <c r="G2031" t="str">
        <v>はち。さら。おおざら。たらい。 物を載せる台。 大きな岩。 まがる。めぐる。わだかまる。とぐろをまく。曲がりくねる。ぐるぐるとめぐる。</v>
      </c>
      <c r="I2031">
        <v>10</v>
      </c>
      <c r="J2031">
        <v>50</v>
      </c>
      <c r="K2031">
        <v>50</v>
      </c>
      <c r="L2031">
        <v>1</v>
      </c>
    </row>
    <row r="2032">
      <c r="A2032" t="str">
        <v>飼</v>
      </c>
      <c r="B2032">
        <v>13</v>
      </c>
      <c r="C2032" t="b">
        <v>1</v>
      </c>
      <c r="D2032" t="str">
        <v>シ</v>
      </c>
      <c r="E2032" t="str">
        <v>か（う） やしな（う）</v>
      </c>
      <c r="F2032">
        <v>0</v>
      </c>
      <c r="G2032" t="str">
        <v>かう。やしなう。食べ物を与えて、やしない育てる。</v>
      </c>
      <c r="H2032" t="str">
        <v>#天空</v>
      </c>
      <c r="I2032">
        <v>10</v>
      </c>
      <c r="J2032">
        <v>50</v>
      </c>
      <c r="K2032">
        <v>50</v>
      </c>
      <c r="L2032">
        <v>1</v>
      </c>
    </row>
    <row r="2033">
      <c r="A2033" t="str">
        <v>敷</v>
      </c>
      <c r="B2033">
        <v>15</v>
      </c>
      <c r="C2033" t="b">
        <v>1</v>
      </c>
      <c r="D2033" t="str">
        <v>フ</v>
      </c>
      <c r="E2033" t="str">
        <v>し（く）</v>
      </c>
      <c r="F2033">
        <v>0</v>
      </c>
      <c r="G2033" t="str">
        <v>しく。ひろげる。おしひろげる。 しく。平らにひろげてのばす。また、すみずみまで行き渡らせる。 のべる。ならべる。つらねる。 しく。物をのせるために下にひろげる。 しき。しきもののこと。</v>
      </c>
      <c r="I2033">
        <v>10</v>
      </c>
      <c r="J2033">
        <v>50</v>
      </c>
      <c r="K2033">
        <v>50</v>
      </c>
      <c r="L2033">
        <v>1</v>
      </c>
    </row>
    <row r="2034">
      <c r="A2034" t="str">
        <v>勢</v>
      </c>
      <c r="B2034">
        <v>13</v>
      </c>
      <c r="C2034" t="b">
        <v>1</v>
      </c>
      <c r="D2034" t="str">
        <v>セイ セ</v>
      </c>
      <c r="E2034" t="str">
        <v>いきお（い）</v>
      </c>
      <c r="F2034" t="str">
        <v>せ なり</v>
      </c>
      <c r="G2034" t="str">
        <v>いきおい。活気。活動力。 ありさま。姿。様子。事のなりゆき。 むれ。人数。人の集まり。特に、軍隊。兵士の集団。</v>
      </c>
      <c r="H2034" t="str">
        <v>#勇気 #繁栄</v>
      </c>
      <c r="I2034">
        <v>100</v>
      </c>
      <c r="J2034">
        <v>85</v>
      </c>
      <c r="K2034">
        <v>30</v>
      </c>
      <c r="L2034">
        <v>0</v>
      </c>
      <c r="M2034">
        <f>VLOOKUP(A2034,[1]kanji_data!$A:$N,14,FALSE)</f>
        <v>0</v>
      </c>
    </row>
    <row r="2035">
      <c r="A2035" t="str">
        <v>噴</v>
      </c>
      <c r="B2035">
        <v>15</v>
      </c>
      <c r="C2035" t="b">
        <v>1</v>
      </c>
      <c r="D2035" t="str">
        <v>フン ホン</v>
      </c>
      <c r="E2035" t="str">
        <v>ふ（く） は（く）</v>
      </c>
      <c r="F2035">
        <v>0</v>
      </c>
      <c r="G2035" t="str">
        <v>ふく。はく。ふき出す。はき出す。激しくふき出すことをいう場合が多い。</v>
      </c>
      <c r="I2035">
        <v>10</v>
      </c>
      <c r="J2035">
        <v>50</v>
      </c>
      <c r="K2035">
        <v>50</v>
      </c>
      <c r="L2035">
        <v>1</v>
      </c>
    </row>
    <row r="2036">
      <c r="A2036" t="str">
        <v>舗</v>
      </c>
      <c r="B2036">
        <v>15</v>
      </c>
      <c r="C2036" t="b">
        <v>1</v>
      </c>
      <c r="D2036" t="str">
        <v>ホ フ</v>
      </c>
      <c r="E2036" t="str">
        <v>し（く） みせ</v>
      </c>
      <c r="F2036" t="str">
        <v>しげ すけ のぶ はる</v>
      </c>
      <c r="G2036" t="str">
        <v>しく。並べる。つらねる。 門にとりつける金具。 あまねく。広く。 器物の名。 止める。止まる。 みせ。お店。 宿場。たてば。</v>
      </c>
      <c r="I2036">
        <v>15</v>
      </c>
      <c r="J2036">
        <v>50</v>
      </c>
      <c r="K2036">
        <v>50</v>
      </c>
      <c r="L2036">
        <v>1</v>
      </c>
    </row>
    <row r="2037">
      <c r="A2037" t="str">
        <v>豊</v>
      </c>
      <c r="B2037">
        <v>13</v>
      </c>
      <c r="C2037" t="b">
        <v>1</v>
      </c>
      <c r="D2037" t="str">
        <v>ホウ</v>
      </c>
      <c r="E2037" t="str">
        <v>ゆた（か） とよ</v>
      </c>
      <c r="F2037" t="str">
        <v>あつ て と のぼる ひろ ひろし ぶん ほ みのる もり よし</v>
      </c>
      <c r="G2037" t="str">
        <v>ゆたか。とよ。作物がよく実る。 ゆたか。量が多い。大きい。 易（エキ）の六十四卦の一つ。 とよ。続く語をほめる接頭語。</v>
      </c>
      <c r="H2037" t="str">
        <v>#幸福 #繁栄</v>
      </c>
      <c r="I2037">
        <v>100</v>
      </c>
      <c r="J2037">
        <v>65</v>
      </c>
      <c r="K2037">
        <v>50</v>
      </c>
      <c r="L2037">
        <v>0</v>
      </c>
      <c r="M2037">
        <f>VLOOKUP(A2037,[1]kanji_data!$A:$N,14,FALSE)</f>
        <v>0</v>
      </c>
    </row>
    <row r="2038">
      <c r="A2038" t="str">
        <v>夢</v>
      </c>
      <c r="B2038">
        <v>13</v>
      </c>
      <c r="C2038" t="b">
        <v>1</v>
      </c>
      <c r="D2038" t="str">
        <v>ム ボウ</v>
      </c>
      <c r="E2038" t="str">
        <v>ゆめ</v>
      </c>
      <c r="F2038" t="str">
        <v>ゆ</v>
      </c>
      <c r="G2038" t="str">
        <v>ゆめ。眠っているときにみるもの。 はかないもの。ゆめのようにはかないもの。 くらい。はっきりしない。明らかでない。</v>
      </c>
      <c r="H2038" t="str">
        <v>#心・志 #繁栄</v>
      </c>
      <c r="I2038">
        <v>100</v>
      </c>
      <c r="J2038">
        <v>20</v>
      </c>
      <c r="K2038">
        <v>100</v>
      </c>
      <c r="L2038">
        <v>0</v>
      </c>
      <c r="M2038">
        <f>VLOOKUP(A2038,[1]kanji_data!$A:$N,14,FALSE)</f>
        <v>0</v>
      </c>
    </row>
    <row r="2039">
      <c r="A2039" t="str">
        <v>黙</v>
      </c>
      <c r="B2039">
        <v>15</v>
      </c>
      <c r="C2039" t="b">
        <v>1</v>
      </c>
      <c r="D2039" t="str">
        <v>モク ボク</v>
      </c>
      <c r="E2039" t="str">
        <v>だま（る） だんま（り） もだ（す）</v>
      </c>
      <c r="F2039">
        <v>0</v>
      </c>
      <c r="G2039" t="str">
        <v>だまる。声を出さない。口をきかない。 しずか。しずまる。ひっそりしている。</v>
      </c>
      <c r="I2039">
        <v>10</v>
      </c>
      <c r="J2039">
        <v>50</v>
      </c>
      <c r="K2039">
        <v>50</v>
      </c>
      <c r="L2039">
        <v>1</v>
      </c>
    </row>
    <row r="2040">
      <c r="A2040" t="str">
        <v>絹</v>
      </c>
      <c r="B2040">
        <v>13</v>
      </c>
      <c r="C2040" t="b">
        <v>1</v>
      </c>
      <c r="D2040" t="str">
        <v>ケン</v>
      </c>
      <c r="E2040" t="str">
        <v>きぬ</v>
      </c>
      <c r="F2040" t="str">
        <v>まさ</v>
      </c>
      <c r="G2040" t="str">
        <v>きぬ。きぬ糸。蚕のまゆからとった糸。また、その糸で織った織物。</v>
      </c>
      <c r="H2040" t="str">
        <v>#花・彩</v>
      </c>
      <c r="I2040">
        <v>95</v>
      </c>
      <c r="J2040">
        <v>25</v>
      </c>
      <c r="K2040">
        <v>85</v>
      </c>
      <c r="L2040">
        <v>0</v>
      </c>
      <c r="M2040">
        <f>VLOOKUP(A2040,[1]kanji_data!$A:$N,14,FALSE)</f>
        <v>0</v>
      </c>
    </row>
    <row r="2041">
      <c r="A2041" t="str">
        <v>源</v>
      </c>
      <c r="B2041">
        <v>13</v>
      </c>
      <c r="C2041" t="b">
        <v>1</v>
      </c>
      <c r="D2041" t="str">
        <v>ゲン</v>
      </c>
      <c r="E2041" t="str">
        <v>みなもと</v>
      </c>
      <c r="F2041" t="str">
        <v>はじめ もと よし</v>
      </c>
      <c r="G2041" t="str">
        <v>みなもと。水の流れ出るもと。物事のおおもと。始まり。 たずねる。さぐる。探し求める。 みなもと。源氏のこと。</v>
      </c>
      <c r="H2041" t="str">
        <v>#海・水 #繁栄</v>
      </c>
      <c r="I2041">
        <v>100</v>
      </c>
      <c r="J2041">
        <v>55</v>
      </c>
      <c r="K2041">
        <v>60</v>
      </c>
      <c r="L2041">
        <v>0</v>
      </c>
      <c r="M2041">
        <f>VLOOKUP(A2041,[1]kanji_data!$A:$N,14,FALSE)</f>
        <v>0</v>
      </c>
    </row>
    <row r="2042">
      <c r="A2042" t="str">
        <v>衝</v>
      </c>
      <c r="B2042">
        <v>15</v>
      </c>
      <c r="C2042" t="b">
        <v>1</v>
      </c>
      <c r="D2042" t="str">
        <v>ショウ</v>
      </c>
      <c r="E2042" t="str">
        <v>つ（く）</v>
      </c>
      <c r="F2042" t="str">
        <v>つぎ みち</v>
      </c>
      <c r="G2042" t="str">
        <v>大通り。みち。交通の中心となるところ。 かなめ。要所。 つく。つきあたる。ぶつかる。 動かす。動く。 向かう。 戦車。軍艦。</v>
      </c>
      <c r="I2042">
        <v>15</v>
      </c>
      <c r="J2042">
        <v>50</v>
      </c>
      <c r="K2042">
        <v>50</v>
      </c>
      <c r="L2042">
        <v>1</v>
      </c>
    </row>
    <row r="2043">
      <c r="A2043" t="str">
        <v>嘱</v>
      </c>
      <c r="B2043">
        <v>15</v>
      </c>
      <c r="C2043" t="b">
        <v>1</v>
      </c>
      <c r="D2043" t="str">
        <v>ショク</v>
      </c>
      <c r="E2043" t="str">
        <v>たの（む）</v>
      </c>
      <c r="F2043">
        <v>0</v>
      </c>
      <c r="G2043" t="str">
        <v>たのむ。まかせる。言いつける。</v>
      </c>
      <c r="I2043">
        <v>10</v>
      </c>
      <c r="J2043">
        <v>50</v>
      </c>
      <c r="K2043">
        <v>50</v>
      </c>
      <c r="L2043">
        <v>1</v>
      </c>
    </row>
    <row r="2044">
      <c r="A2044" t="str">
        <v>請</v>
      </c>
      <c r="B2044">
        <v>15</v>
      </c>
      <c r="C2044" t="b">
        <v>1</v>
      </c>
      <c r="D2044" t="str">
        <v>セイ シン ショウ</v>
      </c>
      <c r="E2044" t="str">
        <v>う（ける） こ（う）</v>
      </c>
      <c r="F2044" t="str">
        <v>うけ もとむ</v>
      </c>
      <c r="G2044" t="str">
        <v>たのむ。こう。いのる。願う。頼む。 要望。こい。願い。 告げる。申し上げる。 召す。まねく。 目通りする。お目にかかる。 受ける。 うける。金をはらって引き取る。引き受ける。</v>
      </c>
      <c r="I2044">
        <v>15</v>
      </c>
      <c r="J2044">
        <v>50</v>
      </c>
      <c r="K2044">
        <v>50</v>
      </c>
      <c r="L2044">
        <v>1</v>
      </c>
    </row>
    <row r="2045">
      <c r="A2045" t="str">
        <v>誠</v>
      </c>
      <c r="B2045">
        <v>13</v>
      </c>
      <c r="C2045" t="b">
        <v>1</v>
      </c>
      <c r="D2045" t="str">
        <v>セイ ジョウ</v>
      </c>
      <c r="E2045" t="str">
        <v>まこと</v>
      </c>
      <c r="F2045" t="str">
        <v>あき あきら さと さとし さね しげ すみ たか たかし ただし とも なり なる のぶ のり まさ み もと よし</v>
      </c>
      <c r="G2045" t="str">
        <v>まこと。本当。真実。事実。まごころ。 まことにする。 まことに。実に。本当に。</v>
      </c>
      <c r="H2045" t="str">
        <v>#品格 #心・志</v>
      </c>
      <c r="I2045">
        <v>100</v>
      </c>
      <c r="J2045">
        <v>55</v>
      </c>
      <c r="K2045">
        <v>70</v>
      </c>
      <c r="L2045">
        <v>0</v>
      </c>
      <c r="M2045">
        <f>VLOOKUP(A2045,[1]kanji_data!$A:$N,14,FALSE)</f>
        <v>0</v>
      </c>
    </row>
    <row r="2046">
      <c r="A2046" t="str">
        <v>聖</v>
      </c>
      <c r="B2046">
        <v>13</v>
      </c>
      <c r="C2046" t="b">
        <v>1</v>
      </c>
      <c r="D2046" t="str">
        <v>セイ ショウ</v>
      </c>
      <c r="E2046" t="str">
        <v>ひじり</v>
      </c>
      <c r="F2046" t="str">
        <v>あき あきら きよ きよし さと さとし さとる しょう せ たかし たから とし まさ</v>
      </c>
      <c r="G2046" t="str">
        <v>ひじり。知徳のすぐれた人。例：聖人 さとい。かしこい。 天子の尊称。 天子に関する事物の上にそえることば。 清酒の別名。 ひじり。せい。</v>
      </c>
      <c r="H2046" t="str">
        <v>#品格 #心・志 #知性</v>
      </c>
      <c r="I2046">
        <v>70</v>
      </c>
      <c r="J2046">
        <v>50</v>
      </c>
      <c r="K2046">
        <v>70</v>
      </c>
      <c r="L2046">
        <v>0</v>
      </c>
      <c r="M2046">
        <f>VLOOKUP(A2046,[1]kanji_data!$A:$N,14,FALSE)</f>
        <v>0</v>
      </c>
    </row>
    <row r="2047">
      <c r="A2047" t="str">
        <v>暖</v>
      </c>
      <c r="B2047">
        <v>13</v>
      </c>
      <c r="C2047" t="b">
        <v>1</v>
      </c>
      <c r="D2047" t="str">
        <v>ダン ノン</v>
      </c>
      <c r="E2047" t="str">
        <v>あたた（か） あたた（かい） あたた（まる） あたた（める）</v>
      </c>
      <c r="F2047" t="str">
        <v>あつ はる やす</v>
      </c>
      <c r="G2047" t="str">
        <v>あたたかい。あたたか。温度がほどよく高い。 あたためる。あたたまる。あたたかくする。あたたかくなる。</v>
      </c>
      <c r="H2047" t="str">
        <v>#慈愛</v>
      </c>
      <c r="I2047">
        <v>100</v>
      </c>
      <c r="J2047">
        <v>35</v>
      </c>
      <c r="K2047">
        <v>85</v>
      </c>
      <c r="L2047">
        <v>0</v>
      </c>
      <c r="M2047">
        <f>VLOOKUP(A2047,[1]kanji_data!$A:$N,14,FALSE)</f>
        <v>0</v>
      </c>
    </row>
    <row r="2048">
      <c r="A2048" t="str">
        <v>潜</v>
      </c>
      <c r="B2048">
        <v>15</v>
      </c>
      <c r="C2048" t="b">
        <v>1</v>
      </c>
      <c r="D2048" t="str">
        <v>セン</v>
      </c>
      <c r="E2048" t="str">
        <v>ひそ（む） もぐ（る） くぐ（る）</v>
      </c>
      <c r="F2048" t="str">
        <v>すみ ひそみ ひそむ</v>
      </c>
      <c r="G2048" t="str">
        <v>もぐる。くぐる。水中にもぐる。 ひそむ。ひそめる。かくれる。かくす。 ひそかに。ひそむ。こっそりと。人知れず。 心をしずかに落ち着ける。深く集中する。 深い。水の深いところ。</v>
      </c>
      <c r="I2048">
        <v>15</v>
      </c>
      <c r="J2048">
        <v>50</v>
      </c>
      <c r="K2048">
        <v>50</v>
      </c>
      <c r="L2048">
        <v>1</v>
      </c>
    </row>
    <row r="2049">
      <c r="A2049" t="str">
        <v>腹</v>
      </c>
      <c r="B2049">
        <v>13</v>
      </c>
      <c r="C2049" t="b">
        <v>1</v>
      </c>
      <c r="D2049" t="str">
        <v>フク</v>
      </c>
      <c r="E2049" t="str">
        <v>はら こころ</v>
      </c>
      <c r="F2049">
        <v>0</v>
      </c>
      <c r="G2049" t="str">
        <v>はら。おなか。 こころ。考え。思い。 ものの中央。中心。 前面。まえ。</v>
      </c>
      <c r="H2049" t="str">
        <v>#心・志</v>
      </c>
      <c r="I2049">
        <v>10</v>
      </c>
      <c r="J2049">
        <v>50</v>
      </c>
      <c r="K2049">
        <v>50</v>
      </c>
      <c r="L2049">
        <v>1</v>
      </c>
    </row>
    <row r="2050">
      <c r="A2050" t="str">
        <v>幕</v>
      </c>
      <c r="B2050">
        <v>13</v>
      </c>
      <c r="C2050" t="b">
        <v>1</v>
      </c>
      <c r="D2050" t="str">
        <v>バク マク</v>
      </c>
      <c r="E2050">
        <v>0</v>
      </c>
      <c r="F2050">
        <v>0</v>
      </c>
      <c r="G2050" t="str">
        <v>てんまく。上から四方に屋根のようにはりめぐらしたまく。 おおう。おおいかぶせる。おおい隠す。 おおい布。物をおおい隠す布。 幕を張って設けた将軍の陣営。 「幕府」の略。 まく。芝居での一つの場面。 まく。場面。場合。 まく。相撲番付の上位。幕内。 まく。終わり。</v>
      </c>
      <c r="H2050" t="str">
        <v>#自然</v>
      </c>
      <c r="I2050">
        <v>10</v>
      </c>
      <c r="J2050">
        <v>50</v>
      </c>
      <c r="K2050">
        <v>50</v>
      </c>
      <c r="L2050">
        <v>1</v>
      </c>
    </row>
    <row r="2051">
      <c r="A2051" t="str">
        <v>諾</v>
      </c>
      <c r="B2051">
        <v>15</v>
      </c>
      <c r="C2051" t="b">
        <v>1</v>
      </c>
      <c r="D2051" t="str">
        <v>ダク</v>
      </c>
      <c r="E2051" t="str">
        <v>うべな（う）</v>
      </c>
      <c r="F2051">
        <v>0</v>
      </c>
      <c r="G2051" t="str">
        <v>うべなう。承知する。聞き入れる。 こたえる。「はい」と答える。 国名「諾威（ノルウェー）」の略。</v>
      </c>
      <c r="I2051">
        <v>10</v>
      </c>
      <c r="J2051">
        <v>50</v>
      </c>
      <c r="K2051">
        <v>50</v>
      </c>
      <c r="L2051">
        <v>1</v>
      </c>
    </row>
    <row r="2052">
      <c r="A2052" t="str">
        <v>駐</v>
      </c>
      <c r="B2052">
        <v>15</v>
      </c>
      <c r="C2052" t="b">
        <v>1</v>
      </c>
      <c r="D2052" t="str">
        <v>チュウ チュ</v>
      </c>
      <c r="E2052" t="str">
        <v>とど（まる）</v>
      </c>
      <c r="F2052">
        <v>0</v>
      </c>
      <c r="G2052" t="str">
        <v>とどまる。一定の場所にとどまる。 とどめる。ひきとめる。とめておく。</v>
      </c>
      <c r="I2052">
        <v>10</v>
      </c>
      <c r="J2052">
        <v>50</v>
      </c>
      <c r="K2052">
        <v>50</v>
      </c>
      <c r="L2052">
        <v>1</v>
      </c>
    </row>
    <row r="2053">
      <c r="A2053" t="str">
        <v>鋳</v>
      </c>
      <c r="B2053">
        <v>15</v>
      </c>
      <c r="C2053" t="b">
        <v>1</v>
      </c>
      <c r="D2053" t="str">
        <v>チュウ シュ</v>
      </c>
      <c r="E2053" t="str">
        <v>い（る）</v>
      </c>
      <c r="F2053" t="str">
        <v>い</v>
      </c>
      <c r="G2053" t="str">
        <v>いる。溶かした金属を型に流し込み、器物をつくる。</v>
      </c>
      <c r="I2053">
        <v>15</v>
      </c>
      <c r="J2053">
        <v>50</v>
      </c>
      <c r="K2053">
        <v>50</v>
      </c>
      <c r="L2053">
        <v>1</v>
      </c>
    </row>
    <row r="2054">
      <c r="A2054" t="str">
        <v>墜</v>
      </c>
      <c r="B2054">
        <v>15</v>
      </c>
      <c r="C2054" t="b">
        <v>1</v>
      </c>
      <c r="D2054" t="str">
        <v>ツイ</v>
      </c>
      <c r="E2054" t="str">
        <v>お（ちる） お（とす）</v>
      </c>
      <c r="F2054">
        <v>0</v>
      </c>
      <c r="G2054" t="str">
        <v>おちる。おとす。落下する。上から下に落ちる。 うしなう。なくす。おとろえる。</v>
      </c>
      <c r="I2054">
        <v>10</v>
      </c>
      <c r="J2054">
        <v>50</v>
      </c>
      <c r="K2054">
        <v>50</v>
      </c>
      <c r="L2054">
        <v>1</v>
      </c>
    </row>
    <row r="2055">
      <c r="A2055" t="str">
        <v>墳</v>
      </c>
      <c r="B2055">
        <v>15</v>
      </c>
      <c r="C2055" t="b">
        <v>1</v>
      </c>
      <c r="D2055" t="str">
        <v>フン</v>
      </c>
      <c r="E2055" t="str">
        <v>はか</v>
      </c>
      <c r="F2055">
        <v>0</v>
      </c>
      <c r="G2055" t="str">
        <v>はか。つか。土を盛り上げた墓。 つつみ。土を盛り上げた堤防。 大きい。ふくれて大きい。 古代の書物の名。三墳。</v>
      </c>
      <c r="I2055">
        <v>10</v>
      </c>
      <c r="J2055">
        <v>50</v>
      </c>
      <c r="K2055">
        <v>50</v>
      </c>
      <c r="L2055">
        <v>1</v>
      </c>
    </row>
    <row r="2056">
      <c r="A2056" t="str">
        <v>魅</v>
      </c>
      <c r="B2056">
        <v>15</v>
      </c>
      <c r="C2056" t="b">
        <v>1</v>
      </c>
      <c r="D2056" t="str">
        <v>ミ ビ</v>
      </c>
      <c r="E2056" t="str">
        <v>すだま もののけ</v>
      </c>
      <c r="F2056">
        <v>0</v>
      </c>
      <c r="G2056" t="str">
        <v>すだま。もののけ。化け物。妖怪。 みいる。人の心をひきつけて迷わせる。</v>
      </c>
      <c r="I2056">
        <v>10</v>
      </c>
      <c r="J2056">
        <v>30</v>
      </c>
      <c r="K2056">
        <v>90</v>
      </c>
      <c r="L2056">
        <v>0</v>
      </c>
      <c r="M2056">
        <f>VLOOKUP(A2056,[1]kanji_data!$A:$N,14,FALSE)</f>
        <v>0</v>
      </c>
    </row>
    <row r="2057">
      <c r="A2057" t="str">
        <v>雅</v>
      </c>
      <c r="B2057">
        <v>13</v>
      </c>
      <c r="C2057" t="b">
        <v>1</v>
      </c>
      <c r="D2057" t="str">
        <v>ガ ア</v>
      </c>
      <c r="E2057" t="str">
        <v>つね みやび みやび（やか）</v>
      </c>
      <c r="F2057" t="str">
        <v>ただ のり まさ まさし まさる もと</v>
      </c>
      <c r="G2057" t="str">
        <v>みやびやか。みやび。上品なさま。 ただしい。よい。きちんとしている。 つね。もと。もとより。もともと。 「詩経」の六義の一つ。 からす。カラス科の鳥。＝鴉</v>
      </c>
      <c r="H2057" t="str">
        <v>#品格</v>
      </c>
      <c r="I2057">
        <v>100</v>
      </c>
      <c r="J2057">
        <v>50</v>
      </c>
      <c r="K2057">
        <v>70</v>
      </c>
      <c r="L2057">
        <v>0</v>
      </c>
      <c r="M2057">
        <f>VLOOKUP(A2057,[1]kanji_data!$A:$N,14,FALSE)</f>
        <v>0</v>
      </c>
    </row>
    <row r="2058">
      <c r="A2058" t="str">
        <v>憂</v>
      </c>
      <c r="B2058">
        <v>15</v>
      </c>
      <c r="C2058" t="b">
        <v>1</v>
      </c>
      <c r="D2058" t="str">
        <v>ユウ</v>
      </c>
      <c r="E2058" t="str">
        <v>うれ（い） うれ（える） う（い）</v>
      </c>
      <c r="F2058">
        <v>0</v>
      </c>
      <c r="G2058" t="str">
        <v>うれえる。心配する。あれこれ考えて悩む。 うれい。心配ごと。悩み。 喪。父母の喪。 うい。つらい。苦しい。せつない。</v>
      </c>
      <c r="I2058">
        <v>10</v>
      </c>
      <c r="J2058">
        <v>50</v>
      </c>
      <c r="K2058">
        <v>50</v>
      </c>
      <c r="L2058">
        <v>1</v>
      </c>
    </row>
    <row r="2059">
      <c r="A2059" t="str">
        <v>稼</v>
      </c>
      <c r="B2059">
        <v>15</v>
      </c>
      <c r="C2059" t="b">
        <v>1</v>
      </c>
      <c r="D2059" t="str">
        <v>カ</v>
      </c>
      <c r="E2059" t="str">
        <v>かせ（ぐ） う（える） みの（り）</v>
      </c>
      <c r="F2059" t="str">
        <v>たか たね</v>
      </c>
      <c r="G2059" t="str">
        <v>うえる。種をまく。穀物をうえる。 みのり。よく実った稲。 かせぐ。かせぎ。金を稼ぐ。時間や点数をかせぐ。</v>
      </c>
      <c r="I2059">
        <v>15</v>
      </c>
      <c r="J2059">
        <v>50</v>
      </c>
      <c r="K2059">
        <v>50</v>
      </c>
      <c r="L2059">
        <v>1</v>
      </c>
    </row>
    <row r="2060">
      <c r="A2060" t="str">
        <v>詰</v>
      </c>
      <c r="B2060">
        <v>13</v>
      </c>
      <c r="C2060" t="b">
        <v>1</v>
      </c>
      <c r="D2060" t="str">
        <v>キツ</v>
      </c>
      <c r="E2060" t="str">
        <v>つ（まる） つ（む） つ（める） なじ（る）</v>
      </c>
      <c r="F2060">
        <v>0</v>
      </c>
      <c r="G2060" t="str">
        <v>なじる。問いつめる。責める。 調べる。 曲がる。曲げる。 止める。禁止する。取りしまる。 夜明け。朝。明くる。 つまる。いっぱいになる。せまくなる。 つめる。少なくする。 つまり。結局。</v>
      </c>
      <c r="H2060" t="str">
        <v>#繁栄</v>
      </c>
      <c r="I2060">
        <v>10</v>
      </c>
      <c r="J2060">
        <v>50</v>
      </c>
      <c r="K2060">
        <v>50</v>
      </c>
      <c r="L2060">
        <v>1</v>
      </c>
    </row>
    <row r="2061">
      <c r="A2061" t="str">
        <v>窮</v>
      </c>
      <c r="B2061">
        <v>15</v>
      </c>
      <c r="C2061" t="b">
        <v>1</v>
      </c>
      <c r="D2061" t="str">
        <v>キュウ</v>
      </c>
      <c r="E2061" t="str">
        <v>きわ（まる） きわ（める）</v>
      </c>
      <c r="F2061">
        <v>0</v>
      </c>
      <c r="G2061" t="str">
        <v>きわまる。終わる。限度に行きつく。 きわまる。行き詰まる。苦しむ。 きわめる。突き詰める。深く探る。 きわみ。はて。行き詰まり。</v>
      </c>
      <c r="I2061">
        <v>10</v>
      </c>
      <c r="J2061">
        <v>50</v>
      </c>
      <c r="K2061">
        <v>50</v>
      </c>
      <c r="L2061">
        <v>1</v>
      </c>
    </row>
    <row r="2062">
      <c r="A2062" t="str">
        <v>遷</v>
      </c>
      <c r="B2062">
        <v>15</v>
      </c>
      <c r="C2062" t="b">
        <v>1</v>
      </c>
      <c r="D2062" t="str">
        <v>セン</v>
      </c>
      <c r="E2062" t="str">
        <v>うつ（す） うつ（る）</v>
      </c>
      <c r="F2062">
        <v>0</v>
      </c>
      <c r="G2062" t="str">
        <v>うつす。かえる。あらためる。 うつる。場所を変える。変わる。 追放する。しりぞける。おいやる。</v>
      </c>
      <c r="I2062">
        <v>10</v>
      </c>
      <c r="J2062">
        <v>50</v>
      </c>
      <c r="K2062">
        <v>50</v>
      </c>
      <c r="L2062">
        <v>1</v>
      </c>
    </row>
    <row r="2063">
      <c r="A2063" t="str">
        <v>誇</v>
      </c>
      <c r="B2063">
        <v>13</v>
      </c>
      <c r="C2063" t="b">
        <v>1</v>
      </c>
      <c r="D2063" t="str">
        <v>コ</v>
      </c>
      <c r="E2063" t="str">
        <v>ほこ（る）</v>
      </c>
      <c r="F2063">
        <v>0</v>
      </c>
      <c r="G2063" t="str">
        <v>ほこる。いばる。自慢する。 ほこり。名誉。自慢。 太い。大きい。</v>
      </c>
      <c r="H2063" t="str">
        <v>#品格</v>
      </c>
      <c r="I2063">
        <v>10</v>
      </c>
      <c r="J2063">
        <v>80</v>
      </c>
      <c r="K2063">
        <v>45</v>
      </c>
      <c r="L2063">
        <v>0</v>
      </c>
      <c r="M2063">
        <f>VLOOKUP(A2063,[1]kanji_data!$A:$N,14,FALSE)</f>
        <v>0</v>
      </c>
    </row>
    <row r="2064">
      <c r="A2064" t="str">
        <v>槽</v>
      </c>
      <c r="B2064">
        <v>15</v>
      </c>
      <c r="C2064" t="b">
        <v>1</v>
      </c>
      <c r="D2064" t="str">
        <v>ソウ</v>
      </c>
      <c r="E2064" t="str">
        <v>おけ かいばおけ ふね</v>
      </c>
      <c r="F2064">
        <v>0</v>
      </c>
      <c r="G2064" t="str">
        <v>かいばおけ。牛や馬などの飼料を入れるおけ。 おけ。ふね。水や酒などを入れる容器。 まわりが盛り上がり、中が低くなった形をしたもの。</v>
      </c>
      <c r="I2064">
        <v>10</v>
      </c>
      <c r="J2064">
        <v>50</v>
      </c>
      <c r="K2064">
        <v>50</v>
      </c>
      <c r="L2064">
        <v>1</v>
      </c>
    </row>
    <row r="2065">
      <c r="A2065" t="str">
        <v>継</v>
      </c>
      <c r="B2065">
        <v>13</v>
      </c>
      <c r="C2065" t="b">
        <v>1</v>
      </c>
      <c r="D2065" t="str">
        <v>ケイ</v>
      </c>
      <c r="E2065" t="str">
        <v>つ（ぐ） まま</v>
      </c>
      <c r="F2065" t="str">
        <v>つぎ つぐ つね ひで</v>
      </c>
      <c r="G2065" t="str">
        <v>つぐ。つなぐ。受けつぐ。つづる。とぎれず続く。 つぎ。あとつぎ。あとを引きつぐもの。 ついで。続いて。 つぎ。きれを当てて補修をする。また、そのきれのこと。 まま。血のつながりがないこと。例：継母</v>
      </c>
      <c r="H2065" t="str">
        <v>#繁栄 #調和</v>
      </c>
      <c r="I2065">
        <v>90</v>
      </c>
      <c r="J2065">
        <v>55</v>
      </c>
      <c r="K2065">
        <v>60</v>
      </c>
      <c r="L2065">
        <v>0</v>
      </c>
      <c r="M2065">
        <f>VLOOKUP(A2065,[1]kanji_data!$A:$N,14,FALSE)</f>
        <v>0</v>
      </c>
    </row>
    <row r="2066">
      <c r="A2066" t="str">
        <v>歳</v>
      </c>
      <c r="B2066">
        <v>13</v>
      </c>
      <c r="C2066" t="b">
        <v>1</v>
      </c>
      <c r="D2066" t="str">
        <v>サイ セイ</v>
      </c>
      <c r="E2066" t="str">
        <v>とし とせ よわい</v>
      </c>
      <c r="F2066">
        <v>0</v>
      </c>
      <c r="G2066" t="str">
        <v>とし。一年。 とし。よわい。年齢。 みのり。作物のみのり。 星の名。木星。木星は約十二年で天を一周し、その軌道を十二等分した十二次を一年に一次ずつ進むことから「歳星」と呼ばれた。</v>
      </c>
      <c r="H2066" t="str">
        <v>#天空</v>
      </c>
      <c r="I2066">
        <v>10</v>
      </c>
      <c r="J2066">
        <v>50</v>
      </c>
      <c r="K2066">
        <v>50</v>
      </c>
      <c r="L2066">
        <v>1</v>
      </c>
    </row>
    <row r="2067">
      <c r="A2067" t="str">
        <v>罷</v>
      </c>
      <c r="B2067">
        <v>15</v>
      </c>
      <c r="C2067" t="b">
        <v>1</v>
      </c>
      <c r="D2067" t="str">
        <v>ヒ</v>
      </c>
      <c r="E2067" t="str">
        <v>つか（れる） まか（る） や（める）</v>
      </c>
      <c r="F2067">
        <v>0</v>
      </c>
      <c r="G2067" t="str">
        <v>やめる。やすむ。中止する。廃止する。 ゆるす。罪を許す。放免する。釈放する。 かえる。 しりぞける。役目をやめさせる。免職する。 つかれる。病む。くたびれる。 にぶい。弱い。おろか。 きわまる。 まかる。退出する。参上する。行く。</v>
      </c>
      <c r="I2067">
        <v>10</v>
      </c>
      <c r="J2067">
        <v>50</v>
      </c>
      <c r="K2067">
        <v>50</v>
      </c>
      <c r="L2067">
        <v>1</v>
      </c>
    </row>
    <row r="2068">
      <c r="A2068" t="str">
        <v>詳</v>
      </c>
      <c r="B2068">
        <v>13</v>
      </c>
      <c r="C2068" t="b">
        <v>1</v>
      </c>
      <c r="D2068" t="str">
        <v>ショウ ヨウ</v>
      </c>
      <c r="E2068" t="str">
        <v>くわ（しい） つまび（らか）</v>
      </c>
      <c r="F2068" t="str">
        <v>あき あきら くわし つま みつ よし</v>
      </c>
      <c r="G2068" t="str">
        <v>くわしい。つまびらか。 つまびらかにする。明らかにする。よく知る。 ことごとく。すべて。あまねく。 平ら。公平。 よい。めでたい。 いつわる。みせかける。</v>
      </c>
      <c r="H2068" t="str">
        <v>#品格 #幸福 #知性</v>
      </c>
      <c r="I2068">
        <v>15</v>
      </c>
      <c r="J2068">
        <v>55</v>
      </c>
      <c r="K2068">
        <v>55</v>
      </c>
      <c r="L2068">
        <v>0</v>
      </c>
      <c r="M2068">
        <f>VLOOKUP(A2068,[1]kanji_data!$A:$N,14,FALSE)</f>
        <v>0</v>
      </c>
    </row>
    <row r="2069">
      <c r="A2069" t="str">
        <v>撲</v>
      </c>
      <c r="B2069">
        <v>15</v>
      </c>
      <c r="C2069" t="b">
        <v>1</v>
      </c>
      <c r="D2069" t="str">
        <v>ボク ホク</v>
      </c>
      <c r="E2069" t="str">
        <v>う（つ） なぐ（る） は（る）</v>
      </c>
      <c r="F2069">
        <v>0</v>
      </c>
      <c r="G2069" t="str">
        <v>うつ。なぐる。ぶつ。たたく。</v>
      </c>
      <c r="I2069">
        <v>10</v>
      </c>
      <c r="J2069">
        <v>50</v>
      </c>
      <c r="K2069">
        <v>50</v>
      </c>
      <c r="L2069">
        <v>1</v>
      </c>
    </row>
    <row r="2070">
      <c r="A2070" t="str">
        <v>窯</v>
      </c>
      <c r="B2070">
        <v>15</v>
      </c>
      <c r="C2070" t="b">
        <v>1</v>
      </c>
      <c r="D2070" t="str">
        <v>ヨウ</v>
      </c>
      <c r="E2070" t="str">
        <v>かま</v>
      </c>
      <c r="F2070">
        <v>0</v>
      </c>
      <c r="G2070" t="str">
        <v>かま。かまど。かわらや陶器を焼くかまど。 陶器。すえもの。</v>
      </c>
      <c r="I2070">
        <v>10</v>
      </c>
      <c r="J2070">
        <v>50</v>
      </c>
      <c r="K2070">
        <v>50</v>
      </c>
      <c r="L2070">
        <v>1</v>
      </c>
    </row>
    <row r="2071">
      <c r="A2071" t="str">
        <v>慎</v>
      </c>
      <c r="B2071">
        <v>13</v>
      </c>
      <c r="C2071" t="b">
        <v>1</v>
      </c>
      <c r="D2071" t="str">
        <v>シン ジン</v>
      </c>
      <c r="E2071" t="str">
        <v>つつし（む） つつま（しい） つつま（しやか）</v>
      </c>
      <c r="F2071" t="str">
        <v>ちか のり まこと みつ よし</v>
      </c>
      <c r="G2071" t="str">
        <v>つつしむ。気をつける。念を入れる。 つつましい。控えめで落ち着いているさま。 つつましい。質素なさま。 つつましやか。しとやかなさま。</v>
      </c>
      <c r="H2071" t="str">
        <v>#品格 #心・志</v>
      </c>
      <c r="I2071">
        <v>100</v>
      </c>
      <c r="J2071">
        <v>55</v>
      </c>
      <c r="K2071">
        <v>70</v>
      </c>
      <c r="L2071">
        <v>0</v>
      </c>
      <c r="M2071">
        <f>VLOOKUP(A2071,[1]kanji_data!$A:$N,14,FALSE)</f>
        <v>0</v>
      </c>
    </row>
    <row r="2072">
      <c r="A2072" t="str">
        <v>寝</v>
      </c>
      <c r="B2072">
        <v>13</v>
      </c>
      <c r="C2072" t="b">
        <v>1</v>
      </c>
      <c r="D2072" t="str">
        <v>シン</v>
      </c>
      <c r="E2072" t="str">
        <v>ね（かす） ね（る） みたまや みにく（い） や（める）</v>
      </c>
      <c r="F2072">
        <v>0</v>
      </c>
      <c r="G2072" t="str">
        <v>ねる。ねかす。ねむる。横になる。 へや。奥座敷。 やめる。とりやめる。中止する。 みたまや。祖先の霊をまつる建物。 みにくい。姿や態度などがよくない。</v>
      </c>
      <c r="H2072" t="str">
        <v>#品格</v>
      </c>
      <c r="I2072">
        <v>10</v>
      </c>
      <c r="J2072">
        <v>50</v>
      </c>
      <c r="K2072">
        <v>50</v>
      </c>
      <c r="L2072">
        <v>1</v>
      </c>
    </row>
    <row r="2073">
      <c r="A2073" t="str">
        <v>履</v>
      </c>
      <c r="B2073">
        <v>15</v>
      </c>
      <c r="C2073" t="b">
        <v>1</v>
      </c>
      <c r="D2073" t="str">
        <v>リ</v>
      </c>
      <c r="E2073" t="str">
        <v>は（く） くつ ふ（む）</v>
      </c>
      <c r="F2073">
        <v>0</v>
      </c>
      <c r="G2073" t="str">
        <v>くつ。はきもの。 はく。くつをはく。はきものをはく。 ふむ。足でふみつける。 ふむ。実行する。体験する。 領土。領地。ふむことができる土地。 易（エキ）の六十四卦の一つ。</v>
      </c>
      <c r="I2073">
        <v>10</v>
      </c>
      <c r="J2073">
        <v>95</v>
      </c>
      <c r="K2073">
        <v>30</v>
      </c>
      <c r="L2073">
        <v>0</v>
      </c>
      <c r="M2073">
        <f>VLOOKUP(A2073,[1]kanji_data!$A:$N,14,FALSE)</f>
        <v>0</v>
      </c>
    </row>
    <row r="2074">
      <c r="A2074" t="str">
        <v>潰</v>
      </c>
      <c r="B2074">
        <v>15</v>
      </c>
      <c r="C2074" t="b">
        <v>1</v>
      </c>
      <c r="D2074" t="str">
        <v>カイ</v>
      </c>
      <c r="E2074" t="str">
        <v>つぶ（す） つぶ（れる） つい（える） みだ（れる）</v>
      </c>
      <c r="F2074">
        <v>0</v>
      </c>
      <c r="G2074" t="str">
        <v>つぶす。ついやす。やぶる。 つぶれる。ついえる。くずれる。乱れる。敗れる。 ただれる。内臓の組織がくずれる。</v>
      </c>
      <c r="I2074">
        <v>10</v>
      </c>
      <c r="J2074">
        <v>50</v>
      </c>
      <c r="K2074">
        <v>50</v>
      </c>
      <c r="L2074">
        <v>1</v>
      </c>
    </row>
    <row r="2075">
      <c r="A2075" t="str">
        <v>餌</v>
      </c>
      <c r="B2075">
        <v>15</v>
      </c>
      <c r="C2075" t="b">
        <v>1</v>
      </c>
      <c r="D2075" t="str">
        <v>ジ</v>
      </c>
      <c r="E2075" t="str">
        <v>え えさ く（う） たべもの</v>
      </c>
      <c r="F2075">
        <v>0</v>
      </c>
      <c r="G2075" t="str">
        <v>もち。だんご。米の粉をこねてつくった食品。 たべもの。たべものの総称。 えさ。え。動物を育てたり、捕らえたりするために与えるもの。 えさ。え。人を誘いこむための利益。</v>
      </c>
      <c r="I2075">
        <v>10</v>
      </c>
      <c r="J2075">
        <v>50</v>
      </c>
      <c r="K2075">
        <v>50</v>
      </c>
      <c r="L2075">
        <v>1</v>
      </c>
    </row>
    <row r="2076">
      <c r="A2076" t="str">
        <v>蓄</v>
      </c>
      <c r="B2076">
        <v>13</v>
      </c>
      <c r="C2076" t="b">
        <v>1</v>
      </c>
      <c r="D2076" t="str">
        <v>チク</v>
      </c>
      <c r="E2076" t="str">
        <v>たくわ（える）</v>
      </c>
      <c r="F2076" t="str">
        <v>おき</v>
      </c>
      <c r="G2076" t="str">
        <v>たくわえる。ためる。あつめる。たくわえ。 やしなう。育てる。飼う。</v>
      </c>
      <c r="H2076" t="str">
        <v>#天空</v>
      </c>
      <c r="I2076">
        <v>15</v>
      </c>
      <c r="J2076">
        <v>50</v>
      </c>
      <c r="K2076">
        <v>50</v>
      </c>
      <c r="L2076">
        <v>1</v>
      </c>
    </row>
    <row r="2077">
      <c r="A2077" t="str">
        <v>踪</v>
      </c>
      <c r="B2077">
        <v>15</v>
      </c>
      <c r="C2077" t="b">
        <v>1</v>
      </c>
      <c r="D2077" t="str">
        <v>ソウ シュウ</v>
      </c>
      <c r="E2077" t="str">
        <v>あと</v>
      </c>
      <c r="F2077">
        <v>0</v>
      </c>
      <c r="G2077" t="str">
        <v>あと。あとかた。あしあと。ゆくえ。＝蹤 前にならう。したがう。あとをつける。＝蹤</v>
      </c>
      <c r="I2077">
        <v>10</v>
      </c>
      <c r="J2077">
        <v>50</v>
      </c>
      <c r="K2077">
        <v>50</v>
      </c>
      <c r="L2077">
        <v>1</v>
      </c>
    </row>
    <row r="2078">
      <c r="A2078" t="str">
        <v>誰</v>
      </c>
      <c r="B2078">
        <v>15</v>
      </c>
      <c r="C2078" t="b">
        <v>1</v>
      </c>
      <c r="D2078" t="str">
        <v>スイ</v>
      </c>
      <c r="E2078" t="str">
        <v>だれ た たれ</v>
      </c>
      <c r="F2078">
        <v>0</v>
      </c>
      <c r="G2078" t="str">
        <v>だれ。だれか。たれ。た。疑問や反語に用いる。 これ。発語の助字。</v>
      </c>
      <c r="I2078">
        <v>10</v>
      </c>
      <c r="J2078">
        <v>50</v>
      </c>
      <c r="K2078">
        <v>50</v>
      </c>
      <c r="L2078">
        <v>1</v>
      </c>
    </row>
    <row r="2079">
      <c r="A2079" t="str">
        <v>嘲</v>
      </c>
      <c r="B2079">
        <v>15</v>
      </c>
      <c r="C2079" t="b">
        <v>1</v>
      </c>
      <c r="D2079" t="str">
        <v>チョウ トウ</v>
      </c>
      <c r="E2079" t="str">
        <v>あざけ（る） からか（う）</v>
      </c>
      <c r="F2079">
        <v>0</v>
      </c>
      <c r="G2079" t="str">
        <v>あざける。ばかにして笑う。悪口を言う。 からかう。ばかにする。</v>
      </c>
      <c r="I2079">
        <v>10</v>
      </c>
      <c r="J2079">
        <v>50</v>
      </c>
      <c r="K2079">
        <v>50</v>
      </c>
      <c r="L2079">
        <v>1</v>
      </c>
    </row>
    <row r="2080">
      <c r="A2080" t="str">
        <v>罵</v>
      </c>
      <c r="B2080">
        <v>15</v>
      </c>
      <c r="C2080" t="b">
        <v>1</v>
      </c>
      <c r="D2080" t="str">
        <v>バ</v>
      </c>
      <c r="E2080" t="str">
        <v>ののし（る）</v>
      </c>
      <c r="F2080">
        <v>0</v>
      </c>
      <c r="G2080" t="str">
        <v>ののしる。口汚くけなす。悪口をいう。 ののしり。悪口。</v>
      </c>
      <c r="I2080">
        <v>10</v>
      </c>
      <c r="J2080">
        <v>50</v>
      </c>
      <c r="K2080">
        <v>50</v>
      </c>
      <c r="L2080">
        <v>1</v>
      </c>
    </row>
    <row r="2081">
      <c r="A2081" t="str">
        <v>誉</v>
      </c>
      <c r="B2081">
        <v>13</v>
      </c>
      <c r="C2081" t="b">
        <v>1</v>
      </c>
      <c r="D2081" t="str">
        <v>ヨ</v>
      </c>
      <c r="E2081" t="str">
        <v>ほま（れ） ほ（める）</v>
      </c>
      <c r="F2081" t="str">
        <v>しげ たか のり ほまれ もと やす よし</v>
      </c>
      <c r="G2081" t="str">
        <v>ほめる。たたえる。 ほまれ。よい評判。 楽しむ。</v>
      </c>
      <c r="H2081" t="str">
        <v>#品格 #幸福</v>
      </c>
      <c r="I2081">
        <v>100</v>
      </c>
      <c r="J2081">
        <v>65</v>
      </c>
      <c r="K2081">
        <v>65</v>
      </c>
      <c r="L2081">
        <v>0</v>
      </c>
      <c r="M2081">
        <f>VLOOKUP(A2081,[1]kanji_data!$A:$N,14,FALSE)</f>
        <v>0</v>
      </c>
    </row>
    <row r="2082">
      <c r="A2082" t="str">
        <v>箸</v>
      </c>
      <c r="B2082">
        <v>15</v>
      </c>
      <c r="C2082" t="b">
        <v>1</v>
      </c>
      <c r="D2082" t="str">
        <v>チョ</v>
      </c>
      <c r="E2082" t="str">
        <v>はし</v>
      </c>
      <c r="F2082" t="str">
        <v>あき あきら つく</v>
      </c>
      <c r="G2082" t="str">
        <v>はし。食べ物をはさむはし。 あきらか。いちじるしい。書きあらわす。＝著 着る。身につける。身にまとう。 つく。ねばりつく。まとわりつく。</v>
      </c>
      <c r="I2082">
        <v>15</v>
      </c>
      <c r="J2082">
        <v>50</v>
      </c>
      <c r="K2082">
        <v>50</v>
      </c>
      <c r="L2082">
        <v>1</v>
      </c>
    </row>
    <row r="2083">
      <c r="A2083" t="str">
        <v>溶</v>
      </c>
      <c r="B2083">
        <v>13</v>
      </c>
      <c r="C2083" t="b">
        <v>1</v>
      </c>
      <c r="D2083" t="str">
        <v>ヨウ</v>
      </c>
      <c r="E2083" t="str">
        <v>と（かす） と（く） と（ける）</v>
      </c>
      <c r="F2083">
        <v>0</v>
      </c>
      <c r="G2083" t="str">
        <v>とける。とかす。固体の物が液体になる。また、液体の中にとけこむ。 水の流れがさかんなさま。 ゆったりと広いさま。安らかなさま。</v>
      </c>
      <c r="H2083" t="str">
        <v>#繁栄</v>
      </c>
      <c r="I2083">
        <v>10</v>
      </c>
      <c r="J2083">
        <v>50</v>
      </c>
      <c r="K2083">
        <v>50</v>
      </c>
      <c r="L2083">
        <v>1</v>
      </c>
    </row>
    <row r="2084">
      <c r="A2084" t="str">
        <v>雷</v>
      </c>
      <c r="B2084">
        <v>13</v>
      </c>
      <c r="C2084" t="b">
        <v>1</v>
      </c>
      <c r="D2084" t="str">
        <v>ライ</v>
      </c>
      <c r="E2084" t="str">
        <v>かみなり いかずち</v>
      </c>
      <c r="F2084" t="str">
        <v>あずま</v>
      </c>
      <c r="G2084" t="str">
        <v>かみなり。いかずち。空中の放電によって、光と音を発生する現象。</v>
      </c>
      <c r="H2084" t="str">
        <v>#天空</v>
      </c>
      <c r="I2084">
        <v>30</v>
      </c>
      <c r="J2084">
        <v>50</v>
      </c>
      <c r="K2084">
        <v>50</v>
      </c>
      <c r="L2084">
        <v>1</v>
      </c>
    </row>
    <row r="2085">
      <c r="A2085" t="str">
        <v>膝</v>
      </c>
      <c r="B2085">
        <v>15</v>
      </c>
      <c r="C2085" t="b">
        <v>1</v>
      </c>
      <c r="D2085" t="str">
        <v>シツ</v>
      </c>
      <c r="E2085" t="str">
        <v>ひざ</v>
      </c>
      <c r="F2085">
        <v>0</v>
      </c>
      <c r="G2085" t="str">
        <v>ひざ。股（もも）と脛（すね）の間の関節部。ひざがしら。 ひざもと。</v>
      </c>
      <c r="I2085">
        <v>10</v>
      </c>
      <c r="J2085">
        <v>50</v>
      </c>
      <c r="K2085">
        <v>50</v>
      </c>
      <c r="L2085">
        <v>1</v>
      </c>
    </row>
    <row r="2086">
      <c r="A2086" t="str">
        <v>餅</v>
      </c>
      <c r="B2086">
        <v>15</v>
      </c>
      <c r="C2086" t="b">
        <v>1</v>
      </c>
      <c r="D2086" t="str">
        <v>ヘイ</v>
      </c>
      <c r="E2086" t="str">
        <v>もち</v>
      </c>
      <c r="F2086">
        <v>0</v>
      </c>
      <c r="G2086" t="str">
        <v>もち。小麦粉をこねてつくった食品。 もちのようにまるくて平らなもの。 もち。もち米を蒸してついた食品。</v>
      </c>
      <c r="I2086">
        <v>10</v>
      </c>
      <c r="J2086">
        <v>50</v>
      </c>
      <c r="K2086">
        <v>50</v>
      </c>
      <c r="L2086">
        <v>1</v>
      </c>
    </row>
    <row r="2087">
      <c r="A2087" t="str">
        <v>慨</v>
      </c>
      <c r="B2087">
        <v>13</v>
      </c>
      <c r="C2087" t="b">
        <v>1</v>
      </c>
      <c r="D2087" t="str">
        <v>ガイ カイ</v>
      </c>
      <c r="E2087" t="str">
        <v>いきどお（る） なげ（く）</v>
      </c>
      <c r="F2087">
        <v>0</v>
      </c>
      <c r="G2087" t="str">
        <v>なげく。なげいて、ため息をつく。 いきどおる。腹を立てる。</v>
      </c>
      <c r="H2087" t="str">
        <v>#天空</v>
      </c>
      <c r="I2087">
        <v>10</v>
      </c>
      <c r="J2087">
        <v>50</v>
      </c>
      <c r="K2087">
        <v>55</v>
      </c>
      <c r="L2087">
        <v>1</v>
      </c>
    </row>
    <row r="2088">
      <c r="A2088" t="str">
        <v>蝦</v>
      </c>
      <c r="B2088">
        <v>15</v>
      </c>
      <c r="C2088" t="b">
        <v>0</v>
      </c>
      <c r="D2088" t="str">
        <v>カ ガ</v>
      </c>
      <c r="E2088" t="str">
        <v>えび がま</v>
      </c>
      <c r="F2088">
        <v>0</v>
      </c>
      <c r="G2088" t="str">
        <v>カエル。ヒキガエル。 えび。甲殻類の一種。＝鰕</v>
      </c>
      <c r="I2088">
        <v>10</v>
      </c>
      <c r="J2088">
        <v>50</v>
      </c>
      <c r="K2088">
        <v>50</v>
      </c>
      <c r="L2088">
        <v>1</v>
      </c>
    </row>
    <row r="2089">
      <c r="A2089" t="str">
        <v>隔</v>
      </c>
      <c r="B2089">
        <v>13</v>
      </c>
      <c r="C2089" t="b">
        <v>1</v>
      </c>
      <c r="D2089" t="str">
        <v>カク</v>
      </c>
      <c r="E2089" t="str">
        <v>へだ（たる） へだ（てる）</v>
      </c>
      <c r="F2089">
        <v>0</v>
      </c>
      <c r="G2089" t="str">
        <v>へだてる。へだたる。しきる。さえぎる。 へだたり。へだて。しきり。</v>
      </c>
      <c r="H2089" t="str">
        <v>#天空</v>
      </c>
      <c r="I2089">
        <v>10</v>
      </c>
      <c r="J2089">
        <v>50</v>
      </c>
      <c r="K2089">
        <v>50</v>
      </c>
      <c r="L2089">
        <v>1</v>
      </c>
    </row>
    <row r="2090">
      <c r="A2090" t="str">
        <v>蕎</v>
      </c>
      <c r="B2090">
        <v>15</v>
      </c>
      <c r="C2090" t="b">
        <v>0</v>
      </c>
      <c r="D2090" t="str">
        <v>キョウ</v>
      </c>
      <c r="E2090">
        <v>0</v>
      </c>
      <c r="F2090" t="str">
        <v>そ</v>
      </c>
      <c r="G2090" t="str">
        <v>そば。タデ科の一年草。</v>
      </c>
      <c r="I2090">
        <v>15</v>
      </c>
      <c r="J2090">
        <v>50</v>
      </c>
      <c r="K2090">
        <v>50</v>
      </c>
      <c r="L2090">
        <v>1</v>
      </c>
    </row>
    <row r="2091">
      <c r="A2091" t="str">
        <v>棄</v>
      </c>
      <c r="B2091">
        <v>13</v>
      </c>
      <c r="C2091" t="b">
        <v>1</v>
      </c>
      <c r="D2091" t="str">
        <v>キ</v>
      </c>
      <c r="E2091" t="str">
        <v>す（てる）</v>
      </c>
      <c r="F2091">
        <v>0</v>
      </c>
      <c r="G2091" t="str">
        <v>すてる。ほうる。なげすてる。 すてる。やめる。しりぞける。</v>
      </c>
      <c r="H2091" t="str">
        <v>#天空</v>
      </c>
      <c r="I2091">
        <v>10</v>
      </c>
      <c r="J2091">
        <v>50</v>
      </c>
      <c r="K2091">
        <v>50</v>
      </c>
      <c r="L2091">
        <v>1</v>
      </c>
    </row>
    <row r="2092">
      <c r="A2092" t="str">
        <v>糊</v>
      </c>
      <c r="B2092">
        <v>15</v>
      </c>
      <c r="C2092" t="b">
        <v>0</v>
      </c>
      <c r="D2092" t="str">
        <v>コ</v>
      </c>
      <c r="E2092" t="str">
        <v>のり</v>
      </c>
      <c r="F2092">
        <v>0</v>
      </c>
      <c r="G2092" t="str">
        <v>のり。米の粉などを煮て作ったねばり気のあるもの。 のりをつける。のりづけする。 ねばる。粘り気がある。 かゆ。多めの水で、米をやわらかく煮たもの。 のりする。かゆをすする。貧しい生活をする。かろうじて生活する。 「模糊（もこ）」は、あいまいでぼんやりしたさま。</v>
      </c>
      <c r="I2092">
        <v>10</v>
      </c>
      <c r="J2092">
        <v>50</v>
      </c>
      <c r="K2092">
        <v>50</v>
      </c>
      <c r="L2092">
        <v>1</v>
      </c>
    </row>
    <row r="2093">
      <c r="A2093" t="str">
        <v>撒</v>
      </c>
      <c r="B2093">
        <v>15</v>
      </c>
      <c r="C2093" t="b">
        <v>0</v>
      </c>
      <c r="D2093" t="str">
        <v>サツ サン</v>
      </c>
      <c r="E2093" t="str">
        <v>ま（く）</v>
      </c>
      <c r="F2093">
        <v>0</v>
      </c>
      <c r="G2093" t="str">
        <v>まく。あたり一面にまき散らす。</v>
      </c>
      <c r="I2093">
        <v>10</v>
      </c>
      <c r="J2093">
        <v>50</v>
      </c>
      <c r="K2093">
        <v>50</v>
      </c>
      <c r="L2093">
        <v>1</v>
      </c>
    </row>
    <row r="2094">
      <c r="A2094" t="str">
        <v>催</v>
      </c>
      <c r="B2094">
        <v>13</v>
      </c>
      <c r="C2094" t="b">
        <v>1</v>
      </c>
      <c r="D2094" t="str">
        <v>サイ</v>
      </c>
      <c r="E2094" t="str">
        <v>もよお（す） うなが（す） もよ（い）</v>
      </c>
      <c r="F2094">
        <v>0</v>
      </c>
      <c r="G2094" t="str">
        <v>もよおす。きざす。ひきおこす。 うながす。急き立てる。 もよい。名詞の下につけて「今にもそうなりそう」などのきざしが見えることを表す。 もよおし。行事。会合。</v>
      </c>
      <c r="H2094" t="str">
        <v>#天空</v>
      </c>
      <c r="I2094">
        <v>10</v>
      </c>
      <c r="J2094">
        <v>50</v>
      </c>
      <c r="K2094">
        <v>50</v>
      </c>
      <c r="L2094">
        <v>1</v>
      </c>
    </row>
    <row r="2095">
      <c r="A2095" t="str">
        <v>撰</v>
      </c>
      <c r="B2095">
        <v>15</v>
      </c>
      <c r="C2095" t="b">
        <v>0</v>
      </c>
      <c r="D2095" t="str">
        <v>サン セン</v>
      </c>
      <c r="E2095" t="str">
        <v>えら（ぶ）</v>
      </c>
      <c r="F2095">
        <v>0</v>
      </c>
      <c r="G2095" t="str">
        <v>詩をつくる。文章をつくる。 えらぶ。えらびあつめる。あつめそろえる。編集する。 えらぶ。よいものをえらびとる。</v>
      </c>
      <c r="I2095">
        <v>10</v>
      </c>
      <c r="J2095">
        <v>50</v>
      </c>
      <c r="K2095">
        <v>50</v>
      </c>
      <c r="L2095">
        <v>1</v>
      </c>
    </row>
    <row r="2096">
      <c r="A2096" t="str">
        <v>鄭</v>
      </c>
      <c r="B2096">
        <v>15</v>
      </c>
      <c r="C2096" t="b">
        <v>0</v>
      </c>
      <c r="D2096" t="str">
        <v>ジョウ テイ</v>
      </c>
      <c r="E2096" t="str">
        <v>ねんご（ろ）</v>
      </c>
      <c r="F2096">
        <v>0</v>
      </c>
      <c r="G2096" t="str">
        <v>ねんごろ。ていねい。かさねる。 周代の国の名。</v>
      </c>
      <c r="I2096">
        <v>10</v>
      </c>
      <c r="J2096">
        <v>50</v>
      </c>
      <c r="K2096">
        <v>50</v>
      </c>
      <c r="L2096">
        <v>1</v>
      </c>
    </row>
    <row r="2097">
      <c r="A2097" t="str">
        <v>慈</v>
      </c>
      <c r="B2097">
        <v>13</v>
      </c>
      <c r="C2097" t="b">
        <v>1</v>
      </c>
      <c r="D2097" t="str">
        <v>ジ</v>
      </c>
      <c r="E2097" t="str">
        <v>いつく（しむ）</v>
      </c>
      <c r="F2097" t="str">
        <v>しげ しげる ちか なり やす よし</v>
      </c>
      <c r="G2097" t="str">
        <v>いつくしむ。かわいがる。大切にする。親が子を大事に育てるような深い愛情をもって接する。 情け深い。また、情けをかける。 母。母親。父のことは「厳」という。</v>
      </c>
      <c r="H2097" t="str">
        <v>#天空 #慈愛</v>
      </c>
      <c r="I2097">
        <v>100</v>
      </c>
      <c r="J2097">
        <v>40</v>
      </c>
      <c r="K2097">
        <v>80</v>
      </c>
      <c r="L2097">
        <v>0</v>
      </c>
      <c r="M2097">
        <f>VLOOKUP(A2097,[1]kanji_data!$A:$N,14,FALSE)</f>
        <v>0</v>
      </c>
    </row>
    <row r="2098">
      <c r="A2098" t="str">
        <v>噌</v>
      </c>
      <c r="B2098">
        <v>15</v>
      </c>
      <c r="C2098" t="b">
        <v>0</v>
      </c>
      <c r="D2098" t="str">
        <v>ソ ソウ</v>
      </c>
      <c r="E2098" t="str">
        <v>かまびす（しい）</v>
      </c>
      <c r="F2098">
        <v>0</v>
      </c>
      <c r="G2098" t="str">
        <v>かまびすしい。さわがしい。 調味料の一つ「味噌（ミソ）」に用いられる字。</v>
      </c>
      <c r="I2098">
        <v>10</v>
      </c>
      <c r="J2098">
        <v>50</v>
      </c>
      <c r="K2098">
        <v>50</v>
      </c>
      <c r="L2098">
        <v>1</v>
      </c>
    </row>
    <row r="2099">
      <c r="A2099" t="str">
        <v>噂</v>
      </c>
      <c r="B2099">
        <v>15</v>
      </c>
      <c r="C2099" t="b">
        <v>0</v>
      </c>
      <c r="D2099" t="str">
        <v>ソン</v>
      </c>
      <c r="E2099" t="str">
        <v>うわさ</v>
      </c>
      <c r="F2099">
        <v>0</v>
      </c>
      <c r="G2099" t="str">
        <v>たくさんの人が集まって話をする。 うわさ。うわさ話をする。</v>
      </c>
      <c r="I2099">
        <v>10</v>
      </c>
      <c r="J2099">
        <v>50</v>
      </c>
      <c r="K2099">
        <v>50</v>
      </c>
      <c r="L2099">
        <v>1</v>
      </c>
    </row>
    <row r="2100">
      <c r="A2100" t="str">
        <v>歎</v>
      </c>
      <c r="B2100">
        <v>15</v>
      </c>
      <c r="C2100" t="b">
        <v>0</v>
      </c>
      <c r="D2100" t="str">
        <v>タン</v>
      </c>
      <c r="E2100" t="str">
        <v>たた（える） なげ（く）</v>
      </c>
      <c r="F2100">
        <v>0</v>
      </c>
      <c r="G2100" t="str">
        <v>なげく。ため息をついて悲しむ。 たたえる。深く感心してほめる。ほめたたえる。</v>
      </c>
      <c r="I2100">
        <v>10</v>
      </c>
      <c r="J2100">
        <v>50</v>
      </c>
      <c r="K2100">
        <v>50</v>
      </c>
      <c r="L2100">
        <v>1</v>
      </c>
    </row>
    <row r="2101">
      <c r="A2101" t="str">
        <v>滝</v>
      </c>
      <c r="B2101">
        <v>13</v>
      </c>
      <c r="C2101" t="b">
        <v>1</v>
      </c>
      <c r="D2101" t="str">
        <v>ロウ</v>
      </c>
      <c r="E2101" t="str">
        <v>たき</v>
      </c>
      <c r="F2101" t="str">
        <v>たけし よし ろう</v>
      </c>
      <c r="G2101" t="str">
        <v>早瀬。急流。 たき。高所から激しく落下する水流。</v>
      </c>
      <c r="H2101" t="str">
        <v>#海・水 #自然</v>
      </c>
      <c r="I2101">
        <v>85</v>
      </c>
      <c r="J2101">
        <v>75</v>
      </c>
      <c r="K2101">
        <v>40</v>
      </c>
      <c r="L2101">
        <v>0</v>
      </c>
      <c r="M2101">
        <f>VLOOKUP(A2101,[1]kanji_data!$A:$N,14,FALSE)</f>
        <v>0</v>
      </c>
    </row>
    <row r="2102">
      <c r="A2102" t="str">
        <v>播</v>
      </c>
      <c r="B2102">
        <v>15</v>
      </c>
      <c r="C2102" t="b">
        <v>0</v>
      </c>
      <c r="D2102" t="str">
        <v>ハ バン</v>
      </c>
      <c r="E2102" t="str">
        <v>し（く） ま（く）</v>
      </c>
      <c r="F2102" t="str">
        <v>はん ひろ まき</v>
      </c>
      <c r="G2102" t="str">
        <v>まく。種をまく。畑などに作物の種を散らす。 しく。広く知らせる。広く行き渡らせる。 旧国名「播磨（はりま）」の略。</v>
      </c>
      <c r="I2102">
        <v>15</v>
      </c>
      <c r="J2102">
        <v>50</v>
      </c>
      <c r="K2102">
        <v>50</v>
      </c>
      <c r="L2102">
        <v>1</v>
      </c>
    </row>
    <row r="2103">
      <c r="A2103" t="str">
        <v>篇</v>
      </c>
      <c r="B2103">
        <v>15</v>
      </c>
      <c r="C2103" t="b">
        <v>0</v>
      </c>
      <c r="D2103" t="str">
        <v>ヘン</v>
      </c>
      <c r="E2103" t="str">
        <v>ふだ ふみ まき</v>
      </c>
      <c r="F2103">
        <v>0</v>
      </c>
      <c r="G2103" t="str">
        <v>ふだ。文字を書き付けるふだ。 ふみ。書き物。一つにまとまった詩歌や文章。 詩文を数える助数詞。 まき。書物の部分け。</v>
      </c>
      <c r="I2103">
        <v>10</v>
      </c>
      <c r="J2103">
        <v>50</v>
      </c>
      <c r="K2103">
        <v>50</v>
      </c>
      <c r="L2103">
        <v>1</v>
      </c>
    </row>
    <row r="2104">
      <c r="A2104" t="str">
        <v>飽</v>
      </c>
      <c r="B2104">
        <v>13</v>
      </c>
      <c r="C2104" t="b">
        <v>1</v>
      </c>
      <c r="D2104" t="str">
        <v>ホウ</v>
      </c>
      <c r="E2104" t="str">
        <v>あ（かす） あ（きる）</v>
      </c>
      <c r="F2104">
        <v>0</v>
      </c>
      <c r="G2104" t="str">
        <v>あきる。食べあきる。あきるほど食べる。 あきる。満ち足りる。いっぱいになる。 あかす。あかせる。満足させる。 あくまで。あきるまで。満足するまで。</v>
      </c>
      <c r="H2104" t="str">
        <v>#繁栄</v>
      </c>
      <c r="I2104">
        <v>10</v>
      </c>
      <c r="J2104">
        <v>50</v>
      </c>
      <c r="K2104">
        <v>50</v>
      </c>
      <c r="L2104">
        <v>1</v>
      </c>
    </row>
    <row r="2105">
      <c r="A2105" t="str">
        <v>劉</v>
      </c>
      <c r="B2105">
        <v>15</v>
      </c>
      <c r="C2105" t="b">
        <v>0</v>
      </c>
      <c r="D2105" t="str">
        <v>リュウ</v>
      </c>
      <c r="E2105" t="str">
        <v>ころ（す） つら（ねる）</v>
      </c>
      <c r="F2105" t="str">
        <v>のぶ みずち</v>
      </c>
      <c r="G2105" t="str">
        <v>ころす。殺める。 つらねる。並べる。 おの。まさかり。刃物。</v>
      </c>
      <c r="I2105">
        <v>15</v>
      </c>
      <c r="J2105">
        <v>50</v>
      </c>
      <c r="K2105">
        <v>50</v>
      </c>
      <c r="L2105">
        <v>1</v>
      </c>
    </row>
    <row r="2106">
      <c r="A2106" t="str">
        <v>魯</v>
      </c>
      <c r="B2106">
        <v>15</v>
      </c>
      <c r="C2106" t="b">
        <v>0</v>
      </c>
      <c r="D2106" t="str">
        <v>ロ</v>
      </c>
      <c r="E2106" t="str">
        <v>おろ（か）</v>
      </c>
      <c r="F2106">
        <v>0</v>
      </c>
      <c r="G2106" t="str">
        <v>おろか。にぶい。考えが足りない。</v>
      </c>
      <c r="I2106">
        <v>10</v>
      </c>
      <c r="J2106">
        <v>50</v>
      </c>
      <c r="K2106">
        <v>50</v>
      </c>
      <c r="L2106">
        <v>1</v>
      </c>
    </row>
    <row r="2107">
      <c r="A2107" t="str">
        <v>零</v>
      </c>
      <c r="B2107">
        <v>13</v>
      </c>
      <c r="C2107" t="b">
        <v>1</v>
      </c>
      <c r="D2107" t="str">
        <v>レイ</v>
      </c>
      <c r="E2107" t="str">
        <v>あま（り） お（ちる） こぼ（れる） ゼロ ふ（る）</v>
      </c>
      <c r="F2107" t="str">
        <v>しずく</v>
      </c>
      <c r="G2107" t="str">
        <v>ふる。雨が音を立てずに静かにふる。 おちる。したたりおちる。 おちる。おちぶれる。しおれる。枯れる。 わずか。小さい。少ない。 レイ。ゼロ。０。正でも負でもない数。 こぼれる。あふれ出る。漏れ出る。</v>
      </c>
      <c r="H2107" t="str">
        <v>#海・水</v>
      </c>
      <c r="I2107">
        <v>30</v>
      </c>
      <c r="J2107">
        <v>50</v>
      </c>
      <c r="K2107">
        <v>50</v>
      </c>
      <c r="L2107">
        <v>1</v>
      </c>
    </row>
    <row r="2108">
      <c r="A2108" t="str">
        <v>廉</v>
      </c>
      <c r="B2108">
        <v>13</v>
      </c>
      <c r="C2108" t="b">
        <v>1</v>
      </c>
      <c r="D2108" t="str">
        <v>レン</v>
      </c>
      <c r="E2108" t="str">
        <v>いさぎよ（い） かど やす（い）</v>
      </c>
      <c r="F2108" t="str">
        <v>きよ きよし すが ただし ゆき よし</v>
      </c>
      <c r="G2108" t="str">
        <v>いさぎよい。行いが正しい。心が清い。 かど。すみ。境目。 やすい。価格が安い。 かど。問題として取り上げるべき事項。理由となる事柄。</v>
      </c>
      <c r="H2108" t="str">
        <v>#海・水</v>
      </c>
      <c r="I2108">
        <v>100</v>
      </c>
      <c r="J2108">
        <v>60</v>
      </c>
      <c r="K2108">
        <v>70</v>
      </c>
      <c r="L2108">
        <v>0</v>
      </c>
      <c r="M2108">
        <f>VLOOKUP(A2108,[1]kanji_data!$A:$N,14,FALSE)</f>
        <v>0</v>
      </c>
    </row>
    <row r="2109">
      <c r="A2109" t="str">
        <v>澁</v>
      </c>
      <c r="B2109">
        <v>15</v>
      </c>
      <c r="C2109" t="b">
        <v>0</v>
      </c>
      <c r="D2109" t="str">
        <v>シュウ ジュウ</v>
      </c>
      <c r="E2109" t="str">
        <v>しぶ しぶ（い） しぶ（る）</v>
      </c>
      <c r="F2109">
        <v>0</v>
      </c>
      <c r="G2109" t="str">
        <v>しぶい。味がしぶい。 しぶる。とどこおる。滑らかでない。すんなりと進まない。 しぶ。しぶ柿からとった汁。 しぶい。派手でなく、落ち着いた趣のあること。</v>
      </c>
      <c r="I2109">
        <v>10</v>
      </c>
      <c r="J2109">
        <v>50</v>
      </c>
      <c r="K2109">
        <v>50</v>
      </c>
      <c r="L2109">
        <v>1</v>
      </c>
    </row>
    <row r="2110">
      <c r="A2110" t="str">
        <v>價</v>
      </c>
      <c r="B2110">
        <v>15</v>
      </c>
      <c r="C2110" t="b">
        <v>0</v>
      </c>
      <c r="D2110" t="str">
        <v>カ</v>
      </c>
      <c r="E2110" t="str">
        <v>あたい</v>
      </c>
      <c r="F2110">
        <v>0</v>
      </c>
      <c r="G2110" t="str">
        <v>あたい。値段。値打ち。 あたいする。相当する。匹敵する。</v>
      </c>
      <c r="I2110">
        <v>10</v>
      </c>
      <c r="J2110">
        <v>50</v>
      </c>
      <c r="K2110">
        <v>50</v>
      </c>
      <c r="L2110">
        <v>1</v>
      </c>
    </row>
    <row r="2111">
      <c r="A2111" t="str">
        <v>虞</v>
      </c>
      <c r="B2111">
        <v>13</v>
      </c>
      <c r="C2111" t="b">
        <v>1</v>
      </c>
      <c r="D2111" t="str">
        <v>グ</v>
      </c>
      <c r="E2111" t="str">
        <v>おそれ</v>
      </c>
      <c r="F2111">
        <v>0</v>
      </c>
      <c r="G2111" t="str">
        <v>おそれ。心配。うれい。 おそれる。心配する。うれえる。おもんぱかる。 備え。いましめ。 たのしむ。 誤る。誤解する。また、誤り。 もとる。そむく。だます。あざむく。 古代中国の王朝の名。</v>
      </c>
      <c r="H2111" t="str">
        <v>#幸福</v>
      </c>
      <c r="I2111">
        <v>10</v>
      </c>
      <c r="J2111">
        <v>50</v>
      </c>
      <c r="K2111">
        <v>50</v>
      </c>
      <c r="L2111">
        <v>1</v>
      </c>
    </row>
    <row r="2112">
      <c r="A2112" t="str">
        <v>儉</v>
      </c>
      <c r="B2112">
        <v>15</v>
      </c>
      <c r="C2112" t="b">
        <v>0</v>
      </c>
      <c r="D2112" t="str">
        <v>ケン</v>
      </c>
      <c r="E2112" t="str">
        <v>つづま（やか） つま（しい）</v>
      </c>
      <c r="F2112">
        <v>0</v>
      </c>
      <c r="G2112" t="str">
        <v>つづまやか。つましい。無駄づかいをせず質素なさま。 へりくだる。行いが控えめである。 まずしい。 凶作。不作。穀物が実らない。</v>
      </c>
      <c r="I2112">
        <v>10</v>
      </c>
      <c r="J2112">
        <v>50</v>
      </c>
      <c r="K2112">
        <v>50</v>
      </c>
      <c r="L2112">
        <v>1</v>
      </c>
    </row>
    <row r="2113">
      <c r="A2113" t="str">
        <v>彈</v>
      </c>
      <c r="B2113">
        <v>15</v>
      </c>
      <c r="C2113" t="b">
        <v>0</v>
      </c>
      <c r="D2113" t="str">
        <v>ダン</v>
      </c>
      <c r="E2113" t="str">
        <v>たま はず（む） ひ（く） ただ（す） はじ（く） はじ（ける） はず（み）</v>
      </c>
      <c r="F2113">
        <v>0</v>
      </c>
      <c r="G2113" t="str">
        <v>たま。はじき弓のたま。鉄砲などのたま。 はじく。指先ではじく。指先ではねのける。 ひく。弦楽器をかなでる。 ただす。罪や過ちを責める。 はずむ。ものがはね返る。 はずむ。勢いづく。勢いにのる。</v>
      </c>
      <c r="I2113">
        <v>10</v>
      </c>
      <c r="J2113">
        <v>50</v>
      </c>
      <c r="K2113">
        <v>50</v>
      </c>
      <c r="L2113">
        <v>1</v>
      </c>
    </row>
    <row r="2114">
      <c r="A2114" t="str">
        <v>樣</v>
      </c>
      <c r="B2114">
        <v>15</v>
      </c>
      <c r="C2114" t="b">
        <v>0</v>
      </c>
      <c r="D2114" t="str">
        <v>ヨウ</v>
      </c>
      <c r="E2114" t="str">
        <v>さま</v>
      </c>
      <c r="F2114">
        <v>0</v>
      </c>
      <c r="G2114" t="str">
        <v>さま。すがたかたち。ありさま。 かた。のり。手本。 質や個数、種類などを数えることば。 さま。名前などの下につけて敬意を表す。</v>
      </c>
      <c r="I2114">
        <v>10</v>
      </c>
      <c r="J2114">
        <v>50</v>
      </c>
      <c r="K2114">
        <v>50</v>
      </c>
      <c r="L2114">
        <v>1</v>
      </c>
    </row>
    <row r="2115">
      <c r="A2115" t="str">
        <v>寛</v>
      </c>
      <c r="B2115">
        <v>13</v>
      </c>
      <c r="C2115" t="b">
        <v>1</v>
      </c>
      <c r="D2115" t="str">
        <v>カン</v>
      </c>
      <c r="E2115" t="str">
        <v>くつろ（ぐ） ひろ（い） ゆる（やか）</v>
      </c>
      <c r="F2115" t="str">
        <v>とも のぶ のり ひろし ゆたか</v>
      </c>
      <c r="G2115" t="str">
        <v>ひろい。ゆったりとしてゆとりがある。空間がひろい。また、心がひろい。 ゆるやか。きびしくない。ゆったりしている。 くつろぐ。ゆったりする。のんびりする。</v>
      </c>
      <c r="H2115" t="str">
        <v>#天空 #繁栄</v>
      </c>
      <c r="I2115">
        <v>100</v>
      </c>
      <c r="J2115">
        <v>30</v>
      </c>
      <c r="K2115">
        <v>85</v>
      </c>
      <c r="L2115">
        <v>0</v>
      </c>
      <c r="M2115">
        <f>VLOOKUP(A2115,[1]kanji_data!$A:$N,14,FALSE)</f>
        <v>0</v>
      </c>
    </row>
    <row r="2116">
      <c r="A2116" t="str">
        <v>賣</v>
      </c>
      <c r="B2116">
        <v>15</v>
      </c>
      <c r="C2116" t="b">
        <v>0</v>
      </c>
      <c r="D2116" t="str">
        <v>バイ</v>
      </c>
      <c r="E2116" t="str">
        <v>う（る） う（れる）</v>
      </c>
      <c r="F2116">
        <v>0</v>
      </c>
      <c r="G2116" t="str">
        <v>うる。うれる。あきなう。品物をうる。 うる。だます。裏切る。 うる。広める。宣伝する。</v>
      </c>
      <c r="I2116">
        <v>10</v>
      </c>
      <c r="J2116">
        <v>50</v>
      </c>
      <c r="K2116">
        <v>50</v>
      </c>
      <c r="L2116">
        <v>1</v>
      </c>
    </row>
    <row r="2117">
      <c r="A2117" t="str">
        <v>傑</v>
      </c>
      <c r="B2117">
        <v>13</v>
      </c>
      <c r="C2117" t="b">
        <v>1</v>
      </c>
      <c r="D2117" t="str">
        <v>ケツ</v>
      </c>
      <c r="E2117" t="str">
        <v>すぐ（れる）</v>
      </c>
      <c r="F2117" t="str">
        <v>すぐる たかし たけ たけし まさ</v>
      </c>
      <c r="G2117" t="str">
        <v>すぐれる。ぬきんでる。まさる。 ひときわすぐれた人。大人物。</v>
      </c>
      <c r="H2117" t="str">
        <v>#品格 #繁栄</v>
      </c>
      <c r="I2117">
        <v>80</v>
      </c>
      <c r="J2117">
        <v>70</v>
      </c>
      <c r="K2117">
        <v>50</v>
      </c>
      <c r="L2117">
        <v>0</v>
      </c>
      <c r="M2117">
        <f>VLOOKUP(A2117,[1]kanji_data!$A:$N,14,FALSE)</f>
        <v>0</v>
      </c>
    </row>
    <row r="2118">
      <c r="A2118" t="str">
        <v>醉</v>
      </c>
      <c r="B2118">
        <v>15</v>
      </c>
      <c r="C2118" t="b">
        <v>0</v>
      </c>
      <c r="D2118" t="str">
        <v>スイ</v>
      </c>
      <c r="E2118" t="str">
        <v>よ（う）</v>
      </c>
      <c r="F2118">
        <v>0</v>
      </c>
      <c r="G2118" t="str">
        <v>よう。酒によう。 ものごとに心をうばわれる。夢中になる。 よい。酒酔い。 よう。バスや船などの乗り物で気分が悪くなる。</v>
      </c>
      <c r="I2118">
        <v>10</v>
      </c>
      <c r="J2118">
        <v>50</v>
      </c>
      <c r="K2118">
        <v>50</v>
      </c>
      <c r="L2118">
        <v>1</v>
      </c>
    </row>
    <row r="2119">
      <c r="A2119" t="str">
        <v>献</v>
      </c>
      <c r="B2119">
        <v>13</v>
      </c>
      <c r="C2119" t="b">
        <v>1</v>
      </c>
      <c r="D2119" t="str">
        <v>ケン コン</v>
      </c>
      <c r="E2119" t="str">
        <v>ささ（げる） たてまつ（る） まつ（る）</v>
      </c>
      <c r="F2119" t="str">
        <v>すすむ たけ ただす のぶ</v>
      </c>
      <c r="G2119" t="str">
        <v>ささげる。まつる。たてまつる。神仏や目上の人に物をさしあげる。 申し上げる。上奏する。 客に酒をすすめる。 賢人。賢者。物知り。</v>
      </c>
      <c r="H2119" t="str">
        <v>#知性</v>
      </c>
      <c r="I2119">
        <v>15</v>
      </c>
      <c r="J2119">
        <v>60</v>
      </c>
      <c r="K2119">
        <v>55</v>
      </c>
      <c r="L2119">
        <v>0</v>
      </c>
      <c r="M2119">
        <f>VLOOKUP(A2119,[1]kanji_data!$A:$N,14,FALSE)</f>
        <v>0</v>
      </c>
    </row>
    <row r="2120">
      <c r="A2120" t="str">
        <v>髮</v>
      </c>
      <c r="B2120">
        <v>15</v>
      </c>
      <c r="C2120" t="b">
        <v>0</v>
      </c>
      <c r="D2120" t="str">
        <v>ハツ ホツ</v>
      </c>
      <c r="E2120" t="str">
        <v>かみ</v>
      </c>
      <c r="F2120">
        <v>0</v>
      </c>
      <c r="G2120" t="str">
        <v>かみ。髪の毛。頭の毛。 ごくわずか。わずかな量のたとえ。 長さの単位。一寸の百分の一。</v>
      </c>
      <c r="I2120">
        <v>10</v>
      </c>
      <c r="J2120">
        <v>50</v>
      </c>
      <c r="K2120">
        <v>50</v>
      </c>
      <c r="L2120">
        <v>1</v>
      </c>
    </row>
    <row r="2121">
      <c r="A2121" t="str">
        <v>溝</v>
      </c>
      <c r="B2121">
        <v>13</v>
      </c>
      <c r="C2121" t="b">
        <v>1</v>
      </c>
      <c r="D2121" t="str">
        <v>コウ</v>
      </c>
      <c r="E2121" t="str">
        <v>みぞ どぶ</v>
      </c>
      <c r="F2121">
        <v>0</v>
      </c>
      <c r="G2121" t="str">
        <v>みぞ。ほり。どぶ。掘り割り。水を通す道。用水路。下水道。また、みぞを掘る。 へだてる。みぞを掘ってへだてる。 こう。数の単位。１０の３２乗。</v>
      </c>
      <c r="H2121" t="str">
        <v>#天空</v>
      </c>
      <c r="I2121">
        <v>10</v>
      </c>
      <c r="J2121">
        <v>50</v>
      </c>
      <c r="K2121">
        <v>50</v>
      </c>
      <c r="L2121">
        <v>1</v>
      </c>
    </row>
    <row r="2122">
      <c r="A2122" t="str">
        <v>嗣</v>
      </c>
      <c r="B2122">
        <v>13</v>
      </c>
      <c r="C2122" t="b">
        <v>1</v>
      </c>
      <c r="D2122" t="str">
        <v>シ</v>
      </c>
      <c r="E2122" t="str">
        <v>つ（ぐ）</v>
      </c>
      <c r="F2122" t="str">
        <v>あき さね つぎ つぐ ひで</v>
      </c>
      <c r="G2122" t="str">
        <v>つぐ。あとをつぐ。家系をつぐ。 あとつぎ。よつぎ。</v>
      </c>
      <c r="H2122" t="str">
        <v>#品格 #繁栄</v>
      </c>
      <c r="I2122">
        <v>90</v>
      </c>
      <c r="J2122">
        <v>65</v>
      </c>
      <c r="K2122">
        <v>55</v>
      </c>
      <c r="L2122">
        <v>0</v>
      </c>
      <c r="M2122">
        <f>VLOOKUP(A2122,[1]kanji_data!$A:$N,14,FALSE)</f>
        <v>0</v>
      </c>
    </row>
    <row r="2123">
      <c r="A2123" t="str">
        <v>酬</v>
      </c>
      <c r="B2123">
        <v>13</v>
      </c>
      <c r="C2123" t="b">
        <v>1</v>
      </c>
      <c r="D2123" t="str">
        <v>シュウ</v>
      </c>
      <c r="E2123" t="str">
        <v>むく（いる）</v>
      </c>
      <c r="F2123" t="str">
        <v>あつ</v>
      </c>
      <c r="G2123" t="str">
        <v>むくいる。返礼する。 返す。答える。 客人に杯を返された主人が、再び客人に杯をさしだす。</v>
      </c>
      <c r="H2123" t="str">
        <v>#品格</v>
      </c>
      <c r="I2123">
        <v>15</v>
      </c>
      <c r="J2123">
        <v>50</v>
      </c>
      <c r="K2123">
        <v>50</v>
      </c>
      <c r="L2123">
        <v>1</v>
      </c>
    </row>
    <row r="2124">
      <c r="A2124" t="str">
        <v>愁</v>
      </c>
      <c r="B2124">
        <v>13</v>
      </c>
      <c r="C2124" t="b">
        <v>1</v>
      </c>
      <c r="D2124" t="str">
        <v>シュウ</v>
      </c>
      <c r="E2124" t="str">
        <v>うれ（い） うれ（える）</v>
      </c>
      <c r="F2124">
        <v>0</v>
      </c>
      <c r="G2124" t="str">
        <v>うれえる。心配する。思いなやむ。 うれえる。なげき悲しむ。 うれい。心配。悲しみ。 さびしさ。わびしさ。</v>
      </c>
      <c r="H2124" t="str">
        <v>#心・志</v>
      </c>
      <c r="I2124">
        <v>10</v>
      </c>
      <c r="J2124">
        <v>50</v>
      </c>
      <c r="K2124">
        <v>50</v>
      </c>
      <c r="L2124">
        <v>1</v>
      </c>
    </row>
    <row r="2125">
      <c r="A2125" t="str">
        <v>奨</v>
      </c>
      <c r="B2125">
        <v>13</v>
      </c>
      <c r="C2125" t="b">
        <v>1</v>
      </c>
      <c r="D2125" t="str">
        <v>ショウ ソウ</v>
      </c>
      <c r="E2125" t="str">
        <v>すす（める）</v>
      </c>
      <c r="F2125" t="str">
        <v>すけ すすむ たすく つとむ</v>
      </c>
      <c r="G2125" t="str">
        <v>すすめる。ある事をよいと認め、それを行うようにすすめる。 はげます。ほめる。力づけてたすける。</v>
      </c>
      <c r="H2125" t="str">
        <v>#慈愛</v>
      </c>
      <c r="I2125">
        <v>95</v>
      </c>
      <c r="J2125">
        <v>65</v>
      </c>
      <c r="K2125">
        <v>45</v>
      </c>
      <c r="L2125">
        <v>0</v>
      </c>
      <c r="M2125">
        <f>VLOOKUP(A2125,[1]kanji_data!$A:$N,14,FALSE)</f>
        <v>0</v>
      </c>
    </row>
    <row r="2126">
      <c r="A2126" t="str">
        <v>層</v>
      </c>
      <c r="B2126">
        <v>15</v>
      </c>
      <c r="C2126" t="b">
        <v>0</v>
      </c>
      <c r="D2126" t="str">
        <v>ソウ</v>
      </c>
      <c r="E2126" t="str">
        <v>かさ（なる）</v>
      </c>
      <c r="F2126">
        <v>0</v>
      </c>
      <c r="G2126" t="str">
        <v>かさなる。幾重にもかさなる。 かさなり。幾重にもかさなったもの。 二階以上ある建物。かさなった建物。 階級。社会における階級。</v>
      </c>
      <c r="I2126">
        <v>10</v>
      </c>
      <c r="J2126">
        <v>50</v>
      </c>
      <c r="K2126">
        <v>50</v>
      </c>
      <c r="L2126">
        <v>1</v>
      </c>
    </row>
    <row r="2127">
      <c r="A2127" t="str">
        <v>践</v>
      </c>
      <c r="B2127">
        <v>13</v>
      </c>
      <c r="C2127" t="b">
        <v>1</v>
      </c>
      <c r="D2127" t="str">
        <v>セン</v>
      </c>
      <c r="E2127" t="str">
        <v>ふ（む）</v>
      </c>
      <c r="F2127">
        <v>0</v>
      </c>
      <c r="G2127" t="str">
        <v>ふむ。ふみ歩く。ふみつける。 ふみ行う。実行する。 位につく。のぼる。 したがう。先人のとおりに行う。 連なる。並んださま。 きる。ほろぼす。 はだし。はだしになる。</v>
      </c>
      <c r="H2127" t="str">
        <v>#繁栄</v>
      </c>
      <c r="I2127">
        <v>10</v>
      </c>
      <c r="J2127">
        <v>100</v>
      </c>
      <c r="K2127">
        <v>25</v>
      </c>
      <c r="L2127">
        <v>0</v>
      </c>
      <c r="M2127">
        <f>VLOOKUP(A2127,[1]kanji_data!$A:$N,14,FALSE)</f>
        <v>0</v>
      </c>
    </row>
    <row r="2128">
      <c r="A2128" t="str">
        <v>增</v>
      </c>
      <c r="B2128">
        <v>15</v>
      </c>
      <c r="C2128" t="b">
        <v>0</v>
      </c>
      <c r="D2128" t="str">
        <v>ゾウ ソウ</v>
      </c>
      <c r="E2128" t="str">
        <v>ふ（える） ふ（やす） ま（す）</v>
      </c>
      <c r="F2128">
        <v>0</v>
      </c>
      <c r="G2128" t="str">
        <v>ます。ふえる。ふやす。数や量を多くする。積み上げる。重ねる。 ますます。さらに。より一層。</v>
      </c>
      <c r="I2128">
        <v>10</v>
      </c>
      <c r="J2128">
        <v>50</v>
      </c>
      <c r="K2128">
        <v>50</v>
      </c>
      <c r="L2128">
        <v>1</v>
      </c>
    </row>
    <row r="2129">
      <c r="A2129" t="str">
        <v>瘦</v>
      </c>
      <c r="B2129">
        <v>15</v>
      </c>
      <c r="C2129" t="b">
        <v>0</v>
      </c>
      <c r="D2129" t="str">
        <v>ソウ シュウ</v>
      </c>
      <c r="E2129" t="str">
        <v>や（せる） こ（ける） ほそ（い）</v>
      </c>
      <c r="F2129">
        <v>0</v>
      </c>
      <c r="G2129" t="str">
        <v>やせる。やせほそる。やせこける。体がやせる。体が細くなる。 土地がやせる。 細い。体が細い。</v>
      </c>
      <c r="I2129">
        <v>10</v>
      </c>
      <c r="J2129">
        <v>50</v>
      </c>
      <c r="K2129">
        <v>50</v>
      </c>
      <c r="L2129">
        <v>1</v>
      </c>
    </row>
    <row r="2130">
      <c r="A2130" t="str">
        <v>燃</v>
      </c>
      <c r="B2130">
        <v>16</v>
      </c>
      <c r="C2130" t="b">
        <v>1</v>
      </c>
      <c r="D2130" t="str">
        <v>ネン ゼン</v>
      </c>
      <c r="E2130" t="str">
        <v>も（える） も（す） も（やす）</v>
      </c>
      <c r="F2130">
        <v>0</v>
      </c>
      <c r="G2130" t="str">
        <v>もす。もえる。もやす。</v>
      </c>
      <c r="I2130">
        <v>10</v>
      </c>
      <c r="J2130">
        <v>50</v>
      </c>
      <c r="K2130">
        <v>50</v>
      </c>
      <c r="L2130">
        <v>1</v>
      </c>
    </row>
    <row r="2131">
      <c r="A2131" t="str">
        <v>縦</v>
      </c>
      <c r="B2131">
        <v>16</v>
      </c>
      <c r="C2131" t="b">
        <v>1</v>
      </c>
      <c r="D2131" t="str">
        <v>ジュウ ショウ</v>
      </c>
      <c r="E2131" t="str">
        <v>たて はな（つ） ほしいまま ゆる（す） ゆる（める） よし（んば）</v>
      </c>
      <c r="F2131">
        <v>0</v>
      </c>
      <c r="G2131" t="str">
        <v>たて。上下。また、南北の方向。 放つ。矢を発する。火をつける。つかわす。 ほしいまま。心のまま。勝手気まま。ほしいままにする。 ゆるす。みのがす。釈放する。解き放つ。 ゆるめる。ゆるむ。ゆるい。 「たとい」「よしんば」と読み、「かりに・・・としても」の意。</v>
      </c>
      <c r="I2131">
        <v>10</v>
      </c>
      <c r="J2131">
        <v>50</v>
      </c>
      <c r="K2131">
        <v>50</v>
      </c>
      <c r="L2131">
        <v>1</v>
      </c>
    </row>
    <row r="2132">
      <c r="A2132" t="str">
        <v>督</v>
      </c>
      <c r="B2132">
        <v>13</v>
      </c>
      <c r="C2132" t="b">
        <v>1</v>
      </c>
      <c r="D2132" t="str">
        <v>トク</v>
      </c>
      <c r="E2132" t="str">
        <v>うなが（す） かしら ただ（す） ひき（いる） み（る）</v>
      </c>
      <c r="F2132">
        <v>0</v>
      </c>
      <c r="G2132" t="str">
        <v>みる。見張る。よく見る。 ただす。取り締まる。 とがめる。責める。いましめる。 うながす。すすめる。せきたてる。 かしら。おさ。長官。統率する人。 ひきいる。統率する。統べる。 長男。長子。家を継ぐ者。</v>
      </c>
      <c r="H2132" t="str">
        <v>#品格 #天空</v>
      </c>
      <c r="I2132">
        <v>30</v>
      </c>
      <c r="J2132">
        <v>90</v>
      </c>
      <c r="K2132">
        <v>45</v>
      </c>
      <c r="L2132">
        <v>0</v>
      </c>
      <c r="M2132">
        <f>VLOOKUP(A2132,[1]kanji_data!$A:$N,14,FALSE)</f>
        <v>0</v>
      </c>
    </row>
    <row r="2133">
      <c r="A2133" t="str">
        <v>漠</v>
      </c>
      <c r="B2133">
        <v>13</v>
      </c>
      <c r="C2133" t="b">
        <v>1</v>
      </c>
      <c r="D2133" t="str">
        <v>バク マク</v>
      </c>
      <c r="E2133" t="str">
        <v>すなはら ひろ（い）</v>
      </c>
      <c r="F2133">
        <v>0</v>
      </c>
      <c r="G2133" t="str">
        <v>すなはら。水や草のない砂原。荒野。砂漠。 広い。果てしなく広々としている。 しずか。さびしい。ものさびしい。ひっそりしている。 くらい。はっきりしない。ぼうっとしているさま。うつろなさま。 ばく。数の単位。１０の－１２乗。</v>
      </c>
      <c r="H2133" t="str">
        <v>#繁栄 #自然</v>
      </c>
      <c r="I2133">
        <v>10</v>
      </c>
      <c r="J2133">
        <v>50</v>
      </c>
      <c r="K2133">
        <v>50</v>
      </c>
      <c r="L2133">
        <v>1</v>
      </c>
    </row>
    <row r="2134">
      <c r="A2134" t="str">
        <v>糖</v>
      </c>
      <c r="B2134">
        <v>16</v>
      </c>
      <c r="C2134" t="b">
        <v>1</v>
      </c>
      <c r="D2134" t="str">
        <v>トウ</v>
      </c>
      <c r="E2134" t="str">
        <v>あめ</v>
      </c>
      <c r="F2134">
        <v>0</v>
      </c>
      <c r="G2134" t="str">
        <v>あめ。砂糖。甘味料。また、甘いもの。</v>
      </c>
      <c r="I2134">
        <v>10</v>
      </c>
      <c r="J2134">
        <v>50</v>
      </c>
      <c r="K2134">
        <v>50</v>
      </c>
      <c r="L2134">
        <v>1</v>
      </c>
    </row>
    <row r="2135">
      <c r="A2135" t="str">
        <v>煩</v>
      </c>
      <c r="B2135">
        <v>13</v>
      </c>
      <c r="C2135" t="b">
        <v>1</v>
      </c>
      <c r="D2135" t="str">
        <v>ハン ボン</v>
      </c>
      <c r="E2135" t="str">
        <v>わずら（う） わずら（わす） うるさ（い）</v>
      </c>
      <c r="F2135">
        <v>0</v>
      </c>
      <c r="G2135" t="str">
        <v>わずらう。思い悩む。苦しむ。もだえる。 わずらわす。面倒をかける。 うるさい。わずらわしい。面倒くさい。いそがしい。</v>
      </c>
      <c r="H2135" t="str">
        <v>#心・志</v>
      </c>
      <c r="I2135">
        <v>10</v>
      </c>
      <c r="J2135">
        <v>50</v>
      </c>
      <c r="K2135">
        <v>50</v>
      </c>
      <c r="L2135">
        <v>1</v>
      </c>
    </row>
    <row r="2136">
      <c r="A2136" t="str">
        <v>頒</v>
      </c>
      <c r="B2136">
        <v>13</v>
      </c>
      <c r="C2136" t="b">
        <v>1</v>
      </c>
      <c r="D2136" t="str">
        <v>ハン フン</v>
      </c>
      <c r="E2136" t="str">
        <v>し（く） まだら わ（ける）</v>
      </c>
      <c r="F2136">
        <v>0</v>
      </c>
      <c r="G2136" t="str">
        <v>わける。いくつかにわける。わけあたえる。 わける。しく。ひろめる。広くいきわたらせる。 まだら。いりまじる。 頭が大きいさま。</v>
      </c>
      <c r="H2136" t="str">
        <v>#慈愛</v>
      </c>
      <c r="I2136">
        <v>10</v>
      </c>
      <c r="J2136">
        <v>50</v>
      </c>
      <c r="K2136">
        <v>50</v>
      </c>
      <c r="L2136">
        <v>1</v>
      </c>
    </row>
    <row r="2137">
      <c r="A2137" t="str">
        <v>獲</v>
      </c>
      <c r="B2137">
        <v>16</v>
      </c>
      <c r="C2137" t="b">
        <v>1</v>
      </c>
      <c r="D2137" t="str">
        <v>カク</v>
      </c>
      <c r="E2137" t="str">
        <v>え（る）</v>
      </c>
      <c r="F2137">
        <v>0</v>
      </c>
      <c r="G2137" t="str">
        <v>える。鳥獣を捕らえる。手に入れる。取り入れる。 信頼される。認められる。気に入られる。 えもの。とりいれ。狩りなどで手に入れたもの。また、奪い取ったもの。 下女。貴人に仕える女性。</v>
      </c>
      <c r="I2137">
        <v>10</v>
      </c>
      <c r="J2137">
        <v>50</v>
      </c>
      <c r="K2137">
        <v>50</v>
      </c>
      <c r="L2137">
        <v>1</v>
      </c>
    </row>
    <row r="2138">
      <c r="A2138" t="str">
        <v>虜</v>
      </c>
      <c r="B2138">
        <v>13</v>
      </c>
      <c r="C2138" t="b">
        <v>1</v>
      </c>
      <c r="D2138" t="str">
        <v>リョ ロ</v>
      </c>
      <c r="E2138" t="str">
        <v>えびす しもべ とりこ</v>
      </c>
      <c r="F2138">
        <v>0</v>
      </c>
      <c r="G2138" t="str">
        <v>とりこ。生け捕りにした敵。 とりこにする。生け捕りにする。 しもべ。召使い。奴隷。 えびす。蛮族。敵をののしっていう言葉。</v>
      </c>
      <c r="H2138" t="str">
        <v>#自然</v>
      </c>
      <c r="I2138">
        <v>10</v>
      </c>
      <c r="J2138">
        <v>50</v>
      </c>
      <c r="K2138">
        <v>50</v>
      </c>
      <c r="L2138">
        <v>1</v>
      </c>
    </row>
    <row r="2139">
      <c r="A2139" t="str">
        <v>鈴</v>
      </c>
      <c r="B2139">
        <v>13</v>
      </c>
      <c r="C2139" t="b">
        <v>1</v>
      </c>
      <c r="D2139" t="str">
        <v>リン レイ</v>
      </c>
      <c r="E2139" t="str">
        <v>すず</v>
      </c>
      <c r="F2139">
        <v>0</v>
      </c>
      <c r="G2139" t="str">
        <v>すず。振り動かして鳴らすもの。</v>
      </c>
      <c r="H2139" t="str">
        <v>#幸福 #調和</v>
      </c>
      <c r="I2139">
        <v>70</v>
      </c>
      <c r="J2139">
        <v>55</v>
      </c>
      <c r="K2139">
        <v>55</v>
      </c>
      <c r="L2139">
        <v>0</v>
      </c>
      <c r="M2139">
        <f>VLOOKUP(A2139,[1]kanji_data!$A:$N,14,FALSE)</f>
        <v>0</v>
      </c>
    </row>
    <row r="2140">
      <c r="A2140" t="str">
        <v>薪</v>
      </c>
      <c r="B2140">
        <v>16</v>
      </c>
      <c r="C2140" t="b">
        <v>1</v>
      </c>
      <c r="D2140" t="str">
        <v>シン</v>
      </c>
      <c r="E2140" t="str">
        <v>たきぎ まき</v>
      </c>
      <c r="F2140" t="str">
        <v>し たき</v>
      </c>
      <c r="G2140" t="str">
        <v>たきぎ。まき。燃料にするための木。</v>
      </c>
      <c r="I2140">
        <v>15</v>
      </c>
      <c r="J2140">
        <v>50</v>
      </c>
      <c r="K2140">
        <v>50</v>
      </c>
      <c r="L2140">
        <v>1</v>
      </c>
    </row>
    <row r="2141">
      <c r="A2141" t="str">
        <v>彙</v>
      </c>
      <c r="B2141">
        <v>13</v>
      </c>
      <c r="C2141" t="b">
        <v>1</v>
      </c>
      <c r="D2141" t="str">
        <v>イ</v>
      </c>
      <c r="E2141" t="str">
        <v>あつ（める） たぐい はりねずみ</v>
      </c>
      <c r="F2141">
        <v>0</v>
      </c>
      <c r="G2141" t="str">
        <v>はりねずみ。動物の一種。＝蝟 あつめる。一つの所にあつめる。また、一つの所にあつまる。 たぐい。仲間。同類。</v>
      </c>
      <c r="H2141" t="str">
        <v>#調和</v>
      </c>
      <c r="I2141">
        <v>10</v>
      </c>
      <c r="J2141">
        <v>50</v>
      </c>
      <c r="K2141">
        <v>50</v>
      </c>
      <c r="L2141">
        <v>1</v>
      </c>
    </row>
    <row r="2142">
      <c r="A2142" t="str">
        <v>楷</v>
      </c>
      <c r="B2142">
        <v>13</v>
      </c>
      <c r="C2142" t="b">
        <v>1</v>
      </c>
      <c r="D2142" t="str">
        <v>カイ</v>
      </c>
      <c r="E2142" t="str">
        <v>のっと（る） のり</v>
      </c>
      <c r="F2142">
        <v>0</v>
      </c>
      <c r="G2142" t="str">
        <v>かいのき。ウルシ科の落葉高木。 のり。手本。やり方。 漢字の書体の一つ。</v>
      </c>
      <c r="H2142" t="str">
        <v>#自然</v>
      </c>
      <c r="I2142">
        <v>10</v>
      </c>
      <c r="J2142">
        <v>55</v>
      </c>
      <c r="K2142">
        <v>75</v>
      </c>
      <c r="L2142">
        <v>0</v>
      </c>
      <c r="M2142">
        <f>VLOOKUP(A2142,[1]kanji_data!$A:$N,14,FALSE)</f>
        <v>0</v>
      </c>
    </row>
    <row r="2143">
      <c r="A2143" t="str">
        <v>蓋</v>
      </c>
      <c r="B2143">
        <v>13</v>
      </c>
      <c r="C2143" t="b">
        <v>1</v>
      </c>
      <c r="D2143" t="str">
        <v>ガイ コウ</v>
      </c>
      <c r="E2143" t="str">
        <v>ふた おお（い） おお（う） かさ けだ（し）</v>
      </c>
      <c r="F2143">
        <v>0</v>
      </c>
      <c r="G2143" t="str">
        <v>おおう。おおいかくす。かぶせる。 ふた。おおい。かさ。とま。 地をおおう天。空。 「けだし」と読み、「思うに」「多分」など推定の意を表す。 とま。むしろ。かややがまなどを編んでつくったおおい。 「なんぞ・・・ざる」と読み、「どうして・・・しないのか」の意。</v>
      </c>
      <c r="H2143" t="str">
        <v>#天空</v>
      </c>
      <c r="I2143">
        <v>10</v>
      </c>
      <c r="J2143">
        <v>50</v>
      </c>
      <c r="K2143">
        <v>50</v>
      </c>
      <c r="L2143">
        <v>1</v>
      </c>
    </row>
    <row r="2144">
      <c r="A2144" t="str">
        <v>濁</v>
      </c>
      <c r="B2144">
        <v>16</v>
      </c>
      <c r="C2144" t="b">
        <v>1</v>
      </c>
      <c r="D2144" t="str">
        <v>ダク ジョク</v>
      </c>
      <c r="E2144" t="str">
        <v>にご（す） にご（る）</v>
      </c>
      <c r="F2144">
        <v>0</v>
      </c>
      <c r="G2144" t="str">
        <v>にごす。にごる。汚くなる。 けがす。けがれる。よごれる。乱れる。 にごり。濁音・濁点のこと。</v>
      </c>
      <c r="I2144">
        <v>10</v>
      </c>
      <c r="J2144">
        <v>50</v>
      </c>
      <c r="K2144">
        <v>50</v>
      </c>
      <c r="L2144">
        <v>1</v>
      </c>
    </row>
    <row r="2145">
      <c r="A2145" t="str">
        <v>濃</v>
      </c>
      <c r="B2145">
        <v>16</v>
      </c>
      <c r="C2145" t="b">
        <v>1</v>
      </c>
      <c r="D2145" t="str">
        <v>ノウ ジョウ</v>
      </c>
      <c r="E2145" t="str">
        <v>こ（い） こま（やか）</v>
      </c>
      <c r="F2145" t="str">
        <v>あつ あつし</v>
      </c>
      <c r="G2145" t="str">
        <v>こい。こまやか。色や味がこい。密度が大きい。 「美濃の国」の略。</v>
      </c>
      <c r="I2145">
        <v>15</v>
      </c>
      <c r="J2145">
        <v>50</v>
      </c>
      <c r="K2145">
        <v>50</v>
      </c>
      <c r="L2145">
        <v>1</v>
      </c>
    </row>
    <row r="2146">
      <c r="A2146" t="str">
        <v>壁</v>
      </c>
      <c r="B2146">
        <v>16</v>
      </c>
      <c r="C2146" t="b">
        <v>1</v>
      </c>
      <c r="D2146" t="str">
        <v>ヘキ</v>
      </c>
      <c r="E2146" t="str">
        <v>かべ がけ</v>
      </c>
      <c r="F2146">
        <v>0</v>
      </c>
      <c r="G2146" t="str">
        <v>かべ。家の周りを囲うもの。また、家の中の部屋と部屋を仕切るもの。 とりで。敵の侵入を防ぐためかべ。 とりでをつくる。とりでの中に立てこもる。 がけ。かべのように鋭い傾斜のがけ。 二十八宿の一つ。なまめぼし。</v>
      </c>
      <c r="I2146">
        <v>10</v>
      </c>
      <c r="J2146">
        <v>50</v>
      </c>
      <c r="K2146">
        <v>50</v>
      </c>
      <c r="L2146">
        <v>1</v>
      </c>
    </row>
    <row r="2147">
      <c r="A2147" t="str">
        <v>窟</v>
      </c>
      <c r="B2147">
        <v>13</v>
      </c>
      <c r="C2147" t="b">
        <v>1</v>
      </c>
      <c r="D2147" t="str">
        <v>クツ</v>
      </c>
      <c r="E2147" t="str">
        <v>いわや ほらあな</v>
      </c>
      <c r="F2147">
        <v>0</v>
      </c>
      <c r="G2147" t="str">
        <v>いわや。あな。ほらあな。あなぐら。 穴をほる。 すみか。人や動物が、仲間同士で集まるところ。</v>
      </c>
      <c r="H2147" t="str">
        <v>#調和</v>
      </c>
      <c r="I2147">
        <v>10</v>
      </c>
      <c r="J2147">
        <v>50</v>
      </c>
      <c r="K2147">
        <v>50</v>
      </c>
      <c r="L2147">
        <v>1</v>
      </c>
    </row>
    <row r="2148">
      <c r="A2148" t="str">
        <v>詣</v>
      </c>
      <c r="B2148">
        <v>13</v>
      </c>
      <c r="C2148" t="b">
        <v>1</v>
      </c>
      <c r="D2148" t="str">
        <v>ケイ</v>
      </c>
      <c r="E2148" t="str">
        <v>もう（でる） いた（る） まい（る）</v>
      </c>
      <c r="F2148" t="str">
        <v>ゆき</v>
      </c>
      <c r="G2148" t="str">
        <v>いたる。おとずれる。ゆく。到着する。 学問などが深い境地にいきつく。 もうでる。まいる。神社などにおまいりする。</v>
      </c>
      <c r="H2148" t="str">
        <v>#知性</v>
      </c>
      <c r="I2148">
        <v>90</v>
      </c>
      <c r="J2148">
        <v>60</v>
      </c>
      <c r="K2148">
        <v>55</v>
      </c>
      <c r="L2148">
        <v>0</v>
      </c>
      <c r="M2148">
        <f>VLOOKUP(A2148,[1]kanji_data!$A:$N,14,FALSE)</f>
        <v>0</v>
      </c>
    </row>
    <row r="2149">
      <c r="A2149" t="str">
        <v>隙</v>
      </c>
      <c r="B2149">
        <v>13</v>
      </c>
      <c r="C2149" t="b">
        <v>1</v>
      </c>
      <c r="D2149" t="str">
        <v>ゲキ ケキ</v>
      </c>
      <c r="E2149" t="str">
        <v>すき ひま</v>
      </c>
      <c r="F2149">
        <v>0</v>
      </c>
      <c r="G2149" t="str">
        <v>すき。すきま。 ひま。用事のない時間。空いた時間。 仲たがい。もめ事。いざこざ。</v>
      </c>
      <c r="H2149" t="str">
        <v>#天空</v>
      </c>
      <c r="I2149">
        <v>10</v>
      </c>
      <c r="J2149">
        <v>50</v>
      </c>
      <c r="K2149">
        <v>50</v>
      </c>
      <c r="L2149">
        <v>1</v>
      </c>
    </row>
    <row r="2150">
      <c r="A2150" t="str">
        <v>傲</v>
      </c>
      <c r="B2150">
        <v>13</v>
      </c>
      <c r="C2150" t="b">
        <v>1</v>
      </c>
      <c r="D2150" t="str">
        <v>ゴウ</v>
      </c>
      <c r="E2150" t="str">
        <v>あそ（ぶ） あなど（る） おご（る）</v>
      </c>
      <c r="F2150">
        <v>0</v>
      </c>
      <c r="G2150" t="str">
        <v>あそぶ。楽しむ。 あなどる。軽くみる。見下す。 おごる。ほこる。おごりたかぶる。</v>
      </c>
      <c r="H2150" t="str">
        <v>#幸福</v>
      </c>
      <c r="I2150">
        <v>10</v>
      </c>
      <c r="J2150">
        <v>50</v>
      </c>
      <c r="K2150">
        <v>50</v>
      </c>
      <c r="L2150">
        <v>1</v>
      </c>
    </row>
    <row r="2151">
      <c r="A2151" t="str">
        <v>塞</v>
      </c>
      <c r="B2151">
        <v>13</v>
      </c>
      <c r="C2151" t="b">
        <v>1</v>
      </c>
      <c r="D2151" t="str">
        <v>ソク サイ</v>
      </c>
      <c r="E2151" t="str">
        <v>ふさ（がる） ふさ（ぐ） せ（く） とりで み（ちる）</v>
      </c>
      <c r="F2151">
        <v>0</v>
      </c>
      <c r="G2151" t="str">
        <v>ふさぐ。せく。とざす。さえぎる。 ふさがる。とじる。 ふさがる。みちる。あいている部分や足りない部分がみちる。 とりで。外敵を防ぐ小規模な城。 国の境目。国境地帯。</v>
      </c>
      <c r="H2151" t="str">
        <v>#繁栄</v>
      </c>
      <c r="I2151">
        <v>10</v>
      </c>
      <c r="J2151">
        <v>50</v>
      </c>
      <c r="K2151">
        <v>50</v>
      </c>
      <c r="L2151">
        <v>1</v>
      </c>
    </row>
    <row r="2152">
      <c r="A2152" t="str">
        <v>謡</v>
      </c>
      <c r="B2152">
        <v>16</v>
      </c>
      <c r="C2152" t="b">
        <v>1</v>
      </c>
      <c r="D2152" t="str">
        <v>ヨウ</v>
      </c>
      <c r="E2152" t="str">
        <v>うたい うた（う）</v>
      </c>
      <c r="F2152">
        <v>0</v>
      </c>
      <c r="G2152" t="str">
        <v>うたう。楽器なしでうたう。 ひなうた。はやりうた。 うわさ。流言。風説。 そしる。悪口をいう。 うたい。謡曲。</v>
      </c>
      <c r="I2152">
        <v>10</v>
      </c>
      <c r="J2152">
        <v>55</v>
      </c>
      <c r="K2152">
        <v>55</v>
      </c>
      <c r="L2152">
        <v>0</v>
      </c>
      <c r="M2152">
        <f>VLOOKUP(A2152,[1]kanji_data!$A:$N,14,FALSE)</f>
        <v>0</v>
      </c>
    </row>
    <row r="2153">
      <c r="A2153" t="str">
        <v>隣</v>
      </c>
      <c r="B2153">
        <v>16</v>
      </c>
      <c r="C2153" t="b">
        <v>1</v>
      </c>
      <c r="D2153" t="str">
        <v>リン</v>
      </c>
      <c r="E2153" t="str">
        <v>となり とな（る）</v>
      </c>
      <c r="F2153" t="str">
        <v>さと ただ ちか ちかし なが</v>
      </c>
      <c r="G2153" t="str">
        <v>となり。接している。最も近い。 となる。となりあう。接する。近づく。 周代の行政区画。五戸の集まり。</v>
      </c>
      <c r="I2153">
        <v>15</v>
      </c>
      <c r="J2153">
        <v>50</v>
      </c>
      <c r="K2153">
        <v>50</v>
      </c>
      <c r="L2153">
        <v>1</v>
      </c>
    </row>
    <row r="2154">
      <c r="A2154" t="str">
        <v>隷</v>
      </c>
      <c r="B2154">
        <v>16</v>
      </c>
      <c r="C2154" t="b">
        <v>1</v>
      </c>
      <c r="D2154" t="str">
        <v>レイ</v>
      </c>
      <c r="E2154" t="str">
        <v>したが（う） しもべ</v>
      </c>
      <c r="F2154">
        <v>0</v>
      </c>
      <c r="G2154" t="str">
        <v>したがう。つく。つきしたがう。 しもべ。召し使い。また、下級の役人。 書体の一つ。隷書。</v>
      </c>
      <c r="I2154">
        <v>10</v>
      </c>
      <c r="J2154">
        <v>50</v>
      </c>
      <c r="K2154">
        <v>50</v>
      </c>
      <c r="L2154">
        <v>1</v>
      </c>
    </row>
    <row r="2155">
      <c r="A2155" t="str">
        <v>墾</v>
      </c>
      <c r="B2155">
        <v>16</v>
      </c>
      <c r="C2155" t="b">
        <v>1</v>
      </c>
      <c r="D2155" t="str">
        <v>コン</v>
      </c>
      <c r="E2155" t="str">
        <v>ひら（く）</v>
      </c>
      <c r="F2155">
        <v>0</v>
      </c>
      <c r="G2155" t="str">
        <v>ひらく。たがやす。荒地を切り開く。</v>
      </c>
      <c r="I2155">
        <v>10</v>
      </c>
      <c r="J2155">
        <v>50</v>
      </c>
      <c r="K2155">
        <v>50</v>
      </c>
      <c r="L2155">
        <v>1</v>
      </c>
    </row>
    <row r="2156">
      <c r="A2156" t="str">
        <v>諮</v>
      </c>
      <c r="B2156">
        <v>16</v>
      </c>
      <c r="C2156" t="b">
        <v>1</v>
      </c>
      <c r="D2156" t="str">
        <v>シ</v>
      </c>
      <c r="E2156" t="str">
        <v>はか（る） と（う）</v>
      </c>
      <c r="F2156">
        <v>0</v>
      </c>
      <c r="G2156" t="str">
        <v>はかる。問う。相談する。</v>
      </c>
      <c r="I2156">
        <v>10</v>
      </c>
      <c r="J2156">
        <v>50</v>
      </c>
      <c r="K2156">
        <v>50</v>
      </c>
      <c r="L2156">
        <v>1</v>
      </c>
    </row>
    <row r="2157">
      <c r="A2157" t="str">
        <v>羨</v>
      </c>
      <c r="B2157">
        <v>13</v>
      </c>
      <c r="C2157" t="b">
        <v>1</v>
      </c>
      <c r="D2157" t="str">
        <v>セン エン ゼン</v>
      </c>
      <c r="E2157" t="str">
        <v>うらや（ましい） うらや（む） あま（る） はかみち</v>
      </c>
      <c r="F2157">
        <v>0</v>
      </c>
      <c r="G2157" t="str">
        <v>うらやむ。うらやましがる。ほしがる。したう。あこがれる。 余り。残り。余る。あふれる。 はかみち。</v>
      </c>
      <c r="H2157" t="str">
        <v>#慈愛</v>
      </c>
      <c r="I2157">
        <v>10</v>
      </c>
      <c r="J2157">
        <v>50</v>
      </c>
      <c r="K2157">
        <v>50</v>
      </c>
      <c r="L2157">
        <v>1</v>
      </c>
    </row>
    <row r="2158">
      <c r="A2158" t="str">
        <v>錠</v>
      </c>
      <c r="B2158">
        <v>16</v>
      </c>
      <c r="C2158" t="b">
        <v>1</v>
      </c>
      <c r="D2158" t="str">
        <v>ジョウ テイ</v>
      </c>
      <c r="E2158">
        <v>0</v>
      </c>
      <c r="F2158">
        <v>0</v>
      </c>
      <c r="G2158" t="str">
        <v>たかつき。食物を盛って供えるための脚のついた祭器。 金や銀などの金属を一定の形に固めたもの。昔、通貨として用いられた。 薬を一定の形に固めたもの。 じょう。戸締りに用いる金具。 小粒の薬。また、それを数えることば。</v>
      </c>
      <c r="I2158">
        <v>10</v>
      </c>
      <c r="J2158">
        <v>50</v>
      </c>
      <c r="K2158">
        <v>50</v>
      </c>
      <c r="L2158">
        <v>1</v>
      </c>
    </row>
    <row r="2159">
      <c r="A2159" t="str">
        <v>詮</v>
      </c>
      <c r="B2159">
        <v>13</v>
      </c>
      <c r="C2159" t="b">
        <v>1</v>
      </c>
      <c r="D2159" t="str">
        <v>セン</v>
      </c>
      <c r="E2159" t="str">
        <v>あきらか えら（ぶ） しら（べる） そな（わる）</v>
      </c>
      <c r="F2159">
        <v>0</v>
      </c>
      <c r="G2159" t="str">
        <v>ものの道理をときあかす。明らかにする。 選ぶ。選抜する。はかる。 そなわる。そなえる。ととのう。 のり。道。 せん。しるし。かい。 つまり。結局。つまるところ。 方法。手段。</v>
      </c>
      <c r="H2159" t="str">
        <v>#知性</v>
      </c>
      <c r="I2159">
        <v>10</v>
      </c>
      <c r="J2159">
        <v>50</v>
      </c>
      <c r="K2159">
        <v>50</v>
      </c>
      <c r="L2159">
        <v>1</v>
      </c>
    </row>
    <row r="2160">
      <c r="A2160" t="str">
        <v>嬢</v>
      </c>
      <c r="B2160">
        <v>16</v>
      </c>
      <c r="C2160" t="b">
        <v>1</v>
      </c>
      <c r="D2160" t="str">
        <v>ジョウ</v>
      </c>
      <c r="E2160" t="str">
        <v>むすめ</v>
      </c>
      <c r="F2160">
        <v>0</v>
      </c>
      <c r="G2160" t="str">
        <v>むすめ。若い女性。 はは。母親。例：爺嬢 じょう。未婚の若い女性の名に添える敬称。</v>
      </c>
      <c r="I2160">
        <v>10</v>
      </c>
      <c r="J2160">
        <v>50</v>
      </c>
      <c r="K2160">
        <v>50</v>
      </c>
      <c r="L2160">
        <v>1</v>
      </c>
    </row>
    <row r="2161">
      <c r="A2161" t="str">
        <v>縛</v>
      </c>
      <c r="B2161">
        <v>16</v>
      </c>
      <c r="C2161" t="b">
        <v>1</v>
      </c>
      <c r="D2161" t="str">
        <v>バク ハク</v>
      </c>
      <c r="E2161" t="str">
        <v>しば（る） いまし（める）</v>
      </c>
      <c r="F2161">
        <v>0</v>
      </c>
      <c r="G2161" t="str">
        <v>しばる。くくる。束ねる。つなぐ。動けないようにする。いましめる。</v>
      </c>
      <c r="I2161">
        <v>10</v>
      </c>
      <c r="J2161">
        <v>50</v>
      </c>
      <c r="K2161">
        <v>50</v>
      </c>
      <c r="L2161">
        <v>1</v>
      </c>
    </row>
    <row r="2162">
      <c r="A2162" t="str">
        <v>膨</v>
      </c>
      <c r="B2162">
        <v>16</v>
      </c>
      <c r="C2162" t="b">
        <v>1</v>
      </c>
      <c r="D2162" t="str">
        <v>ボウ ホウ</v>
      </c>
      <c r="E2162" t="str">
        <v>ふく（らむ） ふく（れる） ふく（よか）</v>
      </c>
      <c r="F2162">
        <v>0</v>
      </c>
      <c r="G2162" t="str">
        <v>ふくらむ。ふくれる。はれる。大きくなる。</v>
      </c>
      <c r="I2162">
        <v>10</v>
      </c>
      <c r="J2162">
        <v>50</v>
      </c>
      <c r="K2162">
        <v>50</v>
      </c>
      <c r="L2162">
        <v>1</v>
      </c>
    </row>
    <row r="2163">
      <c r="A2163" t="str">
        <v>睦</v>
      </c>
      <c r="B2163">
        <v>13</v>
      </c>
      <c r="C2163" t="b">
        <v>1</v>
      </c>
      <c r="D2163" t="str">
        <v>ボク モク</v>
      </c>
      <c r="E2163" t="str">
        <v>むつ（ぶ） むつ（まじい） むつ（む）</v>
      </c>
      <c r="F2163" t="str">
        <v>あつし ちか ちかし とも のぶ まこと むつ むつみ よし りく</v>
      </c>
      <c r="G2163" t="str">
        <v>むつまじい。親しい。仲が良い。 むつぶ。むつむ。仲良くする。</v>
      </c>
      <c r="H2163" t="str">
        <v>#調和</v>
      </c>
      <c r="I2163">
        <v>100</v>
      </c>
      <c r="J2163">
        <v>40</v>
      </c>
      <c r="K2163">
        <v>80</v>
      </c>
      <c r="L2163">
        <v>0</v>
      </c>
      <c r="M2163">
        <f>VLOOKUP(A2163,[1]kanji_data!$A:$N,14,FALSE)</f>
        <v>0</v>
      </c>
    </row>
    <row r="2164">
      <c r="A2164" t="str">
        <v>薦</v>
      </c>
      <c r="B2164">
        <v>16</v>
      </c>
      <c r="C2164" t="b">
        <v>1</v>
      </c>
      <c r="D2164" t="str">
        <v>セン</v>
      </c>
      <c r="E2164" t="str">
        <v>すす（める） こも しき（りに） し（く）</v>
      </c>
      <c r="F2164">
        <v>0</v>
      </c>
      <c r="G2164" t="str">
        <v>すすめる。えらびあげる。たてまつる。おしあげる。 こも。むしろ。しとね。敷き物。 しきりに。たびたび。しばしば。何度も。 敷く。敷き物にする。</v>
      </c>
      <c r="I2164">
        <v>10</v>
      </c>
      <c r="J2164">
        <v>50</v>
      </c>
      <c r="K2164">
        <v>50</v>
      </c>
      <c r="L2164">
        <v>1</v>
      </c>
    </row>
    <row r="2165">
      <c r="A2165" t="str">
        <v>醒</v>
      </c>
      <c r="B2165">
        <v>16</v>
      </c>
      <c r="C2165" t="b">
        <v>1</v>
      </c>
      <c r="D2165" t="str">
        <v>セイ</v>
      </c>
      <c r="E2165" t="str">
        <v>さ（ます） さ（める）</v>
      </c>
      <c r="F2165" t="str">
        <v>さむる さめ せ</v>
      </c>
      <c r="G2165" t="str">
        <v>さめる。さます。酔いがさめる。 目がさめる。 心の迷いがきえる。</v>
      </c>
      <c r="I2165">
        <v>15</v>
      </c>
      <c r="J2165">
        <v>55</v>
      </c>
      <c r="K2165">
        <v>60</v>
      </c>
      <c r="L2165">
        <v>0</v>
      </c>
      <c r="M2165">
        <f>VLOOKUP(A2165,[1]kanji_data!$A:$N,14,FALSE)</f>
        <v>0</v>
      </c>
    </row>
    <row r="2166">
      <c r="A2166" t="str">
        <v>葦</v>
      </c>
      <c r="B2166">
        <v>13</v>
      </c>
      <c r="C2166" t="b">
        <v>0</v>
      </c>
      <c r="D2166" t="str">
        <v>イ</v>
      </c>
      <c r="E2166" t="str">
        <v>あし よし</v>
      </c>
      <c r="F2166">
        <v>0</v>
      </c>
      <c r="G2166" t="str">
        <v>あし。よし。イネ科の多年草。水辺に生える。 小さいふねのたとえ。</v>
      </c>
      <c r="H2166" t="str">
        <v>#海・水</v>
      </c>
      <c r="I2166">
        <v>10</v>
      </c>
      <c r="J2166">
        <v>50</v>
      </c>
      <c r="K2166">
        <v>50</v>
      </c>
      <c r="L2166">
        <v>0</v>
      </c>
      <c r="M2166">
        <f>VLOOKUP(A2166,[1]kanji_data!$A:$N,14,FALSE)</f>
        <v>0</v>
      </c>
    </row>
    <row r="2167">
      <c r="A2167" t="str">
        <v>溢</v>
      </c>
      <c r="B2167">
        <v>13</v>
      </c>
      <c r="C2167" t="b">
        <v>0</v>
      </c>
      <c r="D2167" t="str">
        <v>イツ</v>
      </c>
      <c r="E2167" t="str">
        <v>あふ（れる） おご（る） こぼ（れる） す（ぎる） み（ちる）</v>
      </c>
      <c r="F2167">
        <v>0</v>
      </c>
      <c r="G2167" t="str">
        <v>あふれる。みちあふれる。水が一杯になってこぼれる。 すぎる。ゆきすぎる。度を越す。程度がすぎる。 おごる。 量・重さの単位。</v>
      </c>
      <c r="H2167" t="str">
        <v>#繁栄</v>
      </c>
      <c r="I2167">
        <v>10</v>
      </c>
      <c r="J2167">
        <v>100</v>
      </c>
      <c r="K2167">
        <v>30</v>
      </c>
      <c r="L2167">
        <v>0</v>
      </c>
      <c r="M2167">
        <f>VLOOKUP(A2167,[1]kanji_data!$A:$N,14,FALSE)</f>
        <v>0</v>
      </c>
    </row>
    <row r="2168">
      <c r="A2168" t="str">
        <v>膳</v>
      </c>
      <c r="B2168">
        <v>16</v>
      </c>
      <c r="C2168" t="b">
        <v>1</v>
      </c>
      <c r="D2168" t="str">
        <v>ゼン セン</v>
      </c>
      <c r="E2168" t="str">
        <v>かしわ そな（える）</v>
      </c>
      <c r="F2168">
        <v>0</v>
      </c>
      <c r="G2168" t="str">
        <v>供え物。料理。ごちそう。 供える。食べ物をすすめる。 食う。食べる。 ぜん。食器や食べ物を乗せる台。 ご飯。食事。ご飯を数える助数詞。 一対の箸を数える助数詞。</v>
      </c>
      <c r="I2168">
        <v>10</v>
      </c>
      <c r="J2168">
        <v>50</v>
      </c>
      <c r="K2168">
        <v>50</v>
      </c>
      <c r="L2168">
        <v>1</v>
      </c>
    </row>
    <row r="2169">
      <c r="A2169" t="str">
        <v>賭</v>
      </c>
      <c r="B2169">
        <v>16</v>
      </c>
      <c r="C2169" t="b">
        <v>1</v>
      </c>
      <c r="D2169" t="str">
        <v>ト</v>
      </c>
      <c r="E2169" t="str">
        <v>か（ける） かけ</v>
      </c>
      <c r="F2169">
        <v>0</v>
      </c>
      <c r="G2169" t="str">
        <v>かけ。かけごと。ばくち。</v>
      </c>
      <c r="I2169">
        <v>10</v>
      </c>
      <c r="J2169">
        <v>50</v>
      </c>
      <c r="K2169">
        <v>50</v>
      </c>
      <c r="L2169">
        <v>1</v>
      </c>
    </row>
    <row r="2170">
      <c r="A2170" t="str">
        <v>麺</v>
      </c>
      <c r="B2170">
        <v>16</v>
      </c>
      <c r="C2170" t="b">
        <v>1</v>
      </c>
      <c r="D2170" t="str">
        <v>メン ベン</v>
      </c>
      <c r="E2170" t="str">
        <v>むぎこ</v>
      </c>
      <c r="F2170">
        <v>0</v>
      </c>
      <c r="G2170" t="str">
        <v>むぎこ。小麦の粉。小麦粉。 うどん・そばなどの類。小麦粉で作られた食品。</v>
      </c>
      <c r="I2170">
        <v>10</v>
      </c>
      <c r="J2170">
        <v>50</v>
      </c>
      <c r="K2170">
        <v>50</v>
      </c>
      <c r="L2170">
        <v>1</v>
      </c>
    </row>
    <row r="2171">
      <c r="A2171" t="str">
        <v>謂</v>
      </c>
      <c r="B2171">
        <v>16</v>
      </c>
      <c r="C2171" t="b">
        <v>0</v>
      </c>
      <c r="D2171" t="str">
        <v>イ</v>
      </c>
      <c r="E2171" t="str">
        <v>いい い（う） いわ（れ）</v>
      </c>
      <c r="F2171">
        <v>0</v>
      </c>
      <c r="G2171" t="str">
        <v>言う。語る。述べる。告げる。 いい。いわれ。理由。呼び名。 いわゆる。いうところの。 思う。考える。 「謂何（いかん）」は、疑問・反語を示す助字。</v>
      </c>
      <c r="I2171">
        <v>10</v>
      </c>
      <c r="J2171">
        <v>50</v>
      </c>
      <c r="K2171">
        <v>50</v>
      </c>
      <c r="L2171">
        <v>1</v>
      </c>
    </row>
    <row r="2172">
      <c r="A2172" t="str">
        <v>馴</v>
      </c>
      <c r="B2172">
        <v>13</v>
      </c>
      <c r="C2172" t="b">
        <v>0</v>
      </c>
      <c r="D2172" t="str">
        <v>クン シュン ジュン</v>
      </c>
      <c r="E2172" t="str">
        <v>おし（え） な（らす） な（れる） よ（い）</v>
      </c>
      <c r="F2172" t="str">
        <v>すなお よし</v>
      </c>
      <c r="G2172" t="str">
        <v>なれる。ならす。なれ従う。いうことをきく。 おとなしい。すなお。 よい。ただしい。 おしえ。おしえる。みちびく。</v>
      </c>
      <c r="H2172" t="str">
        <v>#品格</v>
      </c>
      <c r="I2172">
        <v>15</v>
      </c>
      <c r="J2172">
        <v>50</v>
      </c>
      <c r="K2172">
        <v>50</v>
      </c>
      <c r="L2172">
        <v>1</v>
      </c>
    </row>
    <row r="2173">
      <c r="A2173" t="str">
        <v>瑚</v>
      </c>
      <c r="B2173">
        <v>13</v>
      </c>
      <c r="C2173" t="b">
        <v>0</v>
      </c>
      <c r="D2173" t="str">
        <v>コ ゴ</v>
      </c>
      <c r="E2173">
        <v>0</v>
      </c>
      <c r="F2173">
        <v>0</v>
      </c>
      <c r="G2173" t="str">
        <v>祭器の名。 「珊瑚（さんご）」は、刺胞動物門に属する動物のうち、固い骨格を発達させる種類の総称。</v>
      </c>
      <c r="H2173" t="str">
        <v>#海・水 #花・彩</v>
      </c>
      <c r="I2173">
        <v>80</v>
      </c>
      <c r="J2173">
        <v>30</v>
      </c>
      <c r="K2173">
        <v>90</v>
      </c>
      <c r="L2173">
        <v>0</v>
      </c>
      <c r="M2173">
        <f>VLOOKUP(A2173,[1]kanji_data!$A:$N,14,FALSE)</f>
        <v>0</v>
      </c>
    </row>
    <row r="2174">
      <c r="A2174" t="str">
        <v>窺</v>
      </c>
      <c r="B2174">
        <v>16</v>
      </c>
      <c r="C2174" t="b">
        <v>0</v>
      </c>
      <c r="D2174" t="str">
        <v>キ</v>
      </c>
      <c r="E2174" t="str">
        <v>うかが（う） のぞ（く）</v>
      </c>
      <c r="F2174">
        <v>0</v>
      </c>
      <c r="G2174" t="str">
        <v>うかがう。のぞく。うかがいみる。ねらう。 片足を踏み出す。半歩踏み出す。</v>
      </c>
      <c r="I2174">
        <v>10</v>
      </c>
      <c r="J2174">
        <v>50</v>
      </c>
      <c r="K2174">
        <v>50</v>
      </c>
      <c r="L2174">
        <v>1</v>
      </c>
    </row>
    <row r="2175">
      <c r="A2175" t="str">
        <v>幌</v>
      </c>
      <c r="B2175">
        <v>13</v>
      </c>
      <c r="C2175" t="b">
        <v>0</v>
      </c>
      <c r="D2175" t="str">
        <v>コウ</v>
      </c>
      <c r="E2175" t="str">
        <v>ほろ</v>
      </c>
      <c r="F2175" t="str">
        <v>あき あきら</v>
      </c>
      <c r="G2175" t="str">
        <v>とばり。たれぬの。カーテン。 酒屋の看板にするのぼり。 ほろ。人力車や馬車につけ日光や雨などから防ぐためもの。 ほろ。矢を防ぐために鎧の背につける広い布。</v>
      </c>
      <c r="H2175" t="str">
        <v>#海・水 #繁栄</v>
      </c>
      <c r="I2175">
        <v>15</v>
      </c>
      <c r="J2175">
        <v>50</v>
      </c>
      <c r="K2175">
        <v>50</v>
      </c>
      <c r="L2175">
        <v>1</v>
      </c>
    </row>
    <row r="2176">
      <c r="A2176" t="str">
        <v>鋸</v>
      </c>
      <c r="B2176">
        <v>16</v>
      </c>
      <c r="C2176" t="b">
        <v>0</v>
      </c>
      <c r="D2176" t="str">
        <v>キョ</v>
      </c>
      <c r="E2176" t="str">
        <v>のこ のこぎり</v>
      </c>
      <c r="F2176">
        <v>0</v>
      </c>
      <c r="G2176" t="str">
        <v>のこぎり。のこ。木材を切る道具。 のこぎり。昔の刑罰に用いた道具。 ひく。のこぎりで切る。</v>
      </c>
      <c r="I2176">
        <v>10</v>
      </c>
      <c r="J2176">
        <v>50</v>
      </c>
      <c r="K2176">
        <v>50</v>
      </c>
      <c r="L2176">
        <v>1</v>
      </c>
    </row>
    <row r="2177">
      <c r="A2177" t="str">
        <v>蓑</v>
      </c>
      <c r="B2177">
        <v>13</v>
      </c>
      <c r="C2177" t="b">
        <v>0</v>
      </c>
      <c r="D2177" t="str">
        <v>サ サイ</v>
      </c>
      <c r="E2177" t="str">
        <v>みの</v>
      </c>
      <c r="F2177">
        <v>0</v>
      </c>
      <c r="G2177" t="str">
        <v>みの。かや・すげなどで編んだ、雨や雪を防ぐもの。 覆う。草で覆う。</v>
      </c>
      <c r="H2177" t="str">
        <v>#海・水</v>
      </c>
      <c r="I2177">
        <v>10</v>
      </c>
      <c r="J2177">
        <v>50</v>
      </c>
      <c r="K2177">
        <v>50</v>
      </c>
      <c r="L2177">
        <v>1</v>
      </c>
    </row>
    <row r="2178">
      <c r="A2178" t="str">
        <v>諺</v>
      </c>
      <c r="B2178">
        <v>16</v>
      </c>
      <c r="C2178" t="b">
        <v>0</v>
      </c>
      <c r="D2178" t="str">
        <v>ゲン</v>
      </c>
      <c r="E2178" t="str">
        <v>ことわざ</v>
      </c>
      <c r="F2178">
        <v>0</v>
      </c>
      <c r="G2178" t="str">
        <v>ことわざ。昔から言い伝えられた教訓。 とむらう。</v>
      </c>
      <c r="I2178">
        <v>10</v>
      </c>
      <c r="J2178">
        <v>55</v>
      </c>
      <c r="K2178">
        <v>55</v>
      </c>
      <c r="L2178">
        <v>0</v>
      </c>
      <c r="M2178">
        <f>VLOOKUP(A2178,[1]kanji_data!$A:$N,14,FALSE)</f>
        <v>0</v>
      </c>
    </row>
    <row r="2179">
      <c r="A2179" t="str">
        <v>獅</v>
      </c>
      <c r="B2179">
        <v>13</v>
      </c>
      <c r="C2179" t="b">
        <v>0</v>
      </c>
      <c r="D2179" t="str">
        <v>シ</v>
      </c>
      <c r="E2179" t="str">
        <v>しし</v>
      </c>
      <c r="F2179" t="str">
        <v>たけ</v>
      </c>
      <c r="G2179" t="str">
        <v>動物の名。しし。ライオン。</v>
      </c>
      <c r="H2179" t="str">
        <v>#勇気</v>
      </c>
      <c r="I2179">
        <v>90</v>
      </c>
      <c r="J2179">
        <v>85</v>
      </c>
      <c r="K2179">
        <v>30</v>
      </c>
      <c r="L2179">
        <v>0</v>
      </c>
      <c r="M2179">
        <f>VLOOKUP(A2179,[1]kanji_data!$A:$N,14,FALSE)</f>
        <v>0</v>
      </c>
    </row>
    <row r="2180">
      <c r="A2180" t="str">
        <v>蒔</v>
      </c>
      <c r="B2180">
        <v>13</v>
      </c>
      <c r="C2180" t="b">
        <v>0</v>
      </c>
      <c r="D2180" t="str">
        <v>シ ジ</v>
      </c>
      <c r="E2180" t="str">
        <v>う（える） ま（く）</v>
      </c>
      <c r="F2180" t="str">
        <v>まき</v>
      </c>
      <c r="G2180" t="str">
        <v>うえる。植物を植える。植物を別の場所に移し植える。 「蒔蘿（じら）」は草の名。 まく。種をまく。粉末を散らし落とす。</v>
      </c>
      <c r="H2180" t="str">
        <v>#自然</v>
      </c>
      <c r="I2180">
        <v>95</v>
      </c>
      <c r="J2180">
        <v>65</v>
      </c>
      <c r="K2180">
        <v>50</v>
      </c>
      <c r="L2180">
        <v>0</v>
      </c>
      <c r="M2180">
        <f>VLOOKUP(A2180,[1]kanji_data!$A:$N,14,FALSE)</f>
        <v>0</v>
      </c>
    </row>
    <row r="2181">
      <c r="A2181" t="str">
        <v>馳</v>
      </c>
      <c r="B2181">
        <v>13</v>
      </c>
      <c r="C2181" t="b">
        <v>0</v>
      </c>
      <c r="D2181" t="str">
        <v>ジ チ</v>
      </c>
      <c r="E2181" t="str">
        <v>は（せる）</v>
      </c>
      <c r="F2181" t="str">
        <v>とし はや はやし</v>
      </c>
      <c r="G2181" t="str">
        <v>はせる。速く走る。また、馬車を速く走らせる。 つたえる。ひろめる。ひろまる。</v>
      </c>
      <c r="H2181" t="str">
        <v>#勇気</v>
      </c>
      <c r="I2181">
        <v>85</v>
      </c>
      <c r="J2181">
        <v>100</v>
      </c>
      <c r="K2181">
        <v>25</v>
      </c>
      <c r="L2181">
        <v>0</v>
      </c>
      <c r="M2181">
        <f>VLOOKUP(A2181,[1]kanji_data!$A:$N,14,FALSE)</f>
        <v>0</v>
      </c>
    </row>
    <row r="2182">
      <c r="A2182" t="str">
        <v>嵩</v>
      </c>
      <c r="B2182">
        <v>13</v>
      </c>
      <c r="C2182" t="b">
        <v>0</v>
      </c>
      <c r="D2182" t="str">
        <v>シュウ スウ</v>
      </c>
      <c r="E2182" t="str">
        <v>かさ かさ（む） たか（い）</v>
      </c>
      <c r="F2182" t="str">
        <v>たか たかし たけ</v>
      </c>
      <c r="G2182" t="str">
        <v>たかい。山が高くそびえるさま。 山の名。「嵩山（すうざん）」に用いられる字。 かさ。体積。容積。 かさむ。かさばる。かさが大きくなる。</v>
      </c>
      <c r="H2182" t="str">
        <v>#繁栄 #自然</v>
      </c>
      <c r="I2182">
        <v>90</v>
      </c>
      <c r="J2182">
        <v>100</v>
      </c>
      <c r="K2182">
        <v>30</v>
      </c>
      <c r="L2182">
        <v>0</v>
      </c>
      <c r="M2182">
        <f>VLOOKUP(A2182,[1]kanji_data!$A:$N,14,FALSE)</f>
        <v>0</v>
      </c>
    </row>
    <row r="2183">
      <c r="A2183" t="str">
        <v>楢</v>
      </c>
      <c r="B2183">
        <v>13</v>
      </c>
      <c r="C2183" t="b">
        <v>0</v>
      </c>
      <c r="D2183" t="str">
        <v>シュウ ユウ</v>
      </c>
      <c r="E2183" t="str">
        <v>なら</v>
      </c>
      <c r="F2183" t="str">
        <v>ゆ</v>
      </c>
      <c r="G2183" t="str">
        <v>なら。ブナ科の落葉高木。</v>
      </c>
      <c r="H2183" t="str">
        <v>#自然</v>
      </c>
      <c r="I2183">
        <v>20</v>
      </c>
      <c r="J2183">
        <v>50</v>
      </c>
      <c r="K2183">
        <v>50</v>
      </c>
      <c r="L2183">
        <v>0</v>
      </c>
      <c r="M2183">
        <f>VLOOKUP(A2183,[1]kanji_data!$A:$N,14,FALSE)</f>
        <v>0</v>
      </c>
    </row>
    <row r="2184">
      <c r="A2184" t="str">
        <v>醐</v>
      </c>
      <c r="B2184">
        <v>16</v>
      </c>
      <c r="C2184" t="b">
        <v>0</v>
      </c>
      <c r="D2184" t="str">
        <v>コ ゴ</v>
      </c>
      <c r="E2184">
        <v>0</v>
      </c>
      <c r="F2184">
        <v>0</v>
      </c>
      <c r="G2184" t="str">
        <v>「醍醐（だいご）」は乳製品の一種。</v>
      </c>
      <c r="I2184">
        <v>10</v>
      </c>
      <c r="J2184">
        <v>55</v>
      </c>
      <c r="K2184">
        <v>55</v>
      </c>
      <c r="L2184">
        <v>0</v>
      </c>
      <c r="M2184">
        <f>VLOOKUP(A2184,[1]kanji_data!$A:$N,14,FALSE)</f>
        <v>0</v>
      </c>
    </row>
    <row r="2185">
      <c r="A2185" t="str">
        <v>舜</v>
      </c>
      <c r="B2185">
        <v>13</v>
      </c>
      <c r="C2185" t="b">
        <v>0</v>
      </c>
      <c r="D2185" t="str">
        <v>シュン</v>
      </c>
      <c r="E2185" t="str">
        <v>むくげ</v>
      </c>
      <c r="F2185" t="str">
        <v>きよ きよし とし ひとし みつ よし</v>
      </c>
      <c r="G2185" t="str">
        <v>つる草の一種。ひるがお。 むくげ。もくげ。アオイ科の落葉樹。 中国古代の天子の名。</v>
      </c>
      <c r="H2185" t="str">
        <v>#自然</v>
      </c>
      <c r="I2185">
        <v>100</v>
      </c>
      <c r="J2185">
        <v>70</v>
      </c>
      <c r="K2185">
        <v>55</v>
      </c>
      <c r="L2185">
        <v>0</v>
      </c>
      <c r="M2185">
        <f>VLOOKUP(A2185,[1]kanji_data!$A:$N,14,FALSE)</f>
        <v>0</v>
      </c>
    </row>
    <row r="2186">
      <c r="A2186" t="str">
        <v>錆</v>
      </c>
      <c r="B2186">
        <v>16</v>
      </c>
      <c r="C2186" t="b">
        <v>0</v>
      </c>
      <c r="D2186" t="str">
        <v>ショウ セイ</v>
      </c>
      <c r="E2186" t="str">
        <v>さび さ（びる）</v>
      </c>
      <c r="F2186">
        <v>0</v>
      </c>
      <c r="G2186" t="str">
        <v>くわしい。こまかい。 まじりけがない。澄みきっている。 さび。さびる。金属のさび。金属がさびる。</v>
      </c>
      <c r="I2186">
        <v>10</v>
      </c>
      <c r="J2186">
        <v>50</v>
      </c>
      <c r="K2186">
        <v>50</v>
      </c>
      <c r="L2186">
        <v>1</v>
      </c>
    </row>
    <row r="2187">
      <c r="A2187" t="str">
        <v>楯</v>
      </c>
      <c r="B2187">
        <v>13</v>
      </c>
      <c r="C2187" t="b">
        <v>0</v>
      </c>
      <c r="D2187" t="str">
        <v>ジュン</v>
      </c>
      <c r="E2187" t="str">
        <v>たて</v>
      </c>
      <c r="F2187">
        <v>0</v>
      </c>
      <c r="G2187" t="str">
        <v>たて。身を守る武具。 てすり。おばしま。欄干。</v>
      </c>
      <c r="H2187" t="str">
        <v>#勇気</v>
      </c>
      <c r="I2187">
        <v>10</v>
      </c>
      <c r="J2187">
        <v>100</v>
      </c>
      <c r="K2187">
        <v>20</v>
      </c>
      <c r="L2187">
        <v>0</v>
      </c>
      <c r="M2187">
        <f>VLOOKUP(A2187,[1]kanji_data!$A:$N,14,FALSE)</f>
        <v>0</v>
      </c>
    </row>
    <row r="2188">
      <c r="A2188" t="str">
        <v>鞘</v>
      </c>
      <c r="B2188">
        <v>16</v>
      </c>
      <c r="C2188" t="b">
        <v>0</v>
      </c>
      <c r="D2188" t="str">
        <v>ショウ ソウ</v>
      </c>
      <c r="E2188" t="str">
        <v>さや</v>
      </c>
      <c r="F2188">
        <v>0</v>
      </c>
      <c r="G2188" t="str">
        <v>さや。刀のさや。 むちさき。馬を打つむちの先。 しおで。鞍（くら）の前輪（まえわ）と後輪（しずわ）の左右につけて、むながいとしりがいを留めるための紐。</v>
      </c>
      <c r="I2188">
        <v>10</v>
      </c>
      <c r="J2188">
        <v>50</v>
      </c>
      <c r="K2188">
        <v>50</v>
      </c>
      <c r="L2188">
        <v>1</v>
      </c>
    </row>
    <row r="2189">
      <c r="A2189" t="str">
        <v>稔</v>
      </c>
      <c r="B2189">
        <v>13</v>
      </c>
      <c r="C2189" t="b">
        <v>0</v>
      </c>
      <c r="D2189" t="str">
        <v>ジン ニン ネン</v>
      </c>
      <c r="E2189" t="str">
        <v>つ（む） とし みの（る）</v>
      </c>
      <c r="F2189" t="str">
        <v>なり なる のりお ゆたか</v>
      </c>
      <c r="G2189" t="str">
        <v>みのる。みのり。稲（穀物）が成熟する。 とし。穀物が一度実る期間。 つもる。つむ。重なる。重ねる。経験を積む。</v>
      </c>
      <c r="H2189" t="str">
        <v>#繁栄 #自然</v>
      </c>
      <c r="I2189">
        <v>100</v>
      </c>
      <c r="J2189">
        <v>75</v>
      </c>
      <c r="K2189">
        <v>45</v>
      </c>
      <c r="L2189">
        <v>0</v>
      </c>
      <c r="M2189">
        <f>VLOOKUP(A2189,[1]kanji_data!$A:$N,14,FALSE)</f>
        <v>0</v>
      </c>
    </row>
    <row r="2190">
      <c r="A2190" t="str">
        <v>瑞</v>
      </c>
      <c r="B2190">
        <v>13</v>
      </c>
      <c r="C2190" t="b">
        <v>0</v>
      </c>
      <c r="D2190" t="str">
        <v>スイ ズイ</v>
      </c>
      <c r="E2190" t="str">
        <v>しるし みず めでた（い）</v>
      </c>
      <c r="F2190" t="str">
        <v>ず たま</v>
      </c>
      <c r="G2190" t="str">
        <v>しるし。めでたいしるし。めでたいきざし。 めでたい。よろこばしい。 みず。みずみずしいさま。生き生きとしているさま。</v>
      </c>
      <c r="H2190" t="str">
        <v>#幸福</v>
      </c>
      <c r="I2190">
        <v>100</v>
      </c>
      <c r="J2190">
        <v>65</v>
      </c>
      <c r="K2190">
        <v>55</v>
      </c>
      <c r="L2190">
        <v>0</v>
      </c>
      <c r="M2190">
        <f>VLOOKUP(A2190,[1]kanji_data!$A:$N,14,FALSE)</f>
        <v>0</v>
      </c>
    </row>
    <row r="2191">
      <c r="A2191" t="str">
        <v>靖</v>
      </c>
      <c r="B2191">
        <v>13</v>
      </c>
      <c r="C2191" t="b">
        <v>0</v>
      </c>
      <c r="D2191" t="str">
        <v>セイ</v>
      </c>
      <c r="E2191" t="str">
        <v>やす（い） やす（らか） やす（んじる）</v>
      </c>
      <c r="F2191" t="str">
        <v>おさむ きよし しず のぶ やす やすし</v>
      </c>
      <c r="G2191" t="str">
        <v>やすい。やすらか。しずか。おだやか。落ち着いている。 やすんじる。しずめる。やすらかにする。</v>
      </c>
      <c r="H2191" t="str">
        <v>#慈愛</v>
      </c>
      <c r="I2191">
        <v>100</v>
      </c>
      <c r="J2191">
        <v>65</v>
      </c>
      <c r="K2191">
        <v>55</v>
      </c>
      <c r="L2191">
        <v>0</v>
      </c>
      <c r="M2191">
        <f>VLOOKUP(A2191,[1]kanji_data!$A:$N,14,FALSE)</f>
        <v>0</v>
      </c>
    </row>
    <row r="2192">
      <c r="A2192" t="str">
        <v>楚</v>
      </c>
      <c r="B2192">
        <v>13</v>
      </c>
      <c r="C2192" t="b">
        <v>0</v>
      </c>
      <c r="D2192" t="str">
        <v>ソ</v>
      </c>
      <c r="E2192" t="str">
        <v>いばら しもと すわえ むち</v>
      </c>
      <c r="F2192" t="str">
        <v>たか</v>
      </c>
      <c r="G2192" t="str">
        <v>にんじんぼく。クマツヅラ科の落葉低木。 いばら。とげのある小木。 むち。刑罰に用いるむち。 国名。戦国時代の七雄の一つ。 国名。五代十国時代の国。 すわえ。まっすぐに伸びた小枝。 すわえ。しもと。刑罰用のむち。</v>
      </c>
      <c r="H2192" t="str">
        <v>#勇気 #自然</v>
      </c>
      <c r="I2192">
        <v>90</v>
      </c>
      <c r="J2192">
        <v>50</v>
      </c>
      <c r="K2192">
        <v>75</v>
      </c>
      <c r="L2192">
        <v>0</v>
      </c>
      <c r="M2192">
        <f>VLOOKUP(A2192,[1]kanji_data!$A:$N,14,FALSE)</f>
        <v>0</v>
      </c>
    </row>
    <row r="2193">
      <c r="A2193" t="str">
        <v>蒼</v>
      </c>
      <c r="B2193">
        <v>13</v>
      </c>
      <c r="C2193" t="b">
        <v>0</v>
      </c>
      <c r="D2193" t="str">
        <v>ソウ</v>
      </c>
      <c r="E2193" t="str">
        <v>あお あお（い） しげ（る）</v>
      </c>
      <c r="F2193" t="str">
        <v>あおい しげる ひろ</v>
      </c>
      <c r="G2193" t="str">
        <v>あお。あおい。草のあおい色。深い青色。 しげる。草木が青くしげるさま。 年老いたさま。古びる。白髪のまじるさま。 あわただしいさま。あわてる。</v>
      </c>
      <c r="H2193" t="str">
        <v>#品格 #天空 #自然</v>
      </c>
      <c r="I2193">
        <v>100</v>
      </c>
      <c r="J2193">
        <v>80</v>
      </c>
      <c r="K2193">
        <v>45</v>
      </c>
      <c r="L2193">
        <v>0</v>
      </c>
      <c r="M2193">
        <f>VLOOKUP(A2193,[1]kanji_data!$A:$N,14,FALSE)</f>
        <v>0</v>
      </c>
    </row>
    <row r="2194">
      <c r="A2194" t="str">
        <v>錘</v>
      </c>
      <c r="B2194">
        <v>16</v>
      </c>
      <c r="C2194" t="b">
        <v>0</v>
      </c>
      <c r="D2194" t="str">
        <v>スイ</v>
      </c>
      <c r="E2194" t="str">
        <v>おもり つむ</v>
      </c>
      <c r="F2194">
        <v>0</v>
      </c>
      <c r="G2194" t="str">
        <v>おもり。物の重量をはかるのに用いる分銅。 重さの単位。六銖（しゅ）、または八銖。 つむ。糸をつむぐ道具。</v>
      </c>
      <c r="I2194">
        <v>10</v>
      </c>
      <c r="J2194">
        <v>50</v>
      </c>
      <c r="K2194">
        <v>50</v>
      </c>
      <c r="L2194">
        <v>1</v>
      </c>
    </row>
    <row r="2195">
      <c r="A2195" t="str">
        <v>錐</v>
      </c>
      <c r="B2195">
        <v>16</v>
      </c>
      <c r="C2195" t="b">
        <v>0</v>
      </c>
      <c r="D2195" t="str">
        <v>スイ</v>
      </c>
      <c r="E2195" t="str">
        <v>きり</v>
      </c>
      <c r="F2195">
        <v>0</v>
      </c>
      <c r="G2195" t="str">
        <v>きり。穴を開けるための先の鋭い工具。 きりのように鋭くとがったもの。</v>
      </c>
      <c r="I2195">
        <v>10</v>
      </c>
      <c r="J2195">
        <v>50</v>
      </c>
      <c r="K2195">
        <v>50</v>
      </c>
      <c r="L2195">
        <v>1</v>
      </c>
    </row>
    <row r="2196">
      <c r="A2196" t="str">
        <v>薙</v>
      </c>
      <c r="B2196">
        <v>16</v>
      </c>
      <c r="C2196" t="b">
        <v>0</v>
      </c>
      <c r="D2196" t="str">
        <v>チ テイ</v>
      </c>
      <c r="E2196" t="str">
        <v>か（る） そ（る） な（ぐ）</v>
      </c>
      <c r="F2196" t="str">
        <v>なぎ</v>
      </c>
      <c r="G2196" t="str">
        <v>刈る。なぐ。草を刈る。 そる。髪の毛をそる。</v>
      </c>
      <c r="I2196">
        <v>15</v>
      </c>
      <c r="J2196">
        <v>50</v>
      </c>
      <c r="K2196">
        <v>50</v>
      </c>
      <c r="L2196">
        <v>1</v>
      </c>
    </row>
    <row r="2197">
      <c r="A2197" t="str">
        <v>椿</v>
      </c>
      <c r="B2197">
        <v>13</v>
      </c>
      <c r="C2197" t="b">
        <v>0</v>
      </c>
      <c r="D2197" t="str">
        <v>チン</v>
      </c>
      <c r="E2197" t="str">
        <v>つばき</v>
      </c>
      <c r="F2197">
        <v>0</v>
      </c>
      <c r="G2197" t="str">
        <v>香椿（ちゃんちん）。センダン科の落葉高木。 伝説上の霊木。大椿。長寿のたとえ。 つばき。ツバキ科の常緑高木。 変わったこと。めずらしいこと。</v>
      </c>
      <c r="H2197" t="str">
        <v>#健康 #品格 #自然</v>
      </c>
      <c r="I2197">
        <v>60</v>
      </c>
      <c r="J2197">
        <v>25</v>
      </c>
      <c r="K2197">
        <v>85</v>
      </c>
      <c r="L2197">
        <v>0</v>
      </c>
      <c r="M2197">
        <f>VLOOKUP(A2197,[1]kanji_data!$A:$N,14,FALSE)</f>
        <v>0</v>
      </c>
    </row>
    <row r="2198">
      <c r="A2198" t="str">
        <v>禎</v>
      </c>
      <c r="B2198">
        <v>13</v>
      </c>
      <c r="C2198" t="b">
        <v>0</v>
      </c>
      <c r="D2198" t="str">
        <v>テイ</v>
      </c>
      <c r="E2198" t="str">
        <v>さいわ（い）</v>
      </c>
      <c r="F2198" t="str">
        <v>さだ さだむ さち ただ ただし つぐ とも よし</v>
      </c>
      <c r="G2198" t="str">
        <v>さいわい。めでたい。 ただしい。</v>
      </c>
      <c r="H2198" t="str">
        <v>#品格 #幸福</v>
      </c>
      <c r="I2198">
        <v>95</v>
      </c>
      <c r="J2198">
        <v>60</v>
      </c>
      <c r="K2198">
        <v>55</v>
      </c>
      <c r="L2198">
        <v>0</v>
      </c>
      <c r="M2198">
        <f>VLOOKUP(A2198,[1]kanji_data!$A:$N,14,FALSE)</f>
        <v>0</v>
      </c>
    </row>
    <row r="2199">
      <c r="A2199" t="str">
        <v>蹄</v>
      </c>
      <c r="B2199">
        <v>16</v>
      </c>
      <c r="C2199" t="b">
        <v>0</v>
      </c>
      <c r="D2199" t="str">
        <v>テイ</v>
      </c>
      <c r="E2199" t="str">
        <v>ひづめ わな</v>
      </c>
      <c r="F2199">
        <v>0</v>
      </c>
      <c r="G2199" t="str">
        <v>ひづめ。牛馬などのつめ。 わな。うさぎを捕らえるための罠。</v>
      </c>
      <c r="I2199">
        <v>10</v>
      </c>
      <c r="J2199">
        <v>50</v>
      </c>
      <c r="K2199">
        <v>50</v>
      </c>
      <c r="L2199">
        <v>1</v>
      </c>
    </row>
    <row r="2200">
      <c r="A2200" t="str">
        <v>楠</v>
      </c>
      <c r="B2200">
        <v>13</v>
      </c>
      <c r="C2200" t="b">
        <v>0</v>
      </c>
      <c r="D2200" t="str">
        <v>ナン</v>
      </c>
      <c r="E2200" t="str">
        <v>くすのき</v>
      </c>
      <c r="F2200" t="str">
        <v>な</v>
      </c>
      <c r="G2200" t="str">
        <v>くすのきの一種。 くすのき。くす。クスノキ科の常緑高木。</v>
      </c>
      <c r="H2200" t="str">
        <v>#自然</v>
      </c>
      <c r="I2200">
        <v>60</v>
      </c>
      <c r="J2200">
        <v>75</v>
      </c>
      <c r="K2200">
        <v>40</v>
      </c>
      <c r="L2200">
        <v>0</v>
      </c>
      <c r="M2200">
        <f>VLOOKUP(A2200,[1]kanji_data!$A:$N,14,FALSE)</f>
        <v>0</v>
      </c>
    </row>
    <row r="2201">
      <c r="A2201" t="str">
        <v>蕗</v>
      </c>
      <c r="B2201">
        <v>16</v>
      </c>
      <c r="C2201" t="b">
        <v>0</v>
      </c>
      <c r="D2201" t="str">
        <v>ロ</v>
      </c>
      <c r="E2201" t="str">
        <v>ふき</v>
      </c>
      <c r="F2201" t="str">
        <v>ぶき</v>
      </c>
      <c r="G2201" t="str">
        <v>かんぞう。マメ科の多年草。 ふき。キク科の多年草。食用。</v>
      </c>
      <c r="I2201">
        <v>15</v>
      </c>
      <c r="J2201">
        <v>50</v>
      </c>
      <c r="K2201">
        <v>50</v>
      </c>
      <c r="L2201">
        <v>0</v>
      </c>
      <c r="M2201">
        <f>VLOOKUP(A2201,[1]kanji_data!$A:$N,14,FALSE)</f>
        <v>0</v>
      </c>
    </row>
    <row r="2202">
      <c r="A2202" t="str">
        <v>蒲</v>
      </c>
      <c r="B2202">
        <v>13</v>
      </c>
      <c r="C2202" t="b">
        <v>0</v>
      </c>
      <c r="D2202" t="str">
        <v>フ ブ ホ</v>
      </c>
      <c r="E2202" t="str">
        <v>がま かわやなぎ むしろ</v>
      </c>
      <c r="F2202">
        <v>0</v>
      </c>
      <c r="G2202" t="str">
        <v>がま。かま。ひらがま。ガマ科の多年草。 かわやなぎ。やなぎの一種。 むしろ。がまむしろ。 草ぶきの屋根。 はらばう。</v>
      </c>
      <c r="H2202" t="str">
        <v>#自然</v>
      </c>
      <c r="I2202">
        <v>10</v>
      </c>
      <c r="J2202">
        <v>50</v>
      </c>
      <c r="K2202">
        <v>50</v>
      </c>
      <c r="L2202">
        <v>1</v>
      </c>
    </row>
    <row r="2203">
      <c r="A2203" t="str">
        <v>楓</v>
      </c>
      <c r="B2203">
        <v>13</v>
      </c>
      <c r="C2203" t="b">
        <v>0</v>
      </c>
      <c r="D2203" t="str">
        <v>フウ</v>
      </c>
      <c r="E2203" t="str">
        <v>かえで</v>
      </c>
      <c r="F2203" t="str">
        <v>か ふ</v>
      </c>
      <c r="G2203" t="str">
        <v>ふう。マンサク科の落葉高木。 かえで。カエデ科の落葉高木。</v>
      </c>
      <c r="H2203" t="str">
        <v>#自然</v>
      </c>
      <c r="I2203">
        <v>100</v>
      </c>
      <c r="J2203">
        <v>25</v>
      </c>
      <c r="K2203">
        <v>85</v>
      </c>
      <c r="L2203">
        <v>0</v>
      </c>
      <c r="M2203">
        <f>VLOOKUP(A2203,[1]kanji_data!$A:$N,14,FALSE)</f>
        <v>0</v>
      </c>
    </row>
    <row r="2204">
      <c r="A2204" t="str">
        <v>縣</v>
      </c>
      <c r="B2204">
        <v>16</v>
      </c>
      <c r="C2204" t="b">
        <v>0</v>
      </c>
      <c r="D2204" t="str">
        <v>ケン</v>
      </c>
      <c r="E2204" t="str">
        <v>あがた</v>
      </c>
      <c r="F2204">
        <v>0</v>
      </c>
      <c r="G2204" t="str">
        <v>かける。かかる。ぶらさげる。つり下がる。つなぐ。 つり下げて鳴らす楽器の総称。 中国の地方行政区画の一つ。秦代に設けられた。 けん。日本の地方行政区画の一つ。都・道・府と同列。 あがた。上代では皇室の御料地。中世では地方官の任国。</v>
      </c>
      <c r="I2204">
        <v>10</v>
      </c>
      <c r="J2204">
        <v>50</v>
      </c>
      <c r="K2204">
        <v>50</v>
      </c>
      <c r="L2204">
        <v>1</v>
      </c>
    </row>
    <row r="2205">
      <c r="A2205" t="str">
        <v>傭</v>
      </c>
      <c r="B2205">
        <v>13</v>
      </c>
      <c r="C2205" t="b">
        <v>0</v>
      </c>
      <c r="D2205" t="str">
        <v>ヨウ チョウ</v>
      </c>
      <c r="E2205" t="str">
        <v>やと（い） やと（う）</v>
      </c>
      <c r="F2205">
        <v>0</v>
      </c>
      <c r="G2205" t="str">
        <v>やとい。雇い人。 やとう。やとわれる。雇用。 ひとしい。公平。</v>
      </c>
      <c r="H2205" t="str">
        <v>#品格</v>
      </c>
      <c r="I2205">
        <v>10</v>
      </c>
      <c r="J2205">
        <v>50</v>
      </c>
      <c r="K2205">
        <v>50</v>
      </c>
      <c r="L2205">
        <v>1</v>
      </c>
    </row>
    <row r="2206">
      <c r="A2206" t="str">
        <v>楊</v>
      </c>
      <c r="B2206">
        <v>13</v>
      </c>
      <c r="C2206" t="b">
        <v>0</v>
      </c>
      <c r="D2206" t="str">
        <v>ヨウ</v>
      </c>
      <c r="E2206" t="str">
        <v>やなぎ</v>
      </c>
      <c r="F2206" t="str">
        <v>やす よ</v>
      </c>
      <c r="G2206" t="str">
        <v>やなぎ。ヤナギ科の落葉低木。かわやなぎ・ねこやなぎなどをいう。</v>
      </c>
      <c r="H2206" t="str">
        <v>#自然</v>
      </c>
      <c r="I2206">
        <v>85</v>
      </c>
      <c r="J2206">
        <v>50</v>
      </c>
      <c r="K2206">
        <v>50</v>
      </c>
      <c r="L2206">
        <v>0</v>
      </c>
      <c r="M2206">
        <f>VLOOKUP(A2206,[1]kanji_data!$A:$N,14,FALSE)</f>
        <v>0</v>
      </c>
    </row>
    <row r="2207">
      <c r="A2207" t="str">
        <v>蓉</v>
      </c>
      <c r="B2207">
        <v>13</v>
      </c>
      <c r="C2207" t="b">
        <v>0</v>
      </c>
      <c r="D2207" t="str">
        <v>ヨウ</v>
      </c>
      <c r="E2207">
        <v>0</v>
      </c>
      <c r="F2207" t="str">
        <v>はす よ</v>
      </c>
      <c r="G2207" t="str">
        <v>「芙蓉（ふよう）」は、はすの花。</v>
      </c>
      <c r="H2207" t="str">
        <v>#花・彩</v>
      </c>
      <c r="I2207">
        <v>90</v>
      </c>
      <c r="J2207">
        <v>20</v>
      </c>
      <c r="K2207">
        <v>100</v>
      </c>
      <c r="L2207">
        <v>0</v>
      </c>
      <c r="M2207">
        <f>VLOOKUP(A2207,[1]kanji_data!$A:$N,14,FALSE)</f>
        <v>0</v>
      </c>
    </row>
    <row r="2208">
      <c r="A2208" t="str">
        <v>溜</v>
      </c>
      <c r="B2208">
        <v>13</v>
      </c>
      <c r="C2208" t="b">
        <v>0</v>
      </c>
      <c r="D2208" t="str">
        <v>リュウ</v>
      </c>
      <c r="E2208" t="str">
        <v>したた（る） た（まる） ため た（める）</v>
      </c>
      <c r="F2208">
        <v>0</v>
      </c>
      <c r="G2208" t="str">
        <v>したたり。しずく。水のしずく。雨だれ。 したたる。水がたれ落ちる。また、雨だれの落ちるところ。 流れる。川の流れ。水の流れるさま。 たまる。ためる。とどこおる。一箇所に集まる。 たまり。ため。物や人の集まるところ。物をためておくところ。</v>
      </c>
      <c r="H2208" t="str">
        <v>#海・水</v>
      </c>
      <c r="I2208">
        <v>10</v>
      </c>
      <c r="J2208">
        <v>50</v>
      </c>
      <c r="K2208">
        <v>50</v>
      </c>
      <c r="L2208">
        <v>1</v>
      </c>
    </row>
    <row r="2209">
      <c r="A2209" t="str">
        <v>稜</v>
      </c>
      <c r="B2209">
        <v>13</v>
      </c>
      <c r="C2209" t="b">
        <v>0</v>
      </c>
      <c r="D2209" t="str">
        <v>リョウ ロウ</v>
      </c>
      <c r="E2209" t="str">
        <v>かど</v>
      </c>
      <c r="F2209" t="str">
        <v>いず いつ たか たる</v>
      </c>
      <c r="G2209" t="str">
        <v>かど。すみ。 みいつ。威光。</v>
      </c>
      <c r="H2209" t="str">
        <v>#品格 #自然</v>
      </c>
      <c r="I2209">
        <v>100</v>
      </c>
      <c r="J2209">
        <v>100</v>
      </c>
      <c r="K2209">
        <v>35</v>
      </c>
      <c r="L2209">
        <v>0</v>
      </c>
      <c r="M2209">
        <f>VLOOKUP(A2209,[1]kanji_data!$A:$N,14,FALSE)</f>
        <v>0</v>
      </c>
    </row>
    <row r="2210">
      <c r="A2210" t="str">
        <v>默</v>
      </c>
      <c r="B2210">
        <v>16</v>
      </c>
      <c r="C2210" t="b">
        <v>0</v>
      </c>
      <c r="D2210" t="str">
        <v>モク ボク</v>
      </c>
      <c r="E2210" t="str">
        <v>だま（る） だんま（り） もだ（す）</v>
      </c>
      <c r="F2210">
        <v>0</v>
      </c>
      <c r="G2210" t="str">
        <v>だまる。声を出さない。口をきかない。 しずか。しずまる。ひっそりしている。</v>
      </c>
      <c r="I2210">
        <v>10</v>
      </c>
      <c r="J2210">
        <v>50</v>
      </c>
      <c r="K2210">
        <v>50</v>
      </c>
      <c r="L2210">
        <v>1</v>
      </c>
    </row>
    <row r="2211">
      <c r="A2211" t="str">
        <v>蓮</v>
      </c>
      <c r="B2211">
        <v>13</v>
      </c>
      <c r="C2211" t="b">
        <v>0</v>
      </c>
      <c r="D2211" t="str">
        <v>レン</v>
      </c>
      <c r="E2211" t="str">
        <v>はす はちす</v>
      </c>
      <c r="F2211" t="str">
        <v>れ</v>
      </c>
      <c r="G2211" t="str">
        <v>はす。はちす。はすの実。</v>
      </c>
      <c r="H2211" t="str">
        <v>#花・彩</v>
      </c>
      <c r="I2211">
        <v>100</v>
      </c>
      <c r="J2211">
        <v>45</v>
      </c>
      <c r="K2211">
        <v>70</v>
      </c>
      <c r="L2211">
        <v>0</v>
      </c>
      <c r="M2211">
        <f>VLOOKUP(A2211,[1]kanji_data!$A:$N,14,FALSE)</f>
        <v>0</v>
      </c>
    </row>
    <row r="2212">
      <c r="A2212" t="str">
        <v>險</v>
      </c>
      <c r="B2212">
        <v>16</v>
      </c>
      <c r="C2212" t="b">
        <v>0</v>
      </c>
      <c r="D2212" t="str">
        <v>ケン</v>
      </c>
      <c r="E2212" t="str">
        <v>けわ（しい）</v>
      </c>
      <c r="F2212">
        <v>0</v>
      </c>
      <c r="G2212" t="str">
        <v>けわしい。山が切り立っている。 けわしい。あぶない。あやうい。 けわしい所。平らでない所。 きびしい。きつい。とげとげしい。</v>
      </c>
      <c r="I2212">
        <v>10</v>
      </c>
      <c r="J2212">
        <v>50</v>
      </c>
      <c r="K2212">
        <v>50</v>
      </c>
      <c r="L2212">
        <v>1</v>
      </c>
    </row>
    <row r="2213">
      <c r="A2213" t="str">
        <v>暉</v>
      </c>
      <c r="B2213">
        <v>13</v>
      </c>
      <c r="C2213" t="b">
        <v>0</v>
      </c>
      <c r="D2213" t="str">
        <v>キ</v>
      </c>
      <c r="E2213" t="str">
        <v>かがや（く） ひかり ひか（る）</v>
      </c>
      <c r="F2213" t="str">
        <v>あきら てらす てる</v>
      </c>
      <c r="G2213" t="str">
        <v>かがやく。ひかる。かがやき。ひかり。＝輝</v>
      </c>
      <c r="H2213" t="str">
        <v>#天空</v>
      </c>
      <c r="I2213">
        <v>80</v>
      </c>
      <c r="J2213">
        <v>60</v>
      </c>
      <c r="K2213">
        <v>55</v>
      </c>
      <c r="L2213">
        <v>0</v>
      </c>
      <c r="M2213">
        <f>VLOOKUP(A2213,[1]kanji_data!$A:$N,14,FALSE)</f>
        <v>0</v>
      </c>
    </row>
    <row r="2214">
      <c r="A2214" t="str">
        <v>靜</v>
      </c>
      <c r="B2214">
        <v>16</v>
      </c>
      <c r="C2214" t="b">
        <v>0</v>
      </c>
      <c r="D2214" t="str">
        <v>セイ ジョウ</v>
      </c>
      <c r="E2214" t="str">
        <v>しず しず（か） しず（まる） しず（める）</v>
      </c>
      <c r="F2214">
        <v>0</v>
      </c>
      <c r="G2214" t="str">
        <v>しずか。じっとしている。動かない。 しずか。音がしない。 しずか。落ち着いている。 しずまる。しずめる。やすらかにする。</v>
      </c>
      <c r="I2214">
        <v>10</v>
      </c>
      <c r="J2214">
        <v>35</v>
      </c>
      <c r="K2214">
        <v>75</v>
      </c>
      <c r="L2214">
        <v>0</v>
      </c>
      <c r="M2214">
        <f>VLOOKUP(A2214,[1]kanji_data!$A:$N,14,FALSE)</f>
        <v>0</v>
      </c>
    </row>
    <row r="2215">
      <c r="A2215" t="str">
        <v>滉</v>
      </c>
      <c r="B2215">
        <v>13</v>
      </c>
      <c r="C2215" t="b">
        <v>0</v>
      </c>
      <c r="D2215" t="str">
        <v>コウ</v>
      </c>
      <c r="E2215" t="str">
        <v>ひろ（い）</v>
      </c>
      <c r="F2215" t="str">
        <v>あき あきら ひろし</v>
      </c>
      <c r="G2215" t="str">
        <v>ひろい。海や川などで、水が深く広いさま。</v>
      </c>
      <c r="H2215" t="str">
        <v>#海・水 #繁栄</v>
      </c>
      <c r="I2215">
        <v>80</v>
      </c>
      <c r="J2215">
        <v>85</v>
      </c>
      <c r="K2215">
        <v>50</v>
      </c>
      <c r="L2215">
        <v>0</v>
      </c>
      <c r="M2215">
        <f>VLOOKUP(A2215,[1]kanji_data!$A:$N,14,FALSE)</f>
        <v>0</v>
      </c>
    </row>
    <row r="2216">
      <c r="A2216" t="str">
        <v>瑶</v>
      </c>
      <c r="B2216">
        <v>13</v>
      </c>
      <c r="C2216" t="b">
        <v>0</v>
      </c>
      <c r="D2216" t="str">
        <v>ヨウ</v>
      </c>
      <c r="E2216" t="str">
        <v>たま</v>
      </c>
      <c r="F2216" t="str">
        <v>よ</v>
      </c>
      <c r="G2216" t="str">
        <v>たま。美しい玉。玉のように美しいさま。 中国の少数民族の名。</v>
      </c>
      <c r="H2216" t="str">
        <v>#花・彩</v>
      </c>
      <c r="I2216">
        <v>100</v>
      </c>
      <c r="J2216">
        <v>20</v>
      </c>
      <c r="K2216">
        <v>100</v>
      </c>
      <c r="L2216">
        <v>0</v>
      </c>
      <c r="M2216">
        <f>VLOOKUP(A2216,[1]kanji_data!$A:$N,14,FALSE)</f>
        <v>0</v>
      </c>
    </row>
    <row r="2217">
      <c r="A2217" t="str">
        <v>煌</v>
      </c>
      <c r="B2217">
        <v>13</v>
      </c>
      <c r="C2217" t="b">
        <v>0</v>
      </c>
      <c r="D2217" t="str">
        <v>コウ</v>
      </c>
      <c r="E2217" t="str">
        <v>あき（らか） かがや（く） きら（めく）</v>
      </c>
      <c r="F2217" t="str">
        <v>あき あきら てる</v>
      </c>
      <c r="G2217" t="str">
        <v>明らか。明るい。 かがやく。かがやき。きらめく。</v>
      </c>
      <c r="H2217" t="str">
        <v>#天空 #花・彩</v>
      </c>
      <c r="I2217">
        <v>90</v>
      </c>
      <c r="J2217">
        <v>95</v>
      </c>
      <c r="K2217">
        <v>35</v>
      </c>
      <c r="L2217">
        <v>0</v>
      </c>
      <c r="M2217">
        <f>VLOOKUP(A2217,[1]kanji_data!$A:$N,14,FALSE)</f>
        <v>0</v>
      </c>
    </row>
    <row r="2218">
      <c r="A2218" t="str">
        <v>詢</v>
      </c>
      <c r="B2218">
        <v>13</v>
      </c>
      <c r="C2218" t="b">
        <v>0</v>
      </c>
      <c r="D2218" t="str">
        <v>シュン ジュン</v>
      </c>
      <c r="E2218" t="str">
        <v>と（う） はか（る） まこと</v>
      </c>
      <c r="F2218">
        <v>0</v>
      </c>
      <c r="G2218" t="str">
        <v>とう。はかる。たずねる。相談する。 まこと。まことに。</v>
      </c>
      <c r="H2218" t="str">
        <v>#品格 #心・志</v>
      </c>
      <c r="I2218">
        <v>50</v>
      </c>
      <c r="J2218">
        <v>60</v>
      </c>
      <c r="K2218">
        <v>70</v>
      </c>
      <c r="L2218">
        <v>0</v>
      </c>
      <c r="M2218">
        <f>VLOOKUP(A2218,[1]kanji_data!$A:$N,14,FALSE)</f>
        <v>0</v>
      </c>
    </row>
    <row r="2219">
      <c r="A2219" t="str">
        <v>頌</v>
      </c>
      <c r="B2219">
        <v>13</v>
      </c>
      <c r="C2219" t="b">
        <v>0</v>
      </c>
      <c r="D2219" t="str">
        <v>ジュ ショウ ヨウ</v>
      </c>
      <c r="E2219" t="str">
        <v>かたち たた（える） ほ（める） ゆる（やか）</v>
      </c>
      <c r="F2219" t="str">
        <v>おと のぶ よし</v>
      </c>
      <c r="G2219" t="str">
        <v>ほめる。たたえる。ほめたたえる。 ほめことば。ほめたたえることば。 文体のひとつ。人格や功績をほめたたえたもの。 「詩経」の六義（りくぎ）の一つ。 かたち。すがた。ありさま。 ゆるやか。ゆるやかである。</v>
      </c>
      <c r="H2219" t="str">
        <v>#品格 #幸福</v>
      </c>
      <c r="I2219">
        <v>95</v>
      </c>
      <c r="J2219">
        <v>65</v>
      </c>
      <c r="K2219">
        <v>65</v>
      </c>
      <c r="L2219">
        <v>0</v>
      </c>
      <c r="M2219">
        <f>VLOOKUP(A2219,[1]kanji_data!$A:$N,14,FALSE)</f>
        <v>0</v>
      </c>
    </row>
    <row r="2220">
      <c r="A2220" t="str">
        <v>諸</v>
      </c>
      <c r="B2220">
        <v>16</v>
      </c>
      <c r="C2220" t="b">
        <v>0</v>
      </c>
      <c r="D2220" t="str">
        <v>ショ</v>
      </c>
      <c r="E2220" t="str">
        <v>もろ もろもろ</v>
      </c>
      <c r="F2220">
        <v>0</v>
      </c>
      <c r="G2220" t="str">
        <v>もろもろ。多くの。いろいろの。 これ。代名詞。 や。か。詠嘆をあらわす助字。</v>
      </c>
      <c r="I2220">
        <v>10</v>
      </c>
      <c r="J2220">
        <v>50</v>
      </c>
      <c r="K2220">
        <v>50</v>
      </c>
      <c r="L2220">
        <v>1</v>
      </c>
    </row>
    <row r="2221">
      <c r="A2221" t="str">
        <v>謁</v>
      </c>
      <c r="B2221">
        <v>16</v>
      </c>
      <c r="C2221" t="b">
        <v>0</v>
      </c>
      <c r="D2221" t="str">
        <v>エツ</v>
      </c>
      <c r="E2221" t="str">
        <v>まみ（える）</v>
      </c>
      <c r="F2221">
        <v>0</v>
      </c>
      <c r="G2221" t="str">
        <v>まみえる。身分の高い人に会う。 申す。申し上げる。告げる。 こう。たのむ。求める。 とりつぎ。 なふだ。名刺。</v>
      </c>
      <c r="I2221">
        <v>10</v>
      </c>
      <c r="J2221">
        <v>50</v>
      </c>
      <c r="K2221">
        <v>50</v>
      </c>
      <c r="L2221">
        <v>1</v>
      </c>
    </row>
    <row r="2222">
      <c r="A2222" t="str">
        <v>圓</v>
      </c>
      <c r="B2222">
        <v>13</v>
      </c>
      <c r="C2222" t="b">
        <v>0</v>
      </c>
      <c r="D2222" t="str">
        <v>エン</v>
      </c>
      <c r="E2222" t="str">
        <v>まる（い） つぶら（か） まど（か） まろ（やか）</v>
      </c>
      <c r="F2222">
        <v>0</v>
      </c>
      <c r="G2222" t="str">
        <v>まる。まるい形。円形。 まるい。まどか。まろやか。角のないさま。 つぶら。つぶらか。まるいさま。まるくて可愛らしいさま。 まったし。完全な。欠けているところがない。 えん。日本の貨幣単位。 えん。そのあたり一帯。</v>
      </c>
      <c r="H2222" t="str">
        <v>#幸福 #慈愛</v>
      </c>
      <c r="I2222">
        <v>10</v>
      </c>
      <c r="J2222">
        <v>55</v>
      </c>
      <c r="K2222">
        <v>60</v>
      </c>
      <c r="L2222">
        <v>0</v>
      </c>
      <c r="M2222">
        <f>VLOOKUP(A2222,[1]kanji_data!$A:$N,14,FALSE)</f>
        <v>0</v>
      </c>
    </row>
    <row r="2223">
      <c r="A2223" t="str">
        <v>奧</v>
      </c>
      <c r="B2223">
        <v>13</v>
      </c>
      <c r="C2223" t="b">
        <v>0</v>
      </c>
      <c r="D2223" t="str">
        <v>オウ イク</v>
      </c>
      <c r="E2223" t="str">
        <v>おく くま</v>
      </c>
      <c r="F2223">
        <v>0</v>
      </c>
      <c r="G2223" t="str">
        <v>部屋の南西のすみ。神を祭る場所。 家の奥のほうにある部屋。 おく。おく深く入りこんだ場所。また、そのような事柄。 くま。川などが曲がって入りくんだところ。 あたたか。あたたかい。＝燠 おく。夫人。他人（特に身分の高い人）の妻。 「陸奧（むつ・みちのく）」の略。</v>
      </c>
      <c r="H2223" t="str">
        <v>#海・水</v>
      </c>
      <c r="I2223">
        <v>10</v>
      </c>
      <c r="J2223">
        <v>50</v>
      </c>
      <c r="K2223">
        <v>50</v>
      </c>
      <c r="L2223">
        <v>1</v>
      </c>
    </row>
    <row r="2224">
      <c r="A2224" t="str">
        <v>傳</v>
      </c>
      <c r="B2224">
        <v>13</v>
      </c>
      <c r="C2224" t="b">
        <v>0</v>
      </c>
      <c r="D2224" t="str">
        <v>デン テン</v>
      </c>
      <c r="E2224" t="str">
        <v>つた（う） つた（える） つた（わる） つて</v>
      </c>
      <c r="F2224">
        <v>0</v>
      </c>
      <c r="G2224" t="str">
        <v>つたう。つたえる。つたわる。授ける。受け継ぐ。言いつたえる。語り継ぐ。広める。広がる。広くつたえる。 言いつたえ。人の一生を書き記したもの。伝記。 宿場。または宿場から人やものを送り届ける馬車。 古典、経書などの注釈。 つて。ことづて。ひとづて。事をなすときにたよりにするもの。</v>
      </c>
      <c r="H2224" t="str">
        <v>#繁栄</v>
      </c>
      <c r="I2224">
        <v>10</v>
      </c>
      <c r="J2224">
        <v>65</v>
      </c>
      <c r="K2224">
        <v>55</v>
      </c>
      <c r="L2224">
        <v>0</v>
      </c>
      <c r="M2224">
        <f>VLOOKUP(A2224,[1]kanji_data!$A:$N,14,FALSE)</f>
        <v>0</v>
      </c>
    </row>
    <row r="2225">
      <c r="A2225" t="str">
        <v>祿</v>
      </c>
      <c r="B2225">
        <v>13</v>
      </c>
      <c r="C2225" t="b">
        <v>0</v>
      </c>
      <c r="D2225" t="str">
        <v>ロク</v>
      </c>
      <c r="E2225" t="str">
        <v>さいわ（い） ふち</v>
      </c>
      <c r="F2225">
        <v>0</v>
      </c>
      <c r="G2225" t="str">
        <v>さいわい。天から与えられた幸せ。神の恵み。 ふち。役人の給与。俸給。給料。</v>
      </c>
      <c r="H2225" t="str">
        <v>#幸福 #慈愛</v>
      </c>
      <c r="I2225">
        <v>10</v>
      </c>
      <c r="J2225">
        <v>65</v>
      </c>
      <c r="K2225">
        <v>50</v>
      </c>
      <c r="L2225">
        <v>0</v>
      </c>
      <c r="M2225">
        <f>VLOOKUP(A2225,[1]kanji_data!$A:$N,14,FALSE)</f>
        <v>0</v>
      </c>
    </row>
    <row r="2226">
      <c r="A2226" t="str">
        <v>愼</v>
      </c>
      <c r="B2226">
        <v>13</v>
      </c>
      <c r="C2226" t="b">
        <v>0</v>
      </c>
      <c r="D2226" t="str">
        <v>シン ジン</v>
      </c>
      <c r="E2226" t="str">
        <v>つつし（む） つつま（しい） つつま（しやか）</v>
      </c>
      <c r="F2226">
        <v>0</v>
      </c>
      <c r="G2226" t="str">
        <v>つつしむ。気をつける。念を入れる。 つつましい。控えめで落ち着いているさま。 つつましい。質素なさま。 つつましやか。しとやかなさま。</v>
      </c>
      <c r="H2226" t="str">
        <v>#心・志</v>
      </c>
      <c r="I2226">
        <v>40</v>
      </c>
      <c r="J2226">
        <v>55</v>
      </c>
      <c r="K2226">
        <v>70</v>
      </c>
      <c r="L2226">
        <v>0</v>
      </c>
      <c r="M2226">
        <f>VLOOKUP(A2226,[1]kanji_data!$A:$N,14,FALSE)</f>
        <v>0</v>
      </c>
    </row>
    <row r="2227">
      <c r="A2227" t="str">
        <v>歷</v>
      </c>
      <c r="B2227">
        <v>16</v>
      </c>
      <c r="C2227" t="b">
        <v>0</v>
      </c>
      <c r="D2227" t="str">
        <v>レキ リャク</v>
      </c>
      <c r="E2227" t="str">
        <v>へ（る）</v>
      </c>
      <c r="F2227">
        <v>0</v>
      </c>
      <c r="G2227" t="str">
        <v>へる。すぎる。経過する。また、すぎてきた跡。すぎた事柄。 こえる。とびこえる。 ことごとく。また、ひとつひとつ。次々に。 はっきりしているさま。あきらかなさま。 こよみ。＝暦</v>
      </c>
      <c r="I2227">
        <v>10</v>
      </c>
      <c r="J2227">
        <v>50</v>
      </c>
      <c r="K2227">
        <v>50</v>
      </c>
      <c r="L2227">
        <v>1</v>
      </c>
    </row>
    <row r="2228">
      <c r="A2228" t="str">
        <v>與</v>
      </c>
      <c r="B2228">
        <v>13</v>
      </c>
      <c r="C2228" t="b">
        <v>0</v>
      </c>
      <c r="D2228" t="str">
        <v>ヨ</v>
      </c>
      <c r="E2228" t="str">
        <v>あた（える） あずか（る） くみ（する）</v>
      </c>
      <c r="F2228">
        <v>0</v>
      </c>
      <c r="G2228" t="str">
        <v>あたえる。 くみする。力をあわせる。仲間になる。味方になる。 ともに。いっしょに。つれだって。 「～と」と読み、並列の意を表す。 「～と」と読み、動作の対象を示す意を表す。 「～より」と読み、比較の意を表す。 あずかる。かかわる。関係する。参加する。 「か」と読み、疑問の意を表す。 「や」と読み、反語の意を表す。 「か」「かな」と読み、詠嘆を表す。</v>
      </c>
      <c r="H2228" t="str">
        <v>#慈愛 #調和</v>
      </c>
      <c r="I2228">
        <v>10</v>
      </c>
      <c r="J2228">
        <v>50</v>
      </c>
      <c r="K2228">
        <v>50</v>
      </c>
      <c r="L2228">
        <v>1</v>
      </c>
    </row>
    <row r="2229">
      <c r="A2229" t="str">
        <v>縮</v>
      </c>
      <c r="B2229">
        <v>17</v>
      </c>
      <c r="C2229" t="b">
        <v>1</v>
      </c>
      <c r="D2229" t="str">
        <v>シュク</v>
      </c>
      <c r="E2229" t="str">
        <v>ちぢ（まる） ちぢ（む） ちぢ（める） ちぢ（らす） ちぢ（れる）</v>
      </c>
      <c r="F2229">
        <v>0</v>
      </c>
      <c r="G2229" t="str">
        <v>ちぢむ。ちぢまる。ちぢれる。ひきしまる。小さくなる。 ちぢめる。ちぢらす。小さくする。 ちぢこまる。かしこまる。 退く。後退する。 おさめる。 正しい。なおし。まっすぐ。 ちぢみ。ちぢみ織り。</v>
      </c>
      <c r="I2229">
        <v>10</v>
      </c>
      <c r="J2229">
        <v>50</v>
      </c>
      <c r="K2229">
        <v>50</v>
      </c>
      <c r="L2229">
        <v>1</v>
      </c>
    </row>
    <row r="2230">
      <c r="A2230" t="str">
        <v>虜</v>
      </c>
      <c r="B2230">
        <v>13</v>
      </c>
      <c r="C2230" t="b">
        <v>0</v>
      </c>
      <c r="D2230" t="str">
        <v>リョ ロ</v>
      </c>
      <c r="E2230" t="str">
        <v>えびす しもべ とりこ</v>
      </c>
      <c r="F2230">
        <v>0</v>
      </c>
      <c r="G2230" t="str">
        <v>とりこ。生け捕りにした敵。 とりこにする。生け捕りにする。 しもべ。召使い。奴隷。 えびす。蛮族。敵をののしっていう言葉。</v>
      </c>
      <c r="H2230" t="str">
        <v>#自然</v>
      </c>
      <c r="I2230">
        <v>10</v>
      </c>
      <c r="J2230">
        <v>50</v>
      </c>
      <c r="K2230">
        <v>50</v>
      </c>
      <c r="L2230">
        <v>1</v>
      </c>
    </row>
    <row r="2231">
      <c r="A2231" t="str">
        <v>廊</v>
      </c>
      <c r="B2231">
        <v>13</v>
      </c>
      <c r="C2231" t="b">
        <v>0</v>
      </c>
      <c r="D2231" t="str">
        <v>ロウ</v>
      </c>
      <c r="E2231" t="str">
        <v>わたどの</v>
      </c>
      <c r="F2231">
        <v>0</v>
      </c>
      <c r="G2231" t="str">
        <v>わたどの。建物をつなぐ渡り廊下。 ひさし。正堂の左右に作られた部屋。</v>
      </c>
      <c r="H2231" t="str">
        <v>#健康</v>
      </c>
      <c r="I2231">
        <v>10</v>
      </c>
      <c r="J2231">
        <v>50</v>
      </c>
      <c r="K2231">
        <v>50</v>
      </c>
      <c r="L2231">
        <v>1</v>
      </c>
    </row>
    <row r="2232">
      <c r="A2232" t="str">
        <v>勤</v>
      </c>
      <c r="B2232">
        <v>13</v>
      </c>
      <c r="C2232" t="b">
        <v>0</v>
      </c>
      <c r="D2232" t="str">
        <v>キン ゴン</v>
      </c>
      <c r="E2232" t="str">
        <v>つと（まる） つと（める） いそ（しむ） つと（め）</v>
      </c>
      <c r="F2232">
        <v>0</v>
      </c>
      <c r="G2232" t="str">
        <v>つとまる。つとめる。いそしむ。仕事をする。 つとめ。仕事。役目。 ねぎらう。苦労をいたわる。</v>
      </c>
      <c r="H2232" t="str">
        <v>#慈愛</v>
      </c>
      <c r="I2232">
        <v>10</v>
      </c>
      <c r="J2232">
        <v>75</v>
      </c>
      <c r="K2232">
        <v>45</v>
      </c>
      <c r="L2232">
        <v>0</v>
      </c>
      <c r="M2232">
        <f>VLOOKUP(A2232,[1]kanji_data!$A:$N,14,FALSE)</f>
        <v>0</v>
      </c>
    </row>
    <row r="2233">
      <c r="A2233" t="str">
        <v>燥</v>
      </c>
      <c r="B2233">
        <v>17</v>
      </c>
      <c r="C2233" t="b">
        <v>1</v>
      </c>
      <c r="D2233" t="str">
        <v>ソウ</v>
      </c>
      <c r="E2233" t="str">
        <v>かわ（く） はしゃ（ぐ）</v>
      </c>
      <c r="F2233">
        <v>0</v>
      </c>
      <c r="G2233" t="str">
        <v>かわく。かわかす。からからになる。 はしゃぐ。うかれる。 あせる。いらだつ。</v>
      </c>
      <c r="I2233">
        <v>10</v>
      </c>
      <c r="J2233">
        <v>50</v>
      </c>
      <c r="K2233">
        <v>50</v>
      </c>
      <c r="L2233">
        <v>1</v>
      </c>
    </row>
    <row r="2234">
      <c r="A2234" t="str">
        <v>療</v>
      </c>
      <c r="B2234">
        <v>17</v>
      </c>
      <c r="C2234" t="b">
        <v>1</v>
      </c>
      <c r="D2234" t="str">
        <v>リョウ</v>
      </c>
      <c r="E2234" t="str">
        <v>い（やす）</v>
      </c>
      <c r="F2234">
        <v>0</v>
      </c>
      <c r="G2234" t="str">
        <v>いやす。なおす。病気を治す。苦痛を取り除く。</v>
      </c>
      <c r="I2234">
        <v>10</v>
      </c>
      <c r="J2234">
        <v>50</v>
      </c>
      <c r="K2234">
        <v>50</v>
      </c>
      <c r="L2234">
        <v>1</v>
      </c>
    </row>
    <row r="2235">
      <c r="A2235" t="str">
        <v>齢</v>
      </c>
      <c r="B2235">
        <v>17</v>
      </c>
      <c r="C2235" t="b">
        <v>1</v>
      </c>
      <c r="D2235" t="str">
        <v>レイ</v>
      </c>
      <c r="E2235" t="str">
        <v>とし よわい</v>
      </c>
      <c r="F2235" t="str">
        <v>なか よ</v>
      </c>
      <c r="G2235" t="str">
        <v>とし。よわい。人がうまれてからの年数。</v>
      </c>
      <c r="I2235">
        <v>15</v>
      </c>
      <c r="J2235">
        <v>50</v>
      </c>
      <c r="K2235">
        <v>50</v>
      </c>
      <c r="L2235">
        <v>1</v>
      </c>
    </row>
    <row r="2236">
      <c r="A2236" t="str">
        <v>溫</v>
      </c>
      <c r="B2236">
        <v>13</v>
      </c>
      <c r="C2236" t="b">
        <v>0</v>
      </c>
      <c r="D2236" t="str">
        <v>オン ウン</v>
      </c>
      <c r="E2236" t="str">
        <v>あたた（か） あたた（かい） あたた（まる） あたた（める） たず（ねる） つつ（む） ぬく（い） ぬく（まる） ぬく（める） ぬる（い）</v>
      </c>
      <c r="F2236">
        <v>0</v>
      </c>
      <c r="G2236" t="str">
        <v>あたたか。あたたかい。あたたまる。あたためる。あたたかさ。ぬくもり。 おだやか。なごやか。やさしい。 たずねる。ならう。復習する。例：溫故知新 つつむ。包み込む。</v>
      </c>
      <c r="H2236" t="str">
        <v>#慈愛</v>
      </c>
      <c r="I2236">
        <v>40</v>
      </c>
      <c r="J2236">
        <v>50</v>
      </c>
      <c r="K2236">
        <v>75</v>
      </c>
      <c r="L2236">
        <v>0</v>
      </c>
      <c r="M2236">
        <f>VLOOKUP(A2236,[1]kanji_data!$A:$N,14,FALSE)</f>
        <v>0</v>
      </c>
    </row>
    <row r="2237">
      <c r="A2237" t="str">
        <v>塡</v>
      </c>
      <c r="B2237">
        <v>13</v>
      </c>
      <c r="C2237" t="b">
        <v>1</v>
      </c>
      <c r="D2237" t="str">
        <v>テン チン</v>
      </c>
      <c r="E2237" t="str">
        <v>うず（まる） うず（める） は（まる） は（める） ふさ（がる） ふさ（ぐ）</v>
      </c>
      <c r="F2237">
        <v>0</v>
      </c>
      <c r="G2237" t="str">
        <v>うずめる。ふさぐ。はめる。みたす。 うずまる。ふさがる。はまる。みちる。あいている部分や足りない部分がみちる。 しずめる。おさえる。＝鎮</v>
      </c>
      <c r="H2237" t="str">
        <v>#繁栄</v>
      </c>
      <c r="I2237">
        <v>10</v>
      </c>
      <c r="J2237">
        <v>50</v>
      </c>
      <c r="K2237">
        <v>50</v>
      </c>
      <c r="L2237">
        <v>1</v>
      </c>
    </row>
    <row r="2238">
      <c r="A2238" t="str">
        <v>歌</v>
      </c>
      <c r="B2238">
        <v>14</v>
      </c>
      <c r="C2238" t="b">
        <v>1</v>
      </c>
      <c r="D2238" t="str">
        <v>カ</v>
      </c>
      <c r="E2238" t="str">
        <v>うた うた（う）</v>
      </c>
      <c r="F2238">
        <v>0</v>
      </c>
      <c r="G2238" t="str">
        <v>うたう。節をつけてうたう。音楽にあわせてうたう。 うた。拍子や節をつけて歌詞を発声するもの。 詩の一体。漢詩の形式の一つ。 漢詩に対し、日本のうた。やまとうた。</v>
      </c>
      <c r="H2238" t="str">
        <v>#調和</v>
      </c>
      <c r="I2238">
        <v>90</v>
      </c>
      <c r="J2238">
        <v>50</v>
      </c>
      <c r="K2238">
        <v>70</v>
      </c>
      <c r="L2238">
        <v>0</v>
      </c>
      <c r="M2238">
        <f>VLOOKUP(A2238,[1]kanji_data!$A:$N,14,FALSE)</f>
        <v>0</v>
      </c>
    </row>
    <row r="2239">
      <c r="A2239" t="str">
        <v>語</v>
      </c>
      <c r="B2239">
        <v>14</v>
      </c>
      <c r="C2239" t="b">
        <v>1</v>
      </c>
      <c r="D2239" t="str">
        <v>ゴ ギョ</v>
      </c>
      <c r="E2239" t="str">
        <v>かた（らう） かた（る） ことば つ（げる）</v>
      </c>
      <c r="F2239" t="str">
        <v>かた こと つぐ</v>
      </c>
      <c r="G2239" t="str">
        <v>かたる。かたらう。話す。述べる。ものがたる。言う。 ことば。文句。成句。ことわざ。物語。 「論語」の略。 告げる。教える。 かたらう。親しく話し合う。仲間に引き入れる。 かたる。節をつけて読む。</v>
      </c>
      <c r="H2239" t="str">
        <v>#調和</v>
      </c>
      <c r="I2239">
        <v>90</v>
      </c>
      <c r="J2239">
        <v>65</v>
      </c>
      <c r="K2239">
        <v>55</v>
      </c>
      <c r="L2239">
        <v>0</v>
      </c>
      <c r="M2239">
        <f>VLOOKUP(A2239,[1]kanji_data!$A:$N,14,FALSE)</f>
        <v>0</v>
      </c>
    </row>
    <row r="2240">
      <c r="A2240" t="str">
        <v>擦</v>
      </c>
      <c r="B2240">
        <v>17</v>
      </c>
      <c r="C2240" t="b">
        <v>1</v>
      </c>
      <c r="D2240" t="str">
        <v>サツ</v>
      </c>
      <c r="E2240" t="str">
        <v>す（る） す（れる） かす（れる） こす（る） さす（る） なす（る）</v>
      </c>
      <c r="F2240">
        <v>0</v>
      </c>
      <c r="G2240" t="str">
        <v>する。こする。さする。こすりあわせる。 すれる。こすれる。 なする。こすってつける。なすりつける。</v>
      </c>
      <c r="I2240">
        <v>10</v>
      </c>
      <c r="J2240">
        <v>50</v>
      </c>
      <c r="K2240">
        <v>50</v>
      </c>
      <c r="L2240">
        <v>1</v>
      </c>
    </row>
    <row r="2241">
      <c r="A2241" t="str">
        <v>嚇</v>
      </c>
      <c r="B2241">
        <v>17</v>
      </c>
      <c r="C2241" t="b">
        <v>1</v>
      </c>
      <c r="D2241" t="str">
        <v>カク</v>
      </c>
      <c r="E2241" t="str">
        <v>いか（る） おど（かす） おど（す）</v>
      </c>
      <c r="F2241">
        <v>0</v>
      </c>
      <c r="G2241" t="str">
        <v>いかる。おこる。しかりつける。 おどす。おどかす。相手を恐れさせる。</v>
      </c>
      <c r="I2241">
        <v>10</v>
      </c>
      <c r="J2241">
        <v>50</v>
      </c>
      <c r="K2241">
        <v>50</v>
      </c>
      <c r="L2241">
        <v>1</v>
      </c>
    </row>
    <row r="2242">
      <c r="A2242" t="str">
        <v>聞</v>
      </c>
      <c r="B2242">
        <v>14</v>
      </c>
      <c r="C2242" t="b">
        <v>1</v>
      </c>
      <c r="D2242" t="str">
        <v>ブン モン</v>
      </c>
      <c r="E2242" t="str">
        <v>き（く） き（こえる）</v>
      </c>
      <c r="F2242" t="str">
        <v>か ひろ</v>
      </c>
      <c r="G2242" t="str">
        <v>きく。音声を耳で感じる。うけたまわる。鼻でにおいをかぐ。 きかせる。申し上げる。知らせる。 きこえ。知れわたる。名誉。名声。ほまれ。</v>
      </c>
      <c r="H2242" t="str">
        <v>#品格</v>
      </c>
      <c r="I2242">
        <v>85</v>
      </c>
      <c r="J2242">
        <v>70</v>
      </c>
      <c r="K2242">
        <v>50</v>
      </c>
      <c r="L2242">
        <v>0</v>
      </c>
      <c r="M2242">
        <f>VLOOKUP(A2242,[1]kanji_data!$A:$N,14,FALSE)</f>
        <v>0</v>
      </c>
    </row>
    <row r="2243">
      <c r="A2243" t="str">
        <v>轄</v>
      </c>
      <c r="B2243">
        <v>17</v>
      </c>
      <c r="C2243" t="b">
        <v>1</v>
      </c>
      <c r="D2243" t="str">
        <v>カツ</v>
      </c>
      <c r="E2243" t="str">
        <v>くさび とりし（まる）</v>
      </c>
      <c r="F2243">
        <v>0</v>
      </c>
      <c r="G2243" t="str">
        <v>くさび。車軸から車輪がはずれないようにするもの。 とりしまる。しめくくる。 車の轂（こしき、車輪の中央にある部品）と車軸がすれ合う音。</v>
      </c>
      <c r="I2243">
        <v>10</v>
      </c>
      <c r="J2243">
        <v>50</v>
      </c>
      <c r="K2243">
        <v>50</v>
      </c>
      <c r="L2243">
        <v>1</v>
      </c>
    </row>
    <row r="2244">
      <c r="A2244" t="str">
        <v>償</v>
      </c>
      <c r="B2244">
        <v>17</v>
      </c>
      <c r="C2244" t="b">
        <v>1</v>
      </c>
      <c r="D2244" t="str">
        <v>ショウ</v>
      </c>
      <c r="E2244" t="str">
        <v>つぐな（う）</v>
      </c>
      <c r="F2244">
        <v>0</v>
      </c>
      <c r="G2244" t="str">
        <v>つぐなう。むくいる。埋め合わせをする。 つぐない。埋め合わせ。</v>
      </c>
      <c r="I2244">
        <v>10</v>
      </c>
      <c r="J2244">
        <v>50</v>
      </c>
      <c r="K2244">
        <v>50</v>
      </c>
      <c r="L2244">
        <v>1</v>
      </c>
    </row>
    <row r="2245">
      <c r="A2245" t="str">
        <v>銀</v>
      </c>
      <c r="B2245">
        <v>14</v>
      </c>
      <c r="C2245" t="b">
        <v>1</v>
      </c>
      <c r="D2245" t="str">
        <v>ギン</v>
      </c>
      <c r="E2245" t="str">
        <v>しろがね</v>
      </c>
      <c r="F2245" t="str">
        <v>かね</v>
      </c>
      <c r="G2245" t="str">
        <v>しろがね。ぎん。金属の名。 ぎんのような色。つやのある白色。 銀の貨幣。銀貨。 将棋の駒のひとつ。銀将。 「銀行」の略。</v>
      </c>
      <c r="H2245" t="str">
        <v>#天空 #花・彩</v>
      </c>
      <c r="I2245">
        <v>90</v>
      </c>
      <c r="J2245">
        <v>25</v>
      </c>
      <c r="K2245">
        <v>100</v>
      </c>
      <c r="L2245">
        <v>0</v>
      </c>
      <c r="M2245">
        <f>VLOOKUP(A2245,[1]kanji_data!$A:$N,14,FALSE)</f>
        <v>0</v>
      </c>
    </row>
    <row r="2246">
      <c r="A2246" t="str">
        <v>礁</v>
      </c>
      <c r="B2246">
        <v>17</v>
      </c>
      <c r="C2246" t="b">
        <v>1</v>
      </c>
      <c r="D2246" t="str">
        <v>ショウ</v>
      </c>
      <c r="E2246" t="str">
        <v>かくれいわ</v>
      </c>
      <c r="F2246">
        <v>0</v>
      </c>
      <c r="G2246" t="str">
        <v>かくれいわ。水面で見え隠れする岩。</v>
      </c>
      <c r="I2246">
        <v>10</v>
      </c>
      <c r="J2246">
        <v>50</v>
      </c>
      <c r="K2246">
        <v>50</v>
      </c>
      <c r="L2246">
        <v>1</v>
      </c>
    </row>
    <row r="2247">
      <c r="A2247" t="str">
        <v>濯</v>
      </c>
      <c r="B2247">
        <v>17</v>
      </c>
      <c r="C2247" t="b">
        <v>1</v>
      </c>
      <c r="D2247" t="str">
        <v>タク</v>
      </c>
      <c r="E2247" t="str">
        <v>あら（う） すす（ぐ）</v>
      </c>
      <c r="F2247">
        <v>0</v>
      </c>
      <c r="G2247" t="str">
        <v>あらう。すすぐ。そそぐ。ゆすぐ。洗い清める。</v>
      </c>
      <c r="I2247">
        <v>10</v>
      </c>
      <c r="J2247">
        <v>50</v>
      </c>
      <c r="K2247">
        <v>50</v>
      </c>
      <c r="L2247">
        <v>1</v>
      </c>
    </row>
    <row r="2248">
      <c r="A2248" t="str">
        <v>緑</v>
      </c>
      <c r="B2248">
        <v>14</v>
      </c>
      <c r="C2248" t="b">
        <v>1</v>
      </c>
      <c r="D2248" t="str">
        <v>リョク ロク</v>
      </c>
      <c r="E2248" t="str">
        <v>みどり</v>
      </c>
      <c r="F2248" t="str">
        <v>つか つな のり</v>
      </c>
      <c r="G2248" t="str">
        <v>みどり色。青と黄の中間色。 草の名。かりやす。</v>
      </c>
      <c r="H2248" t="str">
        <v>#自然 #花・彩</v>
      </c>
      <c r="I2248">
        <v>80</v>
      </c>
      <c r="J2248">
        <v>35</v>
      </c>
      <c r="K2248">
        <v>70</v>
      </c>
      <c r="L2248">
        <v>0</v>
      </c>
      <c r="M2248">
        <f>VLOOKUP(A2248,[1]kanji_data!$A:$N,14,FALSE)</f>
        <v>0</v>
      </c>
    </row>
    <row r="2249">
      <c r="A2249" t="str">
        <v>練</v>
      </c>
      <c r="B2249">
        <v>14</v>
      </c>
      <c r="C2249" t="b">
        <v>1</v>
      </c>
      <c r="D2249" t="str">
        <v>レン</v>
      </c>
      <c r="E2249" t="str">
        <v>ね（る） ねりぎぬ</v>
      </c>
      <c r="F2249" t="str">
        <v>いさ いさむ ねり よし</v>
      </c>
      <c r="G2249" t="str">
        <v>ねる。工夫する。 ねりぎぬ。精練して柔らかくした絹。 なれる。ねれる。習熟する。反復してなれる。 喪服。一周忌のときに着る白い喪服。</v>
      </c>
      <c r="H2249" t="str">
        <v>#花・彩</v>
      </c>
      <c r="I2249">
        <v>70</v>
      </c>
      <c r="J2249">
        <v>100</v>
      </c>
      <c r="K2249">
        <v>25</v>
      </c>
      <c r="L2249">
        <v>0</v>
      </c>
      <c r="M2249">
        <f>VLOOKUP(A2249,[1]kanji_data!$A:$N,14,FALSE)</f>
        <v>0</v>
      </c>
    </row>
    <row r="2250">
      <c r="A2250" t="str">
        <v>謄</v>
      </c>
      <c r="B2250">
        <v>17</v>
      </c>
      <c r="C2250" t="b">
        <v>1</v>
      </c>
      <c r="D2250" t="str">
        <v>トウ</v>
      </c>
      <c r="E2250" t="str">
        <v>うつ（す）</v>
      </c>
      <c r="F2250">
        <v>0</v>
      </c>
      <c r="G2250" t="str">
        <v>うつす。うつし。原本をうつしたもの。例：謄本</v>
      </c>
      <c r="I2250">
        <v>10</v>
      </c>
      <c r="J2250">
        <v>50</v>
      </c>
      <c r="K2250">
        <v>50</v>
      </c>
      <c r="L2250">
        <v>1</v>
      </c>
    </row>
    <row r="2251">
      <c r="A2251" t="str">
        <v>管</v>
      </c>
      <c r="B2251">
        <v>14</v>
      </c>
      <c r="C2251" t="b">
        <v>1</v>
      </c>
      <c r="D2251" t="str">
        <v>カン</v>
      </c>
      <c r="E2251" t="str">
        <v>くだ つかさど（る） ふえ</v>
      </c>
      <c r="F2251">
        <v>0</v>
      </c>
      <c r="G2251" t="str">
        <v>ふえ。竹製の笛。吹き鳴らす楽器の総称。 筆の軸。 くだ。竹の管。細い筒状のもの。 鍵。 つかさどる。支配する。とりしまる。統べる。 かなめ。</v>
      </c>
      <c r="H2251" t="str">
        <v>#自然</v>
      </c>
      <c r="I2251">
        <v>10</v>
      </c>
      <c r="J2251">
        <v>80</v>
      </c>
      <c r="K2251">
        <v>45</v>
      </c>
      <c r="L2251">
        <v>0</v>
      </c>
      <c r="M2251">
        <f>VLOOKUP(A2251,[1]kanji_data!$A:$N,14,FALSE)</f>
        <v>0</v>
      </c>
    </row>
    <row r="2252">
      <c r="A2252" t="str">
        <v>鍵</v>
      </c>
      <c r="B2252">
        <v>17</v>
      </c>
      <c r="C2252" t="b">
        <v>1</v>
      </c>
      <c r="D2252" t="str">
        <v>ケン</v>
      </c>
      <c r="E2252" t="str">
        <v>かぎ</v>
      </c>
      <c r="F2252">
        <v>0</v>
      </c>
      <c r="G2252" t="str">
        <v>かぎ。錠前に差し込む器具。 鼎の耳輪。鼎を持ちあげるときに木を通す部分。 くさび。車のくさび。車輪が外れないようにするもの。 けん。キー。ピアノやオルガンなどの指で押す部分。 かぎ。錠前、また錠前を開閉するための道具。 かぎ。手がかり。糸口。</v>
      </c>
      <c r="I2252">
        <v>10</v>
      </c>
      <c r="J2252">
        <v>50</v>
      </c>
      <c r="K2252">
        <v>50</v>
      </c>
      <c r="L2252">
        <v>1</v>
      </c>
    </row>
    <row r="2253">
      <c r="A2253" t="str">
        <v>察</v>
      </c>
      <c r="B2253">
        <v>14</v>
      </c>
      <c r="C2253" t="b">
        <v>1</v>
      </c>
      <c r="D2253" t="str">
        <v>サツ</v>
      </c>
      <c r="E2253" t="str">
        <v>あき（らか） し（る） み（る）</v>
      </c>
      <c r="F2253">
        <v>0</v>
      </c>
      <c r="G2253" t="str">
        <v>あきらか。みる。しる。あきらかにする。よく見る。くわしく知る。くわしく調べる。 見分ける。区別する。 さっする。おしはかる。思いやる。</v>
      </c>
      <c r="H2253" t="str">
        <v>#心・志</v>
      </c>
      <c r="I2253">
        <v>10</v>
      </c>
      <c r="J2253">
        <v>70</v>
      </c>
      <c r="K2253">
        <v>50</v>
      </c>
      <c r="L2253">
        <v>0</v>
      </c>
      <c r="M2253">
        <f>VLOOKUP(A2253,[1]kanji_data!$A:$N,14,FALSE)</f>
        <v>0</v>
      </c>
    </row>
    <row r="2254">
      <c r="A2254" t="str">
        <v>種</v>
      </c>
      <c r="B2254">
        <v>14</v>
      </c>
      <c r="C2254" t="b">
        <v>1</v>
      </c>
      <c r="D2254" t="str">
        <v>シュ ショウ</v>
      </c>
      <c r="E2254" t="str">
        <v>たね う（える） くさ</v>
      </c>
      <c r="F2254">
        <v>0</v>
      </c>
      <c r="G2254" t="str">
        <v>たね。植物のたね。穀物や草木のたね。草。 血筋。血統。種族。たぐい。仲間。ともがら。 植える。種をまく。</v>
      </c>
      <c r="H2254" t="str">
        <v>#自然 #調和</v>
      </c>
      <c r="I2254">
        <v>10</v>
      </c>
      <c r="J2254">
        <v>60</v>
      </c>
      <c r="K2254">
        <v>50</v>
      </c>
      <c r="L2254">
        <v>0</v>
      </c>
      <c r="M2254">
        <f>VLOOKUP(A2254,[1]kanji_data!$A:$N,14,FALSE)</f>
        <v>0</v>
      </c>
    </row>
    <row r="2255">
      <c r="A2255" t="str">
        <v>静</v>
      </c>
      <c r="B2255">
        <v>14</v>
      </c>
      <c r="C2255" t="b">
        <v>1</v>
      </c>
      <c r="D2255" t="str">
        <v>セイ ジョウ</v>
      </c>
      <c r="E2255" t="str">
        <v>しず しず（か） しず（まる） しず（める）</v>
      </c>
      <c r="F2255" t="str">
        <v>きよ きよし しずか ちか やす やすし よし</v>
      </c>
      <c r="G2255" t="str">
        <v>しずか。じっとしている。動かない。 しずか。音がしない。 しずか。落ち着いている。 しずまる。しずめる。やすらかにする。</v>
      </c>
      <c r="H2255" t="str">
        <v>#心・志 #調和</v>
      </c>
      <c r="I2255">
        <v>80</v>
      </c>
      <c r="J2255">
        <v>40</v>
      </c>
      <c r="K2255">
        <v>80</v>
      </c>
      <c r="L2255">
        <v>0</v>
      </c>
      <c r="M2255">
        <f>VLOOKUP(A2255,[1]kanji_data!$A:$N,14,FALSE)</f>
        <v>0</v>
      </c>
    </row>
    <row r="2256">
      <c r="A2256" t="str">
        <v>説</v>
      </c>
      <c r="B2256">
        <v>14</v>
      </c>
      <c r="C2256" t="b">
        <v>1</v>
      </c>
      <c r="D2256" t="str">
        <v>セツ ゼイ エツ</v>
      </c>
      <c r="E2256" t="str">
        <v>と（く） よろこ（ぶ）</v>
      </c>
      <c r="F2256">
        <v>0</v>
      </c>
      <c r="G2256" t="str">
        <v>とく。言う。話す。述べる。さとす。教える。 意見。主張。解釈。 誓いのことば。 文体のひとつ。ものごとについて意見を述べたもの。 とく。ときすすめる。 よろこぶ。楽しむ。 従う。服従する。</v>
      </c>
      <c r="H2256" t="str">
        <v>#幸福</v>
      </c>
      <c r="I2256">
        <v>10</v>
      </c>
      <c r="J2256">
        <v>50</v>
      </c>
      <c r="K2256">
        <v>50</v>
      </c>
      <c r="L2256">
        <v>1</v>
      </c>
    </row>
    <row r="2257">
      <c r="A2257" t="str">
        <v>謎</v>
      </c>
      <c r="B2257">
        <v>17</v>
      </c>
      <c r="C2257" t="b">
        <v>1</v>
      </c>
      <c r="D2257" t="str">
        <v>ベイ メイ</v>
      </c>
      <c r="E2257" t="str">
        <v>なぞ</v>
      </c>
      <c r="F2257">
        <v>0</v>
      </c>
      <c r="G2257" t="str">
        <v>なぞ。なぞなぞ。隠語。 なぞ。正体がわからないこと。</v>
      </c>
      <c r="I2257">
        <v>10</v>
      </c>
      <c r="J2257">
        <v>50</v>
      </c>
      <c r="K2257">
        <v>50</v>
      </c>
      <c r="L2257">
        <v>1</v>
      </c>
    </row>
    <row r="2258">
      <c r="A2258" t="str">
        <v>鍋</v>
      </c>
      <c r="B2258">
        <v>17</v>
      </c>
      <c r="C2258" t="b">
        <v>1</v>
      </c>
      <c r="D2258" t="str">
        <v>カ</v>
      </c>
      <c r="E2258" t="str">
        <v>なべ</v>
      </c>
      <c r="F2258">
        <v>0</v>
      </c>
      <c r="G2258" t="str">
        <v>なべ。食物を煮たり炊いたりする道具。</v>
      </c>
      <c r="I2258">
        <v>10</v>
      </c>
      <c r="J2258">
        <v>50</v>
      </c>
      <c r="K2258">
        <v>50</v>
      </c>
      <c r="L2258">
        <v>1</v>
      </c>
    </row>
    <row r="2259">
      <c r="A2259" t="str">
        <v>藁</v>
      </c>
      <c r="B2259">
        <v>18</v>
      </c>
      <c r="C2259" t="b">
        <v>0</v>
      </c>
      <c r="D2259" t="str">
        <v>コウ</v>
      </c>
      <c r="E2259" t="str">
        <v>わら</v>
      </c>
      <c r="F2259">
        <v>0</v>
      </c>
      <c r="G2259" t="str">
        <v>わら。 文章などの下書き。＝稿 枯れる。木が枯れる。</v>
      </c>
      <c r="I2259">
        <v>10</v>
      </c>
      <c r="J2259">
        <v>50</v>
      </c>
      <c r="K2259">
        <v>50</v>
      </c>
      <c r="L2259">
        <v>1</v>
      </c>
    </row>
    <row r="2260">
      <c r="A2260" t="str">
        <v>壕</v>
      </c>
      <c r="B2260">
        <v>17</v>
      </c>
      <c r="C2260" t="b">
        <v>0</v>
      </c>
      <c r="D2260" t="str">
        <v>コウ ゴウ</v>
      </c>
      <c r="E2260" t="str">
        <v>ほり</v>
      </c>
      <c r="F2260">
        <v>0</v>
      </c>
      <c r="G2260" t="str">
        <v>ほり。外敵を防ぐために掘られた城の周りのみぞ。</v>
      </c>
      <c r="I2260">
        <v>10</v>
      </c>
      <c r="J2260">
        <v>50</v>
      </c>
      <c r="K2260">
        <v>50</v>
      </c>
      <c r="L2260">
        <v>1</v>
      </c>
    </row>
    <row r="2261">
      <c r="A2261" t="str">
        <v>鍬</v>
      </c>
      <c r="B2261">
        <v>17</v>
      </c>
      <c r="C2261" t="b">
        <v>0</v>
      </c>
      <c r="D2261" t="str">
        <v>ショウ シュウ</v>
      </c>
      <c r="E2261" t="str">
        <v>くわ すき</v>
      </c>
      <c r="F2261">
        <v>0</v>
      </c>
      <c r="G2261" t="str">
        <v>すき。土をけずる農具。 くわ。土を耕す農具。</v>
      </c>
      <c r="I2261">
        <v>10</v>
      </c>
      <c r="J2261">
        <v>50</v>
      </c>
      <c r="K2261">
        <v>50</v>
      </c>
      <c r="L2261">
        <v>1</v>
      </c>
    </row>
    <row r="2262">
      <c r="A2262" t="str">
        <v>構</v>
      </c>
      <c r="B2262">
        <v>14</v>
      </c>
      <c r="C2262" t="b">
        <v>1</v>
      </c>
      <c r="D2262" t="str">
        <v>コウ</v>
      </c>
      <c r="E2262" t="str">
        <v>かま（う） かま（える）</v>
      </c>
      <c r="F2262">
        <v>0</v>
      </c>
      <c r="G2262" t="str">
        <v>かまえる。組み立てる。組み合わせる。 かまえる。計画を立てる。 かまえる。みがまえる。 かまえ。家屋などのつくり。 かじのき。クワ科の落葉高木。 かまえ。準備。用意。 かまえる。準備をする。用意をする。 かまう。かかわる。</v>
      </c>
      <c r="H2262" t="str">
        <v>#天空 #自然</v>
      </c>
      <c r="I2262">
        <v>10</v>
      </c>
      <c r="J2262">
        <v>50</v>
      </c>
      <c r="K2262">
        <v>50</v>
      </c>
      <c r="L2262">
        <v>1</v>
      </c>
    </row>
    <row r="2263">
      <c r="A2263" t="str">
        <v>燭</v>
      </c>
      <c r="B2263">
        <v>17</v>
      </c>
      <c r="C2263" t="b">
        <v>0</v>
      </c>
      <c r="D2263" t="str">
        <v>ショク ソク</v>
      </c>
      <c r="E2263" t="str">
        <v>ともしび</v>
      </c>
      <c r="F2263">
        <v>0</v>
      </c>
      <c r="G2263" t="str">
        <v>ともしび。あかり。たいまつ。ろうそくの火。 てらす。ともしびでてらす。 しょく。電気・電灯などの光度の単位。</v>
      </c>
      <c r="I2263">
        <v>10</v>
      </c>
      <c r="J2263">
        <v>50</v>
      </c>
      <c r="K2263">
        <v>50</v>
      </c>
      <c r="L2263">
        <v>1</v>
      </c>
    </row>
    <row r="2264">
      <c r="A2264" t="str">
        <v>雑</v>
      </c>
      <c r="B2264">
        <v>14</v>
      </c>
      <c r="C2264" t="b">
        <v>1</v>
      </c>
      <c r="D2264" t="str">
        <v>ザツ ゾウ</v>
      </c>
      <c r="E2264" t="str">
        <v>ま（じる） ま（ぜる）</v>
      </c>
      <c r="F2264" t="str">
        <v>かず とも</v>
      </c>
      <c r="G2264" t="str">
        <v>まじる。まじわる。いりまじる。 みだれる。純粋でない。整っていない。 みな。ともに。一緒に。</v>
      </c>
      <c r="H2264" t="str">
        <v>#調和</v>
      </c>
      <c r="I2264">
        <v>30</v>
      </c>
      <c r="J2264">
        <v>50</v>
      </c>
      <c r="K2264">
        <v>50</v>
      </c>
      <c r="L2264">
        <v>1</v>
      </c>
    </row>
    <row r="2265">
      <c r="A2265" t="str">
        <v>瓢</v>
      </c>
      <c r="B2265">
        <v>17</v>
      </c>
      <c r="C2265" t="b">
        <v>0</v>
      </c>
      <c r="D2265" t="str">
        <v>ヒョウ</v>
      </c>
      <c r="E2265" t="str">
        <v>ひさご ふくべ</v>
      </c>
      <c r="F2265">
        <v>0</v>
      </c>
      <c r="G2265" t="str">
        <v>ひさご。ひょうたん。ふくべ。ひょうたんの果実をくりぬいて作った容器。 ひしゃく。</v>
      </c>
      <c r="I2265">
        <v>10</v>
      </c>
      <c r="J2265">
        <v>50</v>
      </c>
      <c r="K2265">
        <v>50</v>
      </c>
      <c r="L2265">
        <v>1</v>
      </c>
    </row>
    <row r="2266">
      <c r="A2266" t="str">
        <v>製</v>
      </c>
      <c r="B2266">
        <v>14</v>
      </c>
      <c r="C2266" t="b">
        <v>1</v>
      </c>
      <c r="D2266" t="str">
        <v>セイ</v>
      </c>
      <c r="E2266" t="str">
        <v>つく（る）</v>
      </c>
      <c r="F2266">
        <v>0</v>
      </c>
      <c r="G2266" t="str">
        <v>たつ。断ち切る。切りそろえる。衣服を仕立てる。 つくる。こしらえる。詩文を作る。 雨着。雨具。 衣料を数えるのに用いる助数詞。</v>
      </c>
      <c r="H2266" t="str">
        <v>#天空 #海・水</v>
      </c>
      <c r="I2266">
        <v>10</v>
      </c>
      <c r="J2266">
        <v>50</v>
      </c>
      <c r="K2266">
        <v>50</v>
      </c>
      <c r="L2266">
        <v>1</v>
      </c>
    </row>
    <row r="2267">
      <c r="A2267" t="str">
        <v>精</v>
      </c>
      <c r="B2267">
        <v>14</v>
      </c>
      <c r="C2267" t="b">
        <v>1</v>
      </c>
      <c r="D2267" t="str">
        <v>セイ ショウ</v>
      </c>
      <c r="E2267" t="str">
        <v>くわ（しい） しら（げる） もののけ</v>
      </c>
      <c r="F2267" t="str">
        <v>ただ</v>
      </c>
      <c r="G2267" t="str">
        <v>しらげる。玄米をついて白くする。 しらげよね。よくついて白くした米。 くわしい。こまかい。つぶさ。 まじりけがない。澄みきっている。 こころ。こころの働き。たましい。 生命のもと。生殖のもと。 もっぱら。ひらすら。いちずに。 もののけ。神。不思議なもの。</v>
      </c>
      <c r="H2267" t="str">
        <v>#心・志</v>
      </c>
      <c r="I2267">
        <v>70</v>
      </c>
      <c r="J2267">
        <v>65</v>
      </c>
      <c r="K2267">
        <v>60</v>
      </c>
      <c r="L2267">
        <v>0</v>
      </c>
      <c r="M2267">
        <f>VLOOKUP(A2267,[1]kanji_data!$A:$N,14,FALSE)</f>
        <v>0</v>
      </c>
    </row>
    <row r="2268">
      <c r="A2268" t="str">
        <v>瞥</v>
      </c>
      <c r="B2268">
        <v>17</v>
      </c>
      <c r="C2268" t="b">
        <v>0</v>
      </c>
      <c r="D2268" t="str">
        <v>ベツ</v>
      </c>
      <c r="E2268" t="str">
        <v>み（る）</v>
      </c>
      <c r="F2268">
        <v>0</v>
      </c>
      <c r="G2268" t="str">
        <v>見る。ちらりと見る。 ちらっとかすめる。ちらつく。</v>
      </c>
      <c r="I2268">
        <v>10</v>
      </c>
      <c r="J2268">
        <v>50</v>
      </c>
      <c r="K2268">
        <v>50</v>
      </c>
      <c r="L2268">
        <v>1</v>
      </c>
    </row>
    <row r="2269">
      <c r="A2269" t="str">
        <v>螺</v>
      </c>
      <c r="B2269">
        <v>17</v>
      </c>
      <c r="C2269" t="b">
        <v>0</v>
      </c>
      <c r="D2269" t="str">
        <v>ラ</v>
      </c>
      <c r="E2269" t="str">
        <v>つぶ にし にな ほらがい</v>
      </c>
      <c r="F2269">
        <v>0</v>
      </c>
      <c r="G2269" t="str">
        <v>にな。にし。らせん状の巻き貝。 ほら貝。また、ほら貝から作られたさかずき。 巻き貝のようにらせん状のもの。</v>
      </c>
      <c r="I2269">
        <v>10</v>
      </c>
      <c r="J2269">
        <v>50</v>
      </c>
      <c r="K2269">
        <v>50</v>
      </c>
      <c r="L2269">
        <v>1</v>
      </c>
    </row>
    <row r="2270">
      <c r="A2270" t="str">
        <v>應</v>
      </c>
      <c r="B2270">
        <v>17</v>
      </c>
      <c r="C2270" t="b">
        <v>0</v>
      </c>
      <c r="D2270" t="str">
        <v>オウ</v>
      </c>
      <c r="E2270" t="str">
        <v>こた（える） まさ（に）</v>
      </c>
      <c r="F2270">
        <v>0</v>
      </c>
      <c r="G2270" t="str">
        <v>こたえる。問いにこたえる。返事をする。 こたえる。応じる。他の働きかけに反応して行動する。 「まさに～べし」と読み、「当然～すべきである」「きっと～であろう」などの意を表す。</v>
      </c>
      <c r="I2270">
        <v>10</v>
      </c>
      <c r="J2270">
        <v>50</v>
      </c>
      <c r="K2270">
        <v>50</v>
      </c>
      <c r="L2270">
        <v>0</v>
      </c>
    </row>
    <row r="2271">
      <c r="A2271" t="str">
        <v>濕</v>
      </c>
      <c r="B2271">
        <v>17</v>
      </c>
      <c r="C2271" t="b">
        <v>0</v>
      </c>
      <c r="D2271" t="str">
        <v>シツ</v>
      </c>
      <c r="E2271" t="str">
        <v>うるお（い） うるお（す） しめ（す） しめ（る）</v>
      </c>
      <c r="F2271">
        <v>0</v>
      </c>
      <c r="G2271" t="str">
        <v>しめす。しめる。うるおす。うるおう。 じめじめしている。水気を帯びている。</v>
      </c>
      <c r="I2271">
        <v>10</v>
      </c>
      <c r="J2271">
        <v>50</v>
      </c>
      <c r="K2271">
        <v>50</v>
      </c>
      <c r="L2271">
        <v>1</v>
      </c>
    </row>
    <row r="2272">
      <c r="A2272" t="str">
        <v>縱</v>
      </c>
      <c r="B2272">
        <v>17</v>
      </c>
      <c r="C2272" t="b">
        <v>0</v>
      </c>
      <c r="D2272" t="str">
        <v>ジュウ ショウ</v>
      </c>
      <c r="E2272" t="str">
        <v>たて はな（つ） ほしいまま ゆる（す） ゆる（める） よし（んば）</v>
      </c>
      <c r="F2272">
        <v>0</v>
      </c>
      <c r="G2272" t="str">
        <v>たて。上下。また、南北の方向。 放つ。矢を発する。火をつける。つかわす。 ほしいまま。心のまま。勝手気まま。ほしいままにする。 ゆるす。みのがす。釈放する。解き放つ。 ゆるめる。ゆるむ。ゆるい。 「たとい」「よしんば」と読み、「かりに・・・としても」の意。</v>
      </c>
      <c r="I2272">
        <v>10</v>
      </c>
      <c r="J2272">
        <v>50</v>
      </c>
      <c r="K2272">
        <v>50</v>
      </c>
      <c r="L2272">
        <v>1</v>
      </c>
    </row>
    <row r="2273">
      <c r="A2273" t="str">
        <v>禪</v>
      </c>
      <c r="B2273">
        <v>17</v>
      </c>
      <c r="C2273" t="b">
        <v>0</v>
      </c>
      <c r="D2273" t="str">
        <v>ゼン セン</v>
      </c>
      <c r="E2273" t="str">
        <v>ゆず（る）</v>
      </c>
      <c r="F2273">
        <v>0</v>
      </c>
      <c r="G2273" t="str">
        <v>ゆずる。天子が位をゆずる。 天子が行う祭り。地をまつった儀式。 梵語の音訳に用いる字。</v>
      </c>
      <c r="I2273">
        <v>10</v>
      </c>
      <c r="J2273">
        <v>45</v>
      </c>
      <c r="K2273">
        <v>70</v>
      </c>
      <c r="L2273">
        <v>0</v>
      </c>
      <c r="M2273">
        <f>VLOOKUP(A2273,[1]kanji_data!$A:$N,14,FALSE)</f>
        <v>0</v>
      </c>
    </row>
    <row r="2274">
      <c r="A2274" t="str">
        <v>戲</v>
      </c>
      <c r="B2274">
        <v>17</v>
      </c>
      <c r="C2274" t="b">
        <v>0</v>
      </c>
      <c r="D2274" t="str">
        <v>ギ ゲ</v>
      </c>
      <c r="E2274" t="str">
        <v>たわむ（れる） ざ（れる） たわ（ける）</v>
      </c>
      <c r="F2274">
        <v>0</v>
      </c>
      <c r="G2274" t="str">
        <v>たわむれる。ふざける。おどける。 たわむれ。冗談。遊び。 芝居。演技。演劇。 ざれる。ふざける。 たわける。ふざけたことをする。ばかげたことをする。</v>
      </c>
      <c r="I2274">
        <v>10</v>
      </c>
      <c r="J2274">
        <v>50</v>
      </c>
      <c r="K2274">
        <v>50</v>
      </c>
      <c r="L2274">
        <v>1</v>
      </c>
    </row>
    <row r="2275">
      <c r="A2275" t="str">
        <v>徳</v>
      </c>
      <c r="B2275">
        <v>14</v>
      </c>
      <c r="C2275" t="b">
        <v>1</v>
      </c>
      <c r="D2275" t="str">
        <v>トク</v>
      </c>
      <c r="E2275">
        <v>0</v>
      </c>
      <c r="F2275" t="str">
        <v>あつ あつし さと ただし なり なる のり めぐ よし</v>
      </c>
      <c r="G2275" t="str">
        <v>人の身にそなわった品性。特に道徳的にすぐれた人格や行い。また、それを有する人。 めぐみ。恩。恩恵。 ありがたく思う。恩義を感じる。 もうけ。もうけたもの。利益。＝得</v>
      </c>
      <c r="H2275" t="str">
        <v>#品格 #心・志 #慈愛</v>
      </c>
      <c r="I2275">
        <v>100</v>
      </c>
      <c r="J2275">
        <v>80</v>
      </c>
      <c r="K2275">
        <v>55</v>
      </c>
      <c r="L2275">
        <v>0</v>
      </c>
      <c r="M2275">
        <f>VLOOKUP(A2275,[1]kanji_data!$A:$N,14,FALSE)</f>
        <v>0</v>
      </c>
    </row>
    <row r="2276">
      <c r="A2276" t="str">
        <v>複</v>
      </c>
      <c r="B2276">
        <v>14</v>
      </c>
      <c r="C2276" t="b">
        <v>1</v>
      </c>
      <c r="D2276" t="str">
        <v>フク</v>
      </c>
      <c r="E2276" t="str">
        <v>かさ（ねる）</v>
      </c>
      <c r="F2276">
        <v>0</v>
      </c>
      <c r="G2276" t="str">
        <v>かさねる。かさなる。二重になる。あるものの上にくわえる。 こみいる。こみいってるさま。 あわせ。裏地のついた着物。</v>
      </c>
      <c r="H2276" t="str">
        <v>#天空</v>
      </c>
      <c r="I2276">
        <v>10</v>
      </c>
      <c r="J2276">
        <v>50</v>
      </c>
      <c r="K2276">
        <v>50</v>
      </c>
      <c r="L2276">
        <v>1</v>
      </c>
    </row>
    <row r="2277">
      <c r="A2277" t="str">
        <v>綿</v>
      </c>
      <c r="B2277">
        <v>14</v>
      </c>
      <c r="C2277" t="b">
        <v>1</v>
      </c>
      <c r="D2277" t="str">
        <v>メン ベン</v>
      </c>
      <c r="E2277" t="str">
        <v>わた つら（なる）</v>
      </c>
      <c r="F2277">
        <v>0</v>
      </c>
      <c r="G2277" t="str">
        <v>わた。まわた。 つらなる。長くつらねる。絶えない。 わたる。はびこる。 小さい。こまかい。</v>
      </c>
      <c r="H2277" t="str">
        <v>#健康</v>
      </c>
      <c r="I2277">
        <v>10</v>
      </c>
      <c r="J2277">
        <v>50</v>
      </c>
      <c r="K2277">
        <v>50</v>
      </c>
      <c r="L2277">
        <v>0</v>
      </c>
      <c r="M2277">
        <f>VLOOKUP(A2277,[1]kanji_data!$A:$N,14,FALSE)</f>
        <v>0</v>
      </c>
    </row>
    <row r="2278">
      <c r="A2278" t="str">
        <v>領</v>
      </c>
      <c r="B2278">
        <v>14</v>
      </c>
      <c r="C2278" t="b">
        <v>1</v>
      </c>
      <c r="D2278" t="str">
        <v>リョウ</v>
      </c>
      <c r="E2278" t="str">
        <v>うなじ えり う（ける） おさ（める） かしら かなめ</v>
      </c>
      <c r="F2278" t="str">
        <v>おさ さとる むね</v>
      </c>
      <c r="G2278" t="str">
        <v>くび。うなじ。首すじ。 えり。衣服のえり。首回りの部分。 かなめ。大切なところ。要所。要点。 おさめる。すべおさめる。支配する。 うける。うけとる。ひきうける。 ひきいる。ひきつれる。 かしら。おさ。まとめおさめる者。 衣類を数えることば。</v>
      </c>
      <c r="H2278" t="str">
        <v>#品格</v>
      </c>
      <c r="I2278">
        <v>40</v>
      </c>
      <c r="J2278">
        <v>80</v>
      </c>
      <c r="K2278">
        <v>45</v>
      </c>
      <c r="L2278">
        <v>0</v>
      </c>
      <c r="M2278">
        <f>VLOOKUP(A2278,[1]kanji_data!$A:$N,14,FALSE)</f>
        <v>0</v>
      </c>
    </row>
    <row r="2279">
      <c r="A2279" t="str">
        <v>檢</v>
      </c>
      <c r="B2279">
        <v>17</v>
      </c>
      <c r="C2279" t="b">
        <v>0</v>
      </c>
      <c r="D2279" t="str">
        <v>ケン</v>
      </c>
      <c r="E2279" t="str">
        <v>あらた（める） しら（べる）</v>
      </c>
      <c r="F2279">
        <v>0</v>
      </c>
      <c r="G2279" t="str">
        <v>しらべる。あらためる。良し悪しを調べる。とり調べる。 文章などを封じて印をおす。封印。 取り締まる。引き締める。締めくくる。</v>
      </c>
      <c r="I2279">
        <v>10</v>
      </c>
      <c r="J2279">
        <v>50</v>
      </c>
      <c r="K2279">
        <v>50</v>
      </c>
      <c r="L2279">
        <v>1</v>
      </c>
    </row>
    <row r="2280">
      <c r="A2280" t="str">
        <v>謠</v>
      </c>
      <c r="B2280">
        <v>17</v>
      </c>
      <c r="C2280" t="b">
        <v>0</v>
      </c>
      <c r="D2280" t="str">
        <v>ヨウ</v>
      </c>
      <c r="E2280" t="str">
        <v>うたい うた（う）</v>
      </c>
      <c r="F2280">
        <v>0</v>
      </c>
      <c r="G2280" t="str">
        <v>うたう。楽器なしでうたう。 ひなうた。はやりうた。 うわさ。流言。風説。 そしる。悪口をいう。 うたい。謡曲。</v>
      </c>
      <c r="I2280">
        <v>10</v>
      </c>
      <c r="J2280">
        <v>50</v>
      </c>
      <c r="K2280">
        <v>50</v>
      </c>
      <c r="L2280">
        <v>0</v>
      </c>
    </row>
    <row r="2281">
      <c r="A2281" t="str">
        <v>職</v>
      </c>
      <c r="B2281">
        <v>18</v>
      </c>
      <c r="C2281" t="b">
        <v>1</v>
      </c>
      <c r="D2281" t="str">
        <v>ショク シキ トク</v>
      </c>
      <c r="E2281" t="str">
        <v>つかさ つかさど（る） つと（め）</v>
      </c>
      <c r="F2281">
        <v>0</v>
      </c>
      <c r="G2281" t="str">
        <v>つかさ。役目。 つかさどる。責任を持つ。 つとめ。仕事。任務。 もっぱら。主に。主として。もとより。 税。みつぎもの。 しるす。 くい。</v>
      </c>
      <c r="I2281">
        <v>10</v>
      </c>
      <c r="J2281">
        <v>50</v>
      </c>
      <c r="K2281">
        <v>50</v>
      </c>
      <c r="L2281">
        <v>1</v>
      </c>
    </row>
    <row r="2282">
      <c r="A2282" t="str">
        <v>穀</v>
      </c>
      <c r="B2282">
        <v>14</v>
      </c>
      <c r="C2282" t="b">
        <v>1</v>
      </c>
      <c r="D2282" t="str">
        <v>コク</v>
      </c>
      <c r="E2282">
        <v>0</v>
      </c>
      <c r="F2282">
        <v>0</v>
      </c>
      <c r="G2282" t="str">
        <v>こくもつ。人の主食となる、米・麦など。五穀。 よい。よくする。めでたい。 生きる。物を食べて生きる。生きながらえる。 養う。食べ物を与える。</v>
      </c>
      <c r="H2282" t="str">
        <v>#幸福</v>
      </c>
      <c r="I2282">
        <v>10</v>
      </c>
      <c r="J2282">
        <v>55</v>
      </c>
      <c r="K2282">
        <v>55</v>
      </c>
      <c r="L2282">
        <v>0</v>
      </c>
      <c r="M2282">
        <f>VLOOKUP(A2282,[1]kanji_data!$A:$N,14,FALSE)</f>
        <v>0</v>
      </c>
    </row>
    <row r="2283">
      <c r="A2283" t="str">
        <v>鎖</v>
      </c>
      <c r="B2283">
        <v>18</v>
      </c>
      <c r="C2283" t="b">
        <v>1</v>
      </c>
      <c r="D2283" t="str">
        <v>サ</v>
      </c>
      <c r="E2283" t="str">
        <v>くさり さ（す） とざ（す）</v>
      </c>
      <c r="F2283">
        <v>0</v>
      </c>
      <c r="G2283" t="str">
        <v>くさり。金属の輪をつなぎ合わせたもの。 つなぐ。つながる。また、つないだもの。 とざす。さす。とじる。しめる。 かぎ。戸締りするためのかぎ。錠前。</v>
      </c>
      <c r="I2283">
        <v>10</v>
      </c>
      <c r="J2283">
        <v>50</v>
      </c>
      <c r="K2283">
        <v>50</v>
      </c>
      <c r="L2283">
        <v>1</v>
      </c>
    </row>
    <row r="2284">
      <c r="A2284" t="str">
        <v>闘</v>
      </c>
      <c r="B2284">
        <v>18</v>
      </c>
      <c r="C2284" t="b">
        <v>1</v>
      </c>
      <c r="D2284" t="str">
        <v>トウ</v>
      </c>
      <c r="E2284" t="str">
        <v>たたか（う） たたか（い）</v>
      </c>
      <c r="F2284">
        <v>0</v>
      </c>
      <c r="G2284" t="str">
        <v>たたかう。切り合いや撃ち合いをする。 たたかう。優劣をきそう。 たたかい。あらそい。いくさ。けんか。</v>
      </c>
      <c r="I2284">
        <v>10</v>
      </c>
      <c r="J2284">
        <v>50</v>
      </c>
      <c r="K2284">
        <v>50</v>
      </c>
      <c r="L2284">
        <v>1</v>
      </c>
    </row>
    <row r="2285">
      <c r="A2285" t="str">
        <v>穫</v>
      </c>
      <c r="B2285">
        <v>18</v>
      </c>
      <c r="C2285" t="b">
        <v>1</v>
      </c>
      <c r="D2285" t="str">
        <v>カク</v>
      </c>
      <c r="E2285" t="str">
        <v>か（る） とりい（れる）</v>
      </c>
      <c r="F2285">
        <v>0</v>
      </c>
      <c r="G2285" t="str">
        <v>かる。かりとる。穀物をかりとる。 とりいれる。おさめる。手中におさめる。</v>
      </c>
      <c r="I2285">
        <v>10</v>
      </c>
      <c r="J2285">
        <v>50</v>
      </c>
      <c r="K2285">
        <v>50</v>
      </c>
      <c r="L2285">
        <v>1</v>
      </c>
    </row>
    <row r="2286">
      <c r="A2286" t="str">
        <v>騎</v>
      </c>
      <c r="B2286">
        <v>18</v>
      </c>
      <c r="C2286" t="b">
        <v>1</v>
      </c>
      <c r="D2286" t="str">
        <v>キ</v>
      </c>
      <c r="E2286" t="str">
        <v>の（る）</v>
      </c>
      <c r="F2286" t="str">
        <v>のり</v>
      </c>
      <c r="G2286" t="str">
        <v>のる。馬にのる。馬にまたがる。転じて、物にまたがる。 乗馬。乗用の馬。 馬に乗った兵。また、それを数えることば。</v>
      </c>
      <c r="I2286">
        <v>15</v>
      </c>
      <c r="J2286">
        <v>85</v>
      </c>
      <c r="K2286">
        <v>30</v>
      </c>
      <c r="L2286">
        <v>0</v>
      </c>
      <c r="M2286">
        <f>VLOOKUP(A2286,[1]kanji_data!$A:$N,14,FALSE)</f>
        <v>0</v>
      </c>
    </row>
    <row r="2287">
      <c r="A2287" t="str">
        <v>繕</v>
      </c>
      <c r="B2287">
        <v>18</v>
      </c>
      <c r="C2287" t="b">
        <v>1</v>
      </c>
      <c r="D2287" t="str">
        <v>ゼン セン</v>
      </c>
      <c r="E2287" t="str">
        <v>つくろ（う）</v>
      </c>
      <c r="F2287" t="str">
        <v>おさむ つよし よし</v>
      </c>
      <c r="G2287" t="str">
        <v>つくろう。なおす。修復する。 おさめる。 そなえる。 書き写す。 強くする。</v>
      </c>
      <c r="I2287">
        <v>15</v>
      </c>
      <c r="J2287">
        <v>50</v>
      </c>
      <c r="K2287">
        <v>50</v>
      </c>
      <c r="L2287">
        <v>1</v>
      </c>
    </row>
    <row r="2288">
      <c r="A2288" t="str">
        <v>暮</v>
      </c>
      <c r="B2288">
        <v>14</v>
      </c>
      <c r="C2288" t="b">
        <v>1</v>
      </c>
      <c r="D2288" t="str">
        <v>ボ</v>
      </c>
      <c r="E2288" t="str">
        <v>く（らす） く（れる）</v>
      </c>
      <c r="F2288">
        <v>0</v>
      </c>
      <c r="G2288" t="str">
        <v>くれる。日がくれる。日がしずむ。 くれる。年月・季節・時期などが終わりに近づく。 くれ。夕ぐれ。また、季節の終わり。 くらす。くらし。日々を過ごす。生活する。</v>
      </c>
      <c r="H2288" t="str">
        <v>#天空</v>
      </c>
      <c r="I2288">
        <v>10</v>
      </c>
      <c r="J2288">
        <v>50</v>
      </c>
      <c r="K2288">
        <v>50</v>
      </c>
      <c r="L2288">
        <v>1</v>
      </c>
    </row>
    <row r="2289">
      <c r="A2289" t="str">
        <v>癖</v>
      </c>
      <c r="B2289">
        <v>18</v>
      </c>
      <c r="C2289" t="b">
        <v>1</v>
      </c>
      <c r="D2289" t="str">
        <v>ヘキ</v>
      </c>
      <c r="E2289" t="str">
        <v>くせ</v>
      </c>
      <c r="F2289">
        <v>0</v>
      </c>
      <c r="G2289" t="str">
        <v>くせ。人の習性。人がそれぞれに持つ好みや性質。 腹部にしこりのできる病気。消化不良。</v>
      </c>
      <c r="I2289">
        <v>10</v>
      </c>
      <c r="J2289">
        <v>50</v>
      </c>
      <c r="K2289">
        <v>50</v>
      </c>
      <c r="L2289">
        <v>1</v>
      </c>
    </row>
    <row r="2290">
      <c r="A2290" t="str">
        <v>維</v>
      </c>
      <c r="B2290">
        <v>14</v>
      </c>
      <c r="C2290" t="b">
        <v>1</v>
      </c>
      <c r="D2290" t="str">
        <v>イ</v>
      </c>
      <c r="E2290" t="str">
        <v>これ つな（ぐ）</v>
      </c>
      <c r="F2290" t="str">
        <v>すみ ただ たもつ</v>
      </c>
      <c r="G2290" t="str">
        <v>つなぐ。支える。しばる。結ぶ。たもつ。 つな。大づな。物をつりさげるつな。 すじ。糸。 「これ」と読み、あとに続く語を強調する意。</v>
      </c>
      <c r="H2290" t="str">
        <v>#品格 #調和</v>
      </c>
      <c r="I2290">
        <v>95</v>
      </c>
      <c r="J2290">
        <v>55</v>
      </c>
      <c r="K2290">
        <v>55</v>
      </c>
      <c r="L2290">
        <v>0</v>
      </c>
      <c r="M2290">
        <f>VLOOKUP(A2290,[1]kanji_data!$A:$N,14,FALSE)</f>
        <v>0</v>
      </c>
    </row>
    <row r="2291">
      <c r="A2291" t="str">
        <v>隠</v>
      </c>
      <c r="B2291">
        <v>14</v>
      </c>
      <c r="C2291" t="b">
        <v>1</v>
      </c>
      <c r="D2291" t="str">
        <v>イン オン</v>
      </c>
      <c r="E2291" t="str">
        <v>かく（す） かく（れる）</v>
      </c>
      <c r="F2291">
        <v>0</v>
      </c>
      <c r="G2291" t="str">
        <v>かくす。おおいかくす。見えないようにする。知られないようにする。 かくれる。ひそむ。身をかくす。 いたむ。あわれむ。心配する。 よる。よりかかる。もたれる。</v>
      </c>
      <c r="H2291" t="str">
        <v>#慈愛</v>
      </c>
      <c r="I2291">
        <v>10</v>
      </c>
      <c r="J2291">
        <v>50</v>
      </c>
      <c r="K2291">
        <v>50</v>
      </c>
      <c r="L2291">
        <v>1</v>
      </c>
    </row>
    <row r="2292">
      <c r="A2292" t="str">
        <v>翻</v>
      </c>
      <c r="B2292">
        <v>18</v>
      </c>
      <c r="C2292" t="b">
        <v>1</v>
      </c>
      <c r="D2292" t="str">
        <v>ホン ハン</v>
      </c>
      <c r="E2292" t="str">
        <v>ひるがえ（す） ひるがえ（る）</v>
      </c>
      <c r="F2292">
        <v>0</v>
      </c>
      <c r="G2292" t="str">
        <v>ひるがえす。ひるがえる。羽をひるがえして飛ぶ。 ひっくり返す。反対にする。裏返す。 ある国のことばを別の国のことばに直す。</v>
      </c>
      <c r="I2292">
        <v>10</v>
      </c>
      <c r="J2292">
        <v>50</v>
      </c>
      <c r="K2292">
        <v>50</v>
      </c>
      <c r="L2292">
        <v>1</v>
      </c>
    </row>
    <row r="2293">
      <c r="A2293" t="str">
        <v>駆</v>
      </c>
      <c r="B2293">
        <v>14</v>
      </c>
      <c r="C2293" t="b">
        <v>1</v>
      </c>
      <c r="D2293" t="str">
        <v>ク</v>
      </c>
      <c r="E2293" t="str">
        <v>か（ける） か（る） お（う）</v>
      </c>
      <c r="F2293" t="str">
        <v>かけ かける</v>
      </c>
      <c r="G2293" t="str">
        <v>かける。走る。馬に乗って走る。 かる。馬にむちを打って走らせる。 かる。おう。追い立てる。 せまる。しいる。強要する。</v>
      </c>
      <c r="H2293" t="str">
        <v>#天空</v>
      </c>
      <c r="I2293">
        <v>90</v>
      </c>
      <c r="J2293">
        <v>85</v>
      </c>
      <c r="K2293">
        <v>35</v>
      </c>
      <c r="L2293">
        <v>0</v>
      </c>
      <c r="M2293">
        <f>VLOOKUP(A2293,[1]kanji_data!$A:$N,14,FALSE)</f>
        <v>0</v>
      </c>
    </row>
    <row r="2294">
      <c r="A2294" t="str">
        <v>豪</v>
      </c>
      <c r="B2294">
        <v>14</v>
      </c>
      <c r="C2294" t="b">
        <v>1</v>
      </c>
      <c r="D2294" t="str">
        <v>ゴウ コウ</v>
      </c>
      <c r="E2294" t="str">
        <v>えら（い） つよ（い）</v>
      </c>
      <c r="F2294" t="str">
        <v>おさ かた かつ すぐる たか たかし たけ たけき たけし たける つよ つよし とし ひで</v>
      </c>
      <c r="G2294" t="str">
        <v>すぐれる。ひいでる。能力などが人より勝っている。 つよい。たけだけしい。勇ましい。 率いる人。おさ。かしら。また、率いる。 おとこだて。 財産や勢力のある。 金持ち。貴人。 一本の毛。ごくわずか。 荒い毛。 やまあらし。野獣の名。 豪州。オーストラリアのこと。</v>
      </c>
      <c r="H2294" t="str">
        <v>#勇気 #品格 #知性 #繁栄 #自然</v>
      </c>
      <c r="I2294">
        <v>100</v>
      </c>
      <c r="J2294">
        <v>100</v>
      </c>
      <c r="K2294">
        <v>30</v>
      </c>
      <c r="L2294">
        <v>0</v>
      </c>
      <c r="M2294">
        <f>VLOOKUP(A2294,[1]kanji_data!$A:$N,14,FALSE)</f>
        <v>0</v>
      </c>
    </row>
    <row r="2295">
      <c r="A2295" t="str">
        <v>雌</v>
      </c>
      <c r="B2295">
        <v>14</v>
      </c>
      <c r="C2295" t="b">
        <v>1</v>
      </c>
      <c r="D2295" t="str">
        <v>シ</v>
      </c>
      <c r="E2295" t="str">
        <v>め めす めん</v>
      </c>
      <c r="F2295">
        <v>0</v>
      </c>
      <c r="G2295" t="str">
        <v>め。めす。動物のめす。植物のめす。 よわい。弱々しい。力のない。</v>
      </c>
      <c r="H2295" t="str">
        <v>#自然</v>
      </c>
      <c r="I2295">
        <v>10</v>
      </c>
      <c r="J2295">
        <v>50</v>
      </c>
      <c r="K2295">
        <v>50</v>
      </c>
      <c r="L2295">
        <v>1</v>
      </c>
    </row>
    <row r="2296">
      <c r="A2296" t="str">
        <v>糧</v>
      </c>
      <c r="B2296">
        <v>18</v>
      </c>
      <c r="C2296" t="b">
        <v>1</v>
      </c>
      <c r="D2296" t="str">
        <v>リョウ ロウ</v>
      </c>
      <c r="E2296" t="str">
        <v>かて</v>
      </c>
      <c r="F2296">
        <v>0</v>
      </c>
      <c r="G2296" t="str">
        <v>かて。食べ物。食料。旅行や行軍の際の食料。 年貢。租税。年貢としての穀類。</v>
      </c>
      <c r="I2296">
        <v>10</v>
      </c>
      <c r="J2296">
        <v>50</v>
      </c>
      <c r="K2296">
        <v>50</v>
      </c>
      <c r="L2296">
        <v>1</v>
      </c>
    </row>
    <row r="2297">
      <c r="A2297" t="str">
        <v>端</v>
      </c>
      <c r="B2297">
        <v>14</v>
      </c>
      <c r="C2297" t="b">
        <v>1</v>
      </c>
      <c r="D2297" t="str">
        <v>タン</v>
      </c>
      <c r="E2297" t="str">
        <v>はし はた は ただ（しい） はした はじ（め） はな</v>
      </c>
      <c r="F2297">
        <v>0</v>
      </c>
      <c r="G2297" t="str">
        <v>はし。はじ。はた。へり。すえ。ふち。 ただしい。正直。まっすぐ。きちんとしている。 はした。はんぱ。 はじめ。おこり。きっかけ。糸口。きざし。もと。 たん。布地の長さの単位。鯨尺で二丈八尺。</v>
      </c>
      <c r="H2297" t="str">
        <v>#品格</v>
      </c>
      <c r="I2297">
        <v>10</v>
      </c>
      <c r="J2297">
        <v>60</v>
      </c>
      <c r="K2297">
        <v>70</v>
      </c>
      <c r="L2297">
        <v>0</v>
      </c>
      <c r="M2297">
        <f>VLOOKUP(A2297,[1]kanji_data!$A:$N,14,FALSE)</f>
        <v>0</v>
      </c>
    </row>
    <row r="2298">
      <c r="A2298" t="str">
        <v>徴</v>
      </c>
      <c r="B2298">
        <v>14</v>
      </c>
      <c r="C2298" t="b">
        <v>1</v>
      </c>
      <c r="D2298" t="str">
        <v>チョウ チ</v>
      </c>
      <c r="E2298" t="str">
        <v>しるし め（す）</v>
      </c>
      <c r="F2298">
        <v>0</v>
      </c>
      <c r="G2298" t="str">
        <v>めす。呼び出す。呼びよせる。 もとめる。要求する。取り立てる。 しるし。あかし。証拠。 きざし。兆候。 あらわれる。あらわす。表面にでてくる。あきらかになる。 五音「宮・商・角・徴・羽」のひとつ。</v>
      </c>
      <c r="H2298" t="str">
        <v>#天空</v>
      </c>
      <c r="I2298">
        <v>10</v>
      </c>
      <c r="J2298">
        <v>55</v>
      </c>
      <c r="K2298">
        <v>55</v>
      </c>
      <c r="L2298">
        <v>0</v>
      </c>
      <c r="M2298">
        <f>VLOOKUP(A2298,[1]kanji_data!$A:$N,14,FALSE)</f>
        <v>0</v>
      </c>
    </row>
    <row r="2299">
      <c r="A2299" t="str">
        <v>懲</v>
      </c>
      <c r="B2299">
        <v>18</v>
      </c>
      <c r="C2299" t="b">
        <v>1</v>
      </c>
      <c r="D2299" t="str">
        <v>チョウ</v>
      </c>
      <c r="E2299" t="str">
        <v>こ（らしめる） こ（らす） こ（りる）</v>
      </c>
      <c r="F2299">
        <v>0</v>
      </c>
      <c r="G2299" t="str">
        <v>こらす。こらしめる。制裁を加えたりして、あやまちを繰り返さないようにさせる。 こりる。こりごりする。あやまちを後悔して、二度としたくないと思う。</v>
      </c>
      <c r="I2299">
        <v>10</v>
      </c>
      <c r="J2299">
        <v>50</v>
      </c>
      <c r="K2299">
        <v>50</v>
      </c>
      <c r="L2299">
        <v>1</v>
      </c>
    </row>
    <row r="2300">
      <c r="A2300" t="str">
        <v>癒</v>
      </c>
      <c r="B2300">
        <v>18</v>
      </c>
      <c r="C2300" t="b">
        <v>1</v>
      </c>
      <c r="D2300" t="str">
        <v>ユ</v>
      </c>
      <c r="E2300" t="str">
        <v>い（える） い（やす）</v>
      </c>
      <c r="F2300">
        <v>0</v>
      </c>
      <c r="G2300" t="str">
        <v>いえる。いやす。なおす。病気が治る。</v>
      </c>
      <c r="I2300">
        <v>10</v>
      </c>
      <c r="J2300">
        <v>50</v>
      </c>
      <c r="K2300">
        <v>50</v>
      </c>
      <c r="L2300">
        <v>1</v>
      </c>
    </row>
    <row r="2301">
      <c r="A2301" t="str">
        <v>稲</v>
      </c>
      <c r="B2301">
        <v>14</v>
      </c>
      <c r="C2301" t="b">
        <v>1</v>
      </c>
      <c r="D2301" t="str">
        <v>トウ</v>
      </c>
      <c r="E2301" t="str">
        <v>いな いね</v>
      </c>
      <c r="F2301">
        <v>0</v>
      </c>
      <c r="G2301" t="str">
        <v>いな。いね。五穀の一つ。</v>
      </c>
      <c r="H2301" t="str">
        <v>#繁栄 #自然</v>
      </c>
      <c r="I2301">
        <v>10</v>
      </c>
      <c r="J2301">
        <v>50</v>
      </c>
      <c r="K2301">
        <v>55</v>
      </c>
      <c r="L2301">
        <v>0</v>
      </c>
      <c r="M2301">
        <f>VLOOKUP(A2301,[1]kanji_data!$A:$N,14,FALSE)</f>
        <v>0</v>
      </c>
    </row>
    <row r="2302">
      <c r="A2302" t="str">
        <v>鎌</v>
      </c>
      <c r="B2302">
        <v>18</v>
      </c>
      <c r="C2302" t="b">
        <v>1</v>
      </c>
      <c r="D2302" t="str">
        <v>レン</v>
      </c>
      <c r="E2302" t="str">
        <v>かま</v>
      </c>
      <c r="F2302" t="str">
        <v>かね</v>
      </c>
      <c r="G2302" t="str">
        <v>かま。草を刈るための農具。</v>
      </c>
      <c r="I2302">
        <v>15</v>
      </c>
      <c r="J2302">
        <v>50</v>
      </c>
      <c r="K2302">
        <v>50</v>
      </c>
      <c r="L2302">
        <v>1</v>
      </c>
    </row>
    <row r="2303">
      <c r="A2303" t="str">
        <v>襖</v>
      </c>
      <c r="B2303">
        <v>18</v>
      </c>
      <c r="C2303" t="b">
        <v>0</v>
      </c>
      <c r="D2303" t="str">
        <v>オウ</v>
      </c>
      <c r="E2303" t="str">
        <v>あお ふすま わたいれ</v>
      </c>
      <c r="F2303">
        <v>0</v>
      </c>
      <c r="G2303" t="str">
        <v>わたいれ。上着。 あお。両脇の開いた衣服。 ふすま。からかみ。</v>
      </c>
      <c r="I2303">
        <v>10</v>
      </c>
      <c r="J2303">
        <v>50</v>
      </c>
      <c r="K2303">
        <v>50</v>
      </c>
      <c r="L2303">
        <v>1</v>
      </c>
    </row>
    <row r="2304">
      <c r="A2304" t="str">
        <v>蹟</v>
      </c>
      <c r="B2304">
        <v>18</v>
      </c>
      <c r="C2304" t="b">
        <v>0</v>
      </c>
      <c r="D2304" t="str">
        <v>シャク セキ</v>
      </c>
      <c r="E2304" t="str">
        <v>あと</v>
      </c>
      <c r="F2304">
        <v>0</v>
      </c>
      <c r="G2304" t="str">
        <v>あと。あしあと。あとかた。＝跡・迹 あとをつける。あとをたどる。＝跡・迹 とどまる。 ふむ。あしあとをふんでいく。</v>
      </c>
      <c r="I2304">
        <v>10</v>
      </c>
      <c r="J2304">
        <v>50</v>
      </c>
      <c r="K2304">
        <v>50</v>
      </c>
      <c r="L2304">
        <v>1</v>
      </c>
    </row>
    <row r="2305">
      <c r="A2305" t="str">
        <v>雛</v>
      </c>
      <c r="B2305">
        <v>18</v>
      </c>
      <c r="C2305" t="b">
        <v>0</v>
      </c>
      <c r="D2305" t="str">
        <v>ス ジュ スウ</v>
      </c>
      <c r="E2305" t="str">
        <v>ひな ひよこ</v>
      </c>
      <c r="F2305">
        <v>0</v>
      </c>
      <c r="G2305" t="str">
        <v>ひな。ひよこ。ひな鳥。鳥の子。 幼いこども。幼児。 ひな。ひな人形。</v>
      </c>
      <c r="I2305">
        <v>10</v>
      </c>
      <c r="J2305">
        <v>50</v>
      </c>
      <c r="K2305">
        <v>50</v>
      </c>
      <c r="L2305">
        <v>1</v>
      </c>
    </row>
    <row r="2306">
      <c r="A2306" t="str">
        <v>慢</v>
      </c>
      <c r="B2306">
        <v>14</v>
      </c>
      <c r="C2306" t="b">
        <v>1</v>
      </c>
      <c r="D2306" t="str">
        <v>マン バン</v>
      </c>
      <c r="E2306" t="str">
        <v>あなど（る） おこた（る） おご（る）</v>
      </c>
      <c r="F2306">
        <v>0</v>
      </c>
      <c r="G2306" t="str">
        <v>おこたる。なまける。いいかげんにする。 あなどる。軽くみる。見下す。 おごる。おごりたかぶる。思い上がる。 ゆるい。ゆるやか。ゆっくり。 おそい。だらだらと長引く。</v>
      </c>
      <c r="H2306" t="str">
        <v>#心・志 #繁栄</v>
      </c>
      <c r="I2306">
        <v>10</v>
      </c>
      <c r="J2306">
        <v>50</v>
      </c>
      <c r="K2306">
        <v>50</v>
      </c>
      <c r="L2306">
        <v>1</v>
      </c>
    </row>
    <row r="2307">
      <c r="A2307" t="str">
        <v>叢</v>
      </c>
      <c r="B2307">
        <v>18</v>
      </c>
      <c r="C2307" t="b">
        <v>0</v>
      </c>
      <c r="D2307" t="str">
        <v>ソウ</v>
      </c>
      <c r="E2307" t="str">
        <v>くさむら むら（がる）</v>
      </c>
      <c r="F2307" t="str">
        <v>しげ むら</v>
      </c>
      <c r="G2307" t="str">
        <v>くさむら。草がむらがって生えている所。 むらがる。一ヶ所にあつまる。</v>
      </c>
      <c r="I2307">
        <v>15</v>
      </c>
      <c r="J2307">
        <v>50</v>
      </c>
      <c r="K2307">
        <v>50</v>
      </c>
      <c r="L2307">
        <v>1</v>
      </c>
    </row>
    <row r="2308">
      <c r="A2308" t="str">
        <v>踊</v>
      </c>
      <c r="B2308">
        <v>14</v>
      </c>
      <c r="C2308" t="b">
        <v>1</v>
      </c>
      <c r="D2308" t="str">
        <v>ヨウ</v>
      </c>
      <c r="E2308" t="str">
        <v>おど（り） おど（る）</v>
      </c>
      <c r="F2308">
        <v>0</v>
      </c>
      <c r="G2308" t="str">
        <v>おどる。とびあがる。はねあがる。はねまわる。 葬式のときに悲しんでおどる礼。 あがる。のぼる。 足きりの刑を受けた者の履物。 あらかじめ。 おどる。おどり。音楽に合わせて舞う。ダンス。</v>
      </c>
      <c r="H2308" t="str">
        <v>#品格 #繁栄</v>
      </c>
      <c r="I2308">
        <v>10</v>
      </c>
      <c r="J2308">
        <v>85</v>
      </c>
      <c r="K2308">
        <v>30</v>
      </c>
      <c r="L2308">
        <v>1</v>
      </c>
    </row>
    <row r="2309">
      <c r="A2309" t="str">
        <v>暦</v>
      </c>
      <c r="B2309">
        <v>14</v>
      </c>
      <c r="C2309" t="b">
        <v>1</v>
      </c>
      <c r="D2309" t="str">
        <v>レキ リャク</v>
      </c>
      <c r="E2309" t="str">
        <v>こよみ</v>
      </c>
      <c r="F2309">
        <v>0</v>
      </c>
      <c r="G2309" t="str">
        <v>こよみ。天体の運行をもとに、季節や月日などを定める方法。また、それを記したもの。 めぐりあわせ。まわりあわせ。運命。</v>
      </c>
      <c r="H2309" t="str">
        <v>#天空</v>
      </c>
      <c r="I2309">
        <v>10</v>
      </c>
      <c r="J2309">
        <v>55</v>
      </c>
      <c r="K2309">
        <v>55</v>
      </c>
      <c r="L2309">
        <v>0</v>
      </c>
      <c r="M2309">
        <f>VLOOKUP(A2309,[1]kanji_data!$A:$N,14,FALSE)</f>
        <v>0</v>
      </c>
    </row>
    <row r="2310">
      <c r="A2310" t="str">
        <v>儲</v>
      </c>
      <c r="B2310">
        <v>18</v>
      </c>
      <c r="C2310" t="b">
        <v>0</v>
      </c>
      <c r="D2310" t="str">
        <v>チョ</v>
      </c>
      <c r="E2310" t="str">
        <v>そえ たくわ（える） もう（け） もう（ける）</v>
      </c>
      <c r="F2310">
        <v>0</v>
      </c>
      <c r="G2310" t="str">
        <v>そえ。控え。 たくわえる。貯める。そなえる。 もうけのきみ。跡継ぎ。君主の地位を継承する人。皇太子。 もうけ。もうける。利益。利益を得る。得をする。</v>
      </c>
      <c r="I2310">
        <v>10</v>
      </c>
      <c r="J2310">
        <v>50</v>
      </c>
      <c r="K2310">
        <v>50</v>
      </c>
      <c r="L2310">
        <v>1</v>
      </c>
    </row>
    <row r="2311">
      <c r="A2311" t="str">
        <v>鵜</v>
      </c>
      <c r="B2311">
        <v>18</v>
      </c>
      <c r="C2311" t="b">
        <v>0</v>
      </c>
      <c r="D2311" t="str">
        <v>テイ</v>
      </c>
      <c r="E2311" t="str">
        <v>う</v>
      </c>
      <c r="F2311">
        <v>0</v>
      </c>
      <c r="G2311" t="str">
        <v>がらんちょう。ペリカン科の鳥。 う。ウ科の鳥。</v>
      </c>
      <c r="I2311">
        <v>10</v>
      </c>
      <c r="J2311">
        <v>50</v>
      </c>
      <c r="K2311">
        <v>50</v>
      </c>
      <c r="L2311">
        <v>1</v>
      </c>
    </row>
    <row r="2312">
      <c r="A2312" t="str">
        <v>鞭</v>
      </c>
      <c r="B2312">
        <v>18</v>
      </c>
      <c r="C2312" t="b">
        <v>0</v>
      </c>
      <c r="D2312" t="str">
        <v>ヘン ベン</v>
      </c>
      <c r="E2312" t="str">
        <v>むち むちう（つ）</v>
      </c>
      <c r="F2312">
        <v>0</v>
      </c>
      <c r="G2312" t="str">
        <v>むち。馬や人を打つためのむち。 むちうつ。むちで馬や人を打つ。 むちうつ。はげます。</v>
      </c>
      <c r="I2312">
        <v>10</v>
      </c>
      <c r="J2312">
        <v>50</v>
      </c>
      <c r="K2312">
        <v>50</v>
      </c>
      <c r="L2312">
        <v>1</v>
      </c>
    </row>
    <row r="2313">
      <c r="A2313" t="str">
        <v>麿</v>
      </c>
      <c r="B2313">
        <v>18</v>
      </c>
      <c r="C2313" t="b">
        <v>0</v>
      </c>
      <c r="D2313">
        <v>0</v>
      </c>
      <c r="E2313" t="str">
        <v>まろ</v>
      </c>
      <c r="F2313">
        <v>0</v>
      </c>
      <c r="G2313" t="str">
        <v>まろ。わたし。自称代名詞。 人名に添える接尾語。</v>
      </c>
      <c r="I2313">
        <v>10</v>
      </c>
      <c r="J2313">
        <v>50</v>
      </c>
      <c r="K2313">
        <v>50</v>
      </c>
      <c r="L2313">
        <v>0</v>
      </c>
      <c r="M2313">
        <f>VLOOKUP(A2313,[1]kanji_data!$A:$N,14,FALSE)</f>
        <v>0</v>
      </c>
    </row>
    <row r="2314">
      <c r="A2314" t="str">
        <v>魂</v>
      </c>
      <c r="B2314">
        <v>14</v>
      </c>
      <c r="C2314" t="b">
        <v>1</v>
      </c>
      <c r="D2314" t="str">
        <v>コン</v>
      </c>
      <c r="E2314" t="str">
        <v>たましい たま</v>
      </c>
      <c r="F2314">
        <v>0</v>
      </c>
      <c r="G2314" t="str">
        <v>たましい。たま。体の中に宿り、精神をつかさどる精気。「魂」は陽、「魄」は陰の精気。「魂」は精神、「魄」は肉体をつかさどるもの。生きている人にはこの二つが宿るとされる。 こころ。思い。気持ち。精神。</v>
      </c>
      <c r="H2314" t="str">
        <v>#心・志</v>
      </c>
      <c r="I2314">
        <v>10</v>
      </c>
      <c r="J2314">
        <v>50</v>
      </c>
      <c r="K2314">
        <v>55</v>
      </c>
      <c r="L2314">
        <v>1</v>
      </c>
    </row>
    <row r="2315">
      <c r="A2315" t="str">
        <v>藥</v>
      </c>
      <c r="B2315">
        <v>18</v>
      </c>
      <c r="C2315" t="b">
        <v>0</v>
      </c>
      <c r="D2315" t="str">
        <v>ヤク</v>
      </c>
      <c r="E2315" t="str">
        <v>くすり</v>
      </c>
      <c r="F2315">
        <v>0</v>
      </c>
      <c r="G2315" t="str">
        <v>くすり。病気や怪我を治す効き目のあるものの総称。 いやす。くすりを用いて病気や怪我を治す。 化学作用を起こさせる物質。</v>
      </c>
      <c r="I2315">
        <v>10</v>
      </c>
      <c r="J2315">
        <v>50</v>
      </c>
      <c r="K2315">
        <v>50</v>
      </c>
      <c r="L2315">
        <v>1</v>
      </c>
    </row>
    <row r="2316">
      <c r="A2316" t="str">
        <v>憎</v>
      </c>
      <c r="B2316">
        <v>14</v>
      </c>
      <c r="C2316" t="b">
        <v>1</v>
      </c>
      <c r="D2316" t="str">
        <v>ゾウ ソウ</v>
      </c>
      <c r="E2316" t="str">
        <v>にく（い） にく（しみ） にく（む） にく（らしい）</v>
      </c>
      <c r="F2316">
        <v>0</v>
      </c>
      <c r="G2316" t="str">
        <v>にくむ。きらう。不快に思い嫌がる。 にくしみ。にくみ嫌う気持ち。 にくい。にくらしい。ねたましいほどすぐれている。</v>
      </c>
      <c r="H2316" t="str">
        <v>#心・志</v>
      </c>
      <c r="I2316">
        <v>0</v>
      </c>
      <c r="J2316">
        <v>50</v>
      </c>
      <c r="K2316">
        <v>50</v>
      </c>
      <c r="L2316">
        <v>1</v>
      </c>
    </row>
    <row r="2317">
      <c r="A2317" t="str">
        <v>藏</v>
      </c>
      <c r="B2317">
        <v>18</v>
      </c>
      <c r="C2317" t="b">
        <v>0</v>
      </c>
      <c r="D2317" t="str">
        <v>ゾウ ソウ</v>
      </c>
      <c r="E2317" t="str">
        <v>くら おさ（める） かく（れる）</v>
      </c>
      <c r="F2317">
        <v>0</v>
      </c>
      <c r="G2317" t="str">
        <v>おさめる。かくす。しまう。たくわえる。 かくれる。身をかくす。ひそむ。 くら。物を収めておくところ。 たくわえ。しまってある物。 仏教や道教の経典。 「西藏（チベット）」の略。</v>
      </c>
      <c r="I2317">
        <v>10</v>
      </c>
      <c r="J2317">
        <v>55</v>
      </c>
      <c r="K2317">
        <v>55</v>
      </c>
      <c r="L2317">
        <v>0</v>
      </c>
      <c r="M2317">
        <f>VLOOKUP(A2317,[1]kanji_data!$A:$N,14,FALSE)</f>
        <v>0</v>
      </c>
    </row>
    <row r="2318">
      <c r="A2318" t="str">
        <v>鎭</v>
      </c>
      <c r="B2318">
        <v>18</v>
      </c>
      <c r="C2318" t="b">
        <v>0</v>
      </c>
      <c r="D2318" t="str">
        <v>チン テン</v>
      </c>
      <c r="E2318" t="str">
        <v>しず（まる） しず（める） おさ（え）</v>
      </c>
      <c r="F2318">
        <v>0</v>
      </c>
      <c r="G2318" t="str">
        <v>しずめる。しっかりとおさえる。おさえつける。 しずめる。やすめる。しずめおさえる。やすらかにする。 おさえ。おもし。上からおさえるためにおく重みのあるもの。 おさえ。重要なもの。中心的なもの。 まち。大きなまち。 つねに。ずっと。いつまでも。 うずめる。ふさぐ。＝填</v>
      </c>
      <c r="I2318">
        <v>10</v>
      </c>
      <c r="J2318">
        <v>35</v>
      </c>
      <c r="K2318">
        <v>70</v>
      </c>
      <c r="L2318">
        <v>0</v>
      </c>
      <c r="M2318">
        <f>VLOOKUP(A2318,[1]kanji_data!$A:$N,14,FALSE)</f>
        <v>0</v>
      </c>
    </row>
    <row r="2319">
      <c r="A2319" t="str">
        <v>漂</v>
      </c>
      <c r="B2319">
        <v>14</v>
      </c>
      <c r="C2319" t="b">
        <v>1</v>
      </c>
      <c r="D2319" t="str">
        <v>ヒョウ</v>
      </c>
      <c r="E2319" t="str">
        <v>ただよ（う） さら（す）</v>
      </c>
      <c r="F2319">
        <v>0</v>
      </c>
      <c r="G2319" t="str">
        <v>ただよう。さまよう。さすらう。 風がふきつける。つむじ風が巻き上がる。ひるがえる。 さらす。水にさらす。水で布や綿を白くする。</v>
      </c>
      <c r="H2319" t="str">
        <v>#繁栄</v>
      </c>
      <c r="I2319">
        <v>10</v>
      </c>
      <c r="J2319">
        <v>50</v>
      </c>
      <c r="K2319">
        <v>50</v>
      </c>
      <c r="L2319">
        <v>1</v>
      </c>
    </row>
    <row r="2320">
      <c r="A2320" t="str">
        <v>慕</v>
      </c>
      <c r="B2320">
        <v>14</v>
      </c>
      <c r="C2320" t="b">
        <v>1</v>
      </c>
      <c r="D2320" t="str">
        <v>ボ</v>
      </c>
      <c r="E2320" t="str">
        <v>した（う） しの（ぶ）</v>
      </c>
      <c r="F2320">
        <v>0</v>
      </c>
      <c r="G2320" t="str">
        <v>したう。思いをよせる。こいしく思う。 しのぶ。なつかしむ。思いしたう。</v>
      </c>
      <c r="H2320" t="str">
        <v>#心・志</v>
      </c>
      <c r="I2320">
        <v>10</v>
      </c>
      <c r="J2320">
        <v>35</v>
      </c>
      <c r="K2320">
        <v>75</v>
      </c>
      <c r="L2320">
        <v>1</v>
      </c>
    </row>
    <row r="2321">
      <c r="A2321" t="str">
        <v>墨</v>
      </c>
      <c r="B2321">
        <v>14</v>
      </c>
      <c r="C2321" t="b">
        <v>1</v>
      </c>
      <c r="D2321" t="str">
        <v>ボク モク</v>
      </c>
      <c r="E2321" t="str">
        <v>すみ</v>
      </c>
      <c r="F2321">
        <v>0</v>
      </c>
      <c r="G2321" t="str">
        <v>すみ。字や絵をかくときに用いるすみ。 書画。すみでかいた物。 黒い。黒ずんでいる。 すみなわ。線を引くための大工道具。 入れ墨。入れ墨の刑。 「墨家（ぼくか・ぼっか）」の略。 長さの単位。五尺。</v>
      </c>
      <c r="H2321" t="str">
        <v>#知性</v>
      </c>
      <c r="I2321">
        <v>10</v>
      </c>
      <c r="J2321">
        <v>55</v>
      </c>
      <c r="K2321">
        <v>55</v>
      </c>
      <c r="L2321">
        <v>0</v>
      </c>
      <c r="M2321">
        <f>VLOOKUP(A2321,[1]kanji_data!$A:$N,14,FALSE)</f>
        <v>0</v>
      </c>
    </row>
    <row r="2322">
      <c r="A2322" t="str">
        <v>醬</v>
      </c>
      <c r="B2322">
        <v>18</v>
      </c>
      <c r="C2322" t="b">
        <v>0</v>
      </c>
      <c r="D2322" t="str">
        <v>ショウ</v>
      </c>
      <c r="E2322" t="str">
        <v>ししびしお ひしお</v>
      </c>
      <c r="F2322">
        <v>0</v>
      </c>
      <c r="G2322" t="str">
        <v>しおから。ししびしお。 ひしお。米・麦・豆などを発酵させ、塩を混ぜた食品。</v>
      </c>
      <c r="I2322">
        <v>10</v>
      </c>
      <c r="J2322">
        <v>50</v>
      </c>
      <c r="K2322">
        <v>50</v>
      </c>
      <c r="L2322">
        <v>1</v>
      </c>
    </row>
    <row r="2323">
      <c r="A2323" t="str">
        <v>臓</v>
      </c>
      <c r="B2323">
        <v>19</v>
      </c>
      <c r="C2323" t="b">
        <v>1</v>
      </c>
      <c r="D2323" t="str">
        <v>ゾウ ソウ</v>
      </c>
      <c r="E2323" t="str">
        <v>はらわた</v>
      </c>
      <c r="F2323">
        <v>0</v>
      </c>
      <c r="G2323" t="str">
        <v>はらわた。内臓。体内にある様々な器官の総称。</v>
      </c>
      <c r="I2323">
        <v>10</v>
      </c>
      <c r="J2323">
        <v>50</v>
      </c>
      <c r="K2323">
        <v>50</v>
      </c>
      <c r="L2323">
        <v>1</v>
      </c>
    </row>
    <row r="2324">
      <c r="A2324" t="str">
        <v>繰</v>
      </c>
      <c r="B2324">
        <v>19</v>
      </c>
      <c r="C2324" t="b">
        <v>1</v>
      </c>
      <c r="D2324" t="str">
        <v>ソウ</v>
      </c>
      <c r="E2324" t="str">
        <v>く（る）</v>
      </c>
      <c r="F2324">
        <v>0</v>
      </c>
      <c r="G2324" t="str">
        <v>紺色の絹。 くる。糸をくる。繭や絹から糸を引き出す。 くる。たぐる。順に動かす。順に送る。</v>
      </c>
      <c r="I2324">
        <v>10</v>
      </c>
      <c r="J2324">
        <v>50</v>
      </c>
      <c r="K2324">
        <v>50</v>
      </c>
      <c r="L2324">
        <v>1</v>
      </c>
    </row>
    <row r="2325">
      <c r="A2325" t="str">
        <v>爆</v>
      </c>
      <c r="B2325">
        <v>19</v>
      </c>
      <c r="C2325" t="b">
        <v>1</v>
      </c>
      <c r="D2325" t="str">
        <v>バク ハク ホウ</v>
      </c>
      <c r="E2325" t="str">
        <v>さ（ける） は（ぜる）</v>
      </c>
      <c r="F2325">
        <v>0</v>
      </c>
      <c r="G2325" t="str">
        <v>さける。はぜる。はじける。破れる。破裂する。</v>
      </c>
      <c r="I2325">
        <v>10</v>
      </c>
      <c r="J2325">
        <v>50</v>
      </c>
      <c r="K2325">
        <v>50</v>
      </c>
      <c r="L2325">
        <v>1</v>
      </c>
    </row>
    <row r="2326">
      <c r="A2326" t="str">
        <v>酷</v>
      </c>
      <c r="B2326">
        <v>14</v>
      </c>
      <c r="C2326" t="b">
        <v>1</v>
      </c>
      <c r="D2326" t="str">
        <v>コク</v>
      </c>
      <c r="E2326" t="str">
        <v>きび（しい） はなは（だしい） ひど（い） むご（い）</v>
      </c>
      <c r="F2326" t="str">
        <v>あつ</v>
      </c>
      <c r="G2326" t="str">
        <v>ひどい。きびしい。きつい。はなはだしい。 むごい。無慈悲な。 酒のかおりがきつい。味が濃い。味に深みがある。 うらみ。うらむ。いたみ。</v>
      </c>
      <c r="H2326" t="str">
        <v>#慈愛</v>
      </c>
      <c r="I2326">
        <v>30</v>
      </c>
      <c r="J2326">
        <v>50</v>
      </c>
      <c r="K2326">
        <v>50</v>
      </c>
      <c r="L2326">
        <v>1</v>
      </c>
    </row>
    <row r="2327">
      <c r="A2327" t="str">
        <v>漆</v>
      </c>
      <c r="B2327">
        <v>14</v>
      </c>
      <c r="C2327" t="b">
        <v>1</v>
      </c>
      <c r="D2327" t="str">
        <v>シツ シチ</v>
      </c>
      <c r="E2327" t="str">
        <v>うるし</v>
      </c>
      <c r="F2327">
        <v>0</v>
      </c>
      <c r="G2327" t="str">
        <v>うるし。木の名。ウルシ科の落葉高木。また、うるしからとった黒い塗料。 黒い。うるしのように黒い。 契約書や証書などの文書で数字を表すとき、書き換えを防ぐために「七」の代わりに用いる文字。大字。 中国を流れる川の名。</v>
      </c>
      <c r="H2327" t="str">
        <v>#海・水 #自然</v>
      </c>
      <c r="I2327">
        <v>10</v>
      </c>
      <c r="J2327">
        <v>50</v>
      </c>
      <c r="K2327">
        <v>50</v>
      </c>
      <c r="L2327">
        <v>1</v>
      </c>
    </row>
    <row r="2328">
      <c r="A2328" t="str">
        <v>鶏</v>
      </c>
      <c r="B2328">
        <v>19</v>
      </c>
      <c r="C2328" t="b">
        <v>1</v>
      </c>
      <c r="D2328" t="str">
        <v>ケイ</v>
      </c>
      <c r="E2328" t="str">
        <v>にわとり とり</v>
      </c>
      <c r="F2328">
        <v>0</v>
      </c>
      <c r="G2328" t="str">
        <v>にわとり。とり。キジ科の鳥。家禽。</v>
      </c>
      <c r="I2328">
        <v>10</v>
      </c>
      <c r="J2328">
        <v>50</v>
      </c>
      <c r="K2328">
        <v>50</v>
      </c>
      <c r="L2328">
        <v>1</v>
      </c>
    </row>
    <row r="2329">
      <c r="A2329" t="str">
        <v>銃</v>
      </c>
      <c r="B2329">
        <v>14</v>
      </c>
      <c r="C2329" t="b">
        <v>1</v>
      </c>
      <c r="D2329" t="str">
        <v>ジュウ</v>
      </c>
      <c r="E2329" t="str">
        <v>つつ</v>
      </c>
      <c r="F2329" t="str">
        <v>かね</v>
      </c>
      <c r="G2329" t="str">
        <v>斧の柄をさしこむ穴。 つつ。こづつ。弾丸を発射する小型の武器。鉄砲。</v>
      </c>
      <c r="H2329" t="str">
        <v>#勇気</v>
      </c>
      <c r="I2329">
        <v>15</v>
      </c>
      <c r="J2329">
        <v>50</v>
      </c>
      <c r="K2329">
        <v>50</v>
      </c>
      <c r="L2329">
        <v>1</v>
      </c>
    </row>
    <row r="2330">
      <c r="A2330" t="str">
        <v>塾</v>
      </c>
      <c r="B2330">
        <v>14</v>
      </c>
      <c r="C2330" t="b">
        <v>1</v>
      </c>
      <c r="D2330" t="str">
        <v>ジュク</v>
      </c>
      <c r="E2330">
        <v>0</v>
      </c>
      <c r="F2330">
        <v>0</v>
      </c>
      <c r="G2330" t="str">
        <v>門の両脇にある建物。 まなびや。個人が学問などを教授する私設の教育の場。</v>
      </c>
      <c r="H2330" t="str">
        <v>#知性</v>
      </c>
      <c r="I2330">
        <v>10</v>
      </c>
      <c r="J2330">
        <v>50</v>
      </c>
      <c r="K2330">
        <v>50</v>
      </c>
      <c r="L2330">
        <v>1</v>
      </c>
    </row>
    <row r="2331">
      <c r="A2331" t="str">
        <v>緒</v>
      </c>
      <c r="B2331">
        <v>14</v>
      </c>
      <c r="C2331" t="b">
        <v>1</v>
      </c>
      <c r="D2331" t="str">
        <v>ショ チョ</v>
      </c>
      <c r="E2331" t="str">
        <v>お いとぐち</v>
      </c>
      <c r="F2331" t="str">
        <v>つぐ</v>
      </c>
      <c r="G2331" t="str">
        <v>いとぐち。糸のはし。糸の先端。 物事の起こり。発端。はじめ。 すじ。つづき。つながり。系統。 こころ。 お。ひも。長く続くもの。</v>
      </c>
      <c r="H2331" t="str">
        <v>#健康 #心・志</v>
      </c>
      <c r="I2331">
        <v>90</v>
      </c>
      <c r="J2331">
        <v>50</v>
      </c>
      <c r="K2331">
        <v>55</v>
      </c>
      <c r="L2331">
        <v>0</v>
      </c>
      <c r="M2331">
        <f>VLOOKUP(A2331,[1]kanji_data!$A:$N,14,FALSE)</f>
        <v>0</v>
      </c>
    </row>
    <row r="2332">
      <c r="A2332" t="str">
        <v>彰</v>
      </c>
      <c r="B2332">
        <v>14</v>
      </c>
      <c r="C2332" t="b">
        <v>1</v>
      </c>
      <c r="D2332" t="str">
        <v>ショウ</v>
      </c>
      <c r="E2332" t="str">
        <v>あき（らか） あらわ（す） あらわ（れる）</v>
      </c>
      <c r="F2332" t="str">
        <v>あき あきら あや てる</v>
      </c>
      <c r="G2332" t="str">
        <v>あきらか。はっきりしている。 あらわす。あらわれる。あきらかにする。あきらかになる。 あや。模様。</v>
      </c>
      <c r="H2332" t="str">
        <v>#品格 #知性</v>
      </c>
      <c r="I2332">
        <v>100</v>
      </c>
      <c r="J2332">
        <v>65</v>
      </c>
      <c r="K2332">
        <v>65</v>
      </c>
      <c r="L2332">
        <v>0</v>
      </c>
      <c r="M2332">
        <f>VLOOKUP(A2332,[1]kanji_data!$A:$N,14,FALSE)</f>
        <v>0</v>
      </c>
    </row>
    <row r="2333">
      <c r="A2333" t="str">
        <v>誓</v>
      </c>
      <c r="B2333">
        <v>14</v>
      </c>
      <c r="C2333" t="b">
        <v>1</v>
      </c>
      <c r="D2333" t="str">
        <v>セイ ゼイ</v>
      </c>
      <c r="E2333" t="str">
        <v>ちか（う）</v>
      </c>
      <c r="F2333" t="str">
        <v>ちか</v>
      </c>
      <c r="G2333" t="str">
        <v>ちかう。約束する。ちかいを立てる。 ちかって。必ず。確かに。 いましめる。 告げる。命ずる。 文体のひとつ。天子が人民をいましめるもの。</v>
      </c>
      <c r="H2333" t="str">
        <v>#天空</v>
      </c>
      <c r="I2333">
        <v>95</v>
      </c>
      <c r="J2333">
        <v>95</v>
      </c>
      <c r="K2333">
        <v>30</v>
      </c>
      <c r="L2333">
        <v>0</v>
      </c>
      <c r="M2333">
        <f>VLOOKUP(A2333,[1]kanji_data!$A:$N,14,FALSE)</f>
        <v>0</v>
      </c>
    </row>
    <row r="2334">
      <c r="A2334" t="str">
        <v>漸</v>
      </c>
      <c r="B2334">
        <v>14</v>
      </c>
      <c r="C2334" t="b">
        <v>1</v>
      </c>
      <c r="D2334" t="str">
        <v>ゼン ザン セン</v>
      </c>
      <c r="E2334" t="str">
        <v>すす（む） やや ようや（く）</v>
      </c>
      <c r="F2334">
        <v>0</v>
      </c>
      <c r="G2334" t="str">
        <v>ようやく。次第に。だんだんと。 すすむ。じわじわ進む。少しずつ進む。 ものごとのおこるきざし。おこり。はじめ。 易（エキ）の六十四卦の一つ。 中国を流れる川の名「漸水」のこと。今の浙江。 ひたす。しみる。しみこむ。うるおす。 川が注ぐ。海に流れ込む。 山が高く険しいさま。</v>
      </c>
      <c r="H2334" t="str">
        <v>#海・水</v>
      </c>
      <c r="I2334">
        <v>10</v>
      </c>
      <c r="J2334">
        <v>50</v>
      </c>
      <c r="K2334">
        <v>50</v>
      </c>
      <c r="L2334">
        <v>1</v>
      </c>
    </row>
    <row r="2335">
      <c r="A2335" t="str">
        <v>璽</v>
      </c>
      <c r="B2335">
        <v>19</v>
      </c>
      <c r="C2335" t="b">
        <v>1</v>
      </c>
      <c r="D2335" t="str">
        <v>ジ</v>
      </c>
      <c r="E2335" t="str">
        <v>しるし</v>
      </c>
      <c r="F2335">
        <v>0</v>
      </c>
      <c r="G2335" t="str">
        <v>しるし。はん。印章。印鑑。秦代以降は、特に天子の印のことをいう。</v>
      </c>
      <c r="I2335">
        <v>10</v>
      </c>
      <c r="J2335">
        <v>50</v>
      </c>
      <c r="K2335">
        <v>50</v>
      </c>
      <c r="L2335">
        <v>0</v>
      </c>
    </row>
    <row r="2336">
      <c r="A2336" t="str">
        <v>蹴</v>
      </c>
      <c r="B2336">
        <v>19</v>
      </c>
      <c r="C2336" t="b">
        <v>1</v>
      </c>
      <c r="D2336" t="str">
        <v>シュウ シュク</v>
      </c>
      <c r="E2336" t="str">
        <v>け（る）</v>
      </c>
      <c r="F2336" t="str">
        <v>ける</v>
      </c>
      <c r="G2336" t="str">
        <v>ける。足でけとばす。 ふむ。ふみつける。 つつしむ。顔色をかえる。 ける。申し出を断る。拒絶する。</v>
      </c>
      <c r="I2336">
        <v>15</v>
      </c>
      <c r="J2336">
        <v>50</v>
      </c>
      <c r="K2336">
        <v>50</v>
      </c>
      <c r="L2336">
        <v>1</v>
      </c>
    </row>
    <row r="2337">
      <c r="A2337" t="str">
        <v>蟹</v>
      </c>
      <c r="B2337">
        <v>19</v>
      </c>
      <c r="C2337" t="b">
        <v>0</v>
      </c>
      <c r="D2337" t="str">
        <v>カイ</v>
      </c>
      <c r="E2337" t="str">
        <v>かに</v>
      </c>
      <c r="F2337">
        <v>0</v>
      </c>
      <c r="G2337" t="str">
        <v>かに。十脚目短尾下目に属する甲殻類の総称。</v>
      </c>
      <c r="I2337">
        <v>10</v>
      </c>
      <c r="J2337">
        <v>50</v>
      </c>
      <c r="K2337">
        <v>50</v>
      </c>
      <c r="L2337">
        <v>1</v>
      </c>
    </row>
    <row r="2338">
      <c r="A2338" t="str">
        <v>櫛</v>
      </c>
      <c r="B2338">
        <v>19</v>
      </c>
      <c r="C2338" t="b">
        <v>0</v>
      </c>
      <c r="D2338" t="str">
        <v>シツ</v>
      </c>
      <c r="E2338" t="str">
        <v>くし くしけず（る）</v>
      </c>
      <c r="F2338">
        <v>0</v>
      </c>
      <c r="G2338" t="str">
        <v>くし。髪をすく道具。 くしけずる。くしですいて、髪を整える。 くしの歯のように、すきまなく詰まって並んでいるさま。</v>
      </c>
      <c r="I2338">
        <v>10</v>
      </c>
      <c r="J2338">
        <v>50</v>
      </c>
      <c r="K2338">
        <v>50</v>
      </c>
      <c r="L2338">
        <v>1</v>
      </c>
    </row>
    <row r="2339">
      <c r="A2339" t="str">
        <v>閥</v>
      </c>
      <c r="B2339">
        <v>14</v>
      </c>
      <c r="C2339" t="b">
        <v>1</v>
      </c>
      <c r="D2339" t="str">
        <v>バツ ハツ</v>
      </c>
      <c r="E2339" t="str">
        <v>いえがら いさお</v>
      </c>
      <c r="F2339">
        <v>0</v>
      </c>
      <c r="G2339" t="str">
        <v>いさお。功績。手柄。 いえがら。家格。家の格式。 功績をしるして門の左側に立てる柱。 ばつ。出身や利害などを共有する者の排他的集団。</v>
      </c>
      <c r="H2339" t="str">
        <v>#天空</v>
      </c>
      <c r="I2339">
        <v>10</v>
      </c>
      <c r="J2339">
        <v>50</v>
      </c>
      <c r="K2339">
        <v>50</v>
      </c>
      <c r="L2339">
        <v>1</v>
      </c>
    </row>
    <row r="2340">
      <c r="A2340" t="str">
        <v>櫓</v>
      </c>
      <c r="B2340">
        <v>19</v>
      </c>
      <c r="C2340" t="b">
        <v>0</v>
      </c>
      <c r="D2340" t="str">
        <v>ロ</v>
      </c>
      <c r="E2340" t="str">
        <v>おおだて やぐら</v>
      </c>
      <c r="F2340">
        <v>0</v>
      </c>
      <c r="G2340" t="str">
        <v>おおだて。大きな盾（たて）。 ろ。船をこいで進めるための道具。＝艪 やぐら。物見やぐら。</v>
      </c>
      <c r="I2340">
        <v>10</v>
      </c>
      <c r="J2340">
        <v>50</v>
      </c>
      <c r="K2340">
        <v>50</v>
      </c>
      <c r="L2340">
        <v>1</v>
      </c>
    </row>
    <row r="2341">
      <c r="A2341" t="str">
        <v>銘</v>
      </c>
      <c r="B2341">
        <v>14</v>
      </c>
      <c r="C2341" t="b">
        <v>1</v>
      </c>
      <c r="D2341" t="str">
        <v>メイ ミョウ</v>
      </c>
      <c r="E2341" t="str">
        <v>しる（す）</v>
      </c>
      <c r="F2341" t="str">
        <v>あき かた な</v>
      </c>
      <c r="G2341" t="str">
        <v>刀や器物、石碑などにしるされた作者名や製作のいわれなどの言葉。また、それを刻む。 文体のひとつ。功徳をしるしたもの。 しるす。書きしるす。書きつける。 しるす。心に刻んで忘れない。 有名で質のよい品。</v>
      </c>
      <c r="H2341" t="str">
        <v>#心・志 #知性 #自然</v>
      </c>
      <c r="I2341">
        <v>85</v>
      </c>
      <c r="J2341">
        <v>70</v>
      </c>
      <c r="K2341">
        <v>50</v>
      </c>
      <c r="L2341">
        <v>0</v>
      </c>
      <c r="M2341">
        <f>VLOOKUP(A2341,[1]kanji_data!$A:$N,14,FALSE)</f>
        <v>0</v>
      </c>
    </row>
    <row r="2342">
      <c r="A2342" t="str">
        <v>僚</v>
      </c>
      <c r="B2342">
        <v>14</v>
      </c>
      <c r="C2342" t="b">
        <v>1</v>
      </c>
      <c r="D2342" t="str">
        <v>リョウ</v>
      </c>
      <c r="E2342" t="str">
        <v>つかさ とも</v>
      </c>
      <c r="F2342" t="str">
        <v>あきら</v>
      </c>
      <c r="G2342" t="str">
        <v>つかさ。役人。官僚。 とも。ともがら。仲間。一緒に仕事をする仲間。 美しいさま。みめよいさま。</v>
      </c>
      <c r="H2342" t="str">
        <v>#花・彩 #調和</v>
      </c>
      <c r="I2342">
        <v>5</v>
      </c>
      <c r="J2342">
        <v>40</v>
      </c>
      <c r="K2342">
        <v>75</v>
      </c>
      <c r="L2342">
        <v>1</v>
      </c>
    </row>
    <row r="2343">
      <c r="A2343" t="str">
        <v>瀧</v>
      </c>
      <c r="B2343">
        <v>19</v>
      </c>
      <c r="C2343" t="b">
        <v>0</v>
      </c>
      <c r="D2343" t="str">
        <v>ロウ</v>
      </c>
      <c r="E2343" t="str">
        <v>たき</v>
      </c>
      <c r="F2343">
        <v>0</v>
      </c>
      <c r="G2343" t="str">
        <v>早瀬。急流。 たき。高所から激しく落下する水流。</v>
      </c>
      <c r="I2343">
        <v>10</v>
      </c>
      <c r="J2343">
        <v>85</v>
      </c>
      <c r="K2343">
        <v>30</v>
      </c>
      <c r="L2343">
        <v>0</v>
      </c>
      <c r="M2343">
        <f>VLOOKUP(A2343,[1]kanji_data!$A:$N,14,FALSE)</f>
        <v>0</v>
      </c>
    </row>
    <row r="2344">
      <c r="A2344" t="str">
        <v>壞</v>
      </c>
      <c r="B2344">
        <v>19</v>
      </c>
      <c r="C2344" t="b">
        <v>0</v>
      </c>
      <c r="D2344" t="str">
        <v>カイ エ</v>
      </c>
      <c r="E2344" t="str">
        <v>こわ（す） こわ（れる） やぶ（る） やぶ（れる）</v>
      </c>
      <c r="F2344">
        <v>0</v>
      </c>
      <c r="G2344" t="str">
        <v>やぶる。こわす。 やぶれる。こわれる。こわれくずれる。</v>
      </c>
      <c r="I2344">
        <v>10</v>
      </c>
      <c r="J2344">
        <v>50</v>
      </c>
      <c r="K2344">
        <v>50</v>
      </c>
      <c r="L2344">
        <v>1</v>
      </c>
    </row>
    <row r="2345">
      <c r="A2345" t="str">
        <v>遡</v>
      </c>
      <c r="B2345">
        <v>14</v>
      </c>
      <c r="C2345" t="b">
        <v>1</v>
      </c>
      <c r="D2345" t="str">
        <v>ソ</v>
      </c>
      <c r="E2345" t="str">
        <v>さかのぼ（る） む（かう）</v>
      </c>
      <c r="F2345">
        <v>0</v>
      </c>
      <c r="G2345" t="str">
        <v>さかのぼる。流れに逆らって上る。 むかう。</v>
      </c>
      <c r="H2345" t="str">
        <v>#繁栄</v>
      </c>
      <c r="I2345">
        <v>10</v>
      </c>
      <c r="J2345">
        <v>50</v>
      </c>
      <c r="K2345">
        <v>50</v>
      </c>
      <c r="L2345">
        <v>1</v>
      </c>
    </row>
    <row r="2346">
      <c r="A2346" t="str">
        <v>類</v>
      </c>
      <c r="B2346">
        <v>19</v>
      </c>
      <c r="C2346" t="b">
        <v>0</v>
      </c>
      <c r="D2346" t="str">
        <v>ルイ</v>
      </c>
      <c r="E2346" t="str">
        <v>たぐ（い） たぐい たぐ（える） に（る）</v>
      </c>
      <c r="F2346">
        <v>0</v>
      </c>
      <c r="G2346" t="str">
        <v>たぐい。なかま。似ているもの。同じ性質をもつもの。また、それを区別する。 たぐえる。くらべる。並べて比較する。 にる。よくにている。同じように見える。 おおむね。おおよそ。だいたい。</v>
      </c>
      <c r="I2346">
        <v>10</v>
      </c>
      <c r="J2346">
        <v>50</v>
      </c>
      <c r="K2346">
        <v>50</v>
      </c>
      <c r="L2346">
        <v>1</v>
      </c>
    </row>
    <row r="2347">
      <c r="A2347" t="str">
        <v>綻</v>
      </c>
      <c r="B2347">
        <v>14</v>
      </c>
      <c r="C2347" t="b">
        <v>1</v>
      </c>
      <c r="D2347" t="str">
        <v>タン</v>
      </c>
      <c r="E2347" t="str">
        <v>ほころ（びる） ほころ（ぶ）</v>
      </c>
      <c r="F2347">
        <v>0</v>
      </c>
      <c r="G2347" t="str">
        <v>ほころぶ。ほころびる。縫い目が解ける。 ほころぶ。花のつぼみがひらく。 事が破れる。例：破綻</v>
      </c>
      <c r="H2347" t="str">
        <v>#花・彩</v>
      </c>
      <c r="I2347">
        <v>10</v>
      </c>
      <c r="J2347">
        <v>50</v>
      </c>
      <c r="K2347">
        <v>50</v>
      </c>
      <c r="L2347">
        <v>1</v>
      </c>
    </row>
    <row r="2348">
      <c r="A2348" t="str">
        <v>繫</v>
      </c>
      <c r="B2348">
        <v>19</v>
      </c>
      <c r="C2348" t="b">
        <v>0</v>
      </c>
      <c r="D2348" t="str">
        <v>ケイ</v>
      </c>
      <c r="E2348" t="str">
        <v>か（かる） きずな つな（がる） つな（ぐ） とら（える）</v>
      </c>
      <c r="F2348">
        <v>0</v>
      </c>
      <c r="G2348" t="str">
        <v>つなぐ。つながる。とらえる。しばりつける。連なる。 かける。かかる。つるす。つり下げる。 きずな。ほだし。ひも。つな。 つながり。関係。系統。</v>
      </c>
      <c r="I2348">
        <v>10</v>
      </c>
      <c r="J2348">
        <v>35</v>
      </c>
      <c r="K2348">
        <v>70</v>
      </c>
      <c r="L2348">
        <v>0</v>
      </c>
      <c r="M2348">
        <f>VLOOKUP(A2348,[1]kanji_data!$A:$N,14,FALSE)</f>
        <v>0</v>
      </c>
    </row>
    <row r="2349">
      <c r="A2349" t="str">
        <v>顚</v>
      </c>
      <c r="B2349">
        <v>19</v>
      </c>
      <c r="C2349" t="b">
        <v>0</v>
      </c>
      <c r="D2349" t="str">
        <v>テン</v>
      </c>
      <c r="E2349" t="str">
        <v>いただき くつがえ（る） たお（れる）</v>
      </c>
      <c r="F2349">
        <v>0</v>
      </c>
      <c r="G2349" t="str">
        <v>いただき。頭のてっぺん。転じて、物のてっぺん。山の頂上。 はじめ。はじまり。もと。 くつがえる。ひっくりかえる。 たおれる。たおす。つまずく。 おちる。転がりおちる。 正気を失っている。正常ではない。</v>
      </c>
      <c r="I2349">
        <v>10</v>
      </c>
      <c r="J2349">
        <v>50</v>
      </c>
      <c r="K2349">
        <v>50</v>
      </c>
      <c r="L2349">
        <v>1</v>
      </c>
    </row>
    <row r="2350">
      <c r="A2350" t="str">
        <v>欄</v>
      </c>
      <c r="B2350">
        <v>20</v>
      </c>
      <c r="C2350" t="b">
        <v>1</v>
      </c>
      <c r="D2350" t="str">
        <v>ラン</v>
      </c>
      <c r="E2350" t="str">
        <v>おばしま おり てすり わく</v>
      </c>
      <c r="F2350">
        <v>0</v>
      </c>
      <c r="G2350" t="str">
        <v>てすり。おばしま。橋や階段などから人が落ちるのを防ぐ横木。 おり。獣を閉じ込めておく所。 わく。しきり。さかい。</v>
      </c>
      <c r="I2350">
        <v>10</v>
      </c>
      <c r="J2350">
        <v>50</v>
      </c>
      <c r="K2350">
        <v>50</v>
      </c>
      <c r="L2350">
        <v>1</v>
      </c>
    </row>
    <row r="2351">
      <c r="A2351" t="str">
        <v>鐘</v>
      </c>
      <c r="B2351">
        <v>20</v>
      </c>
      <c r="C2351" t="b">
        <v>1</v>
      </c>
      <c r="D2351" t="str">
        <v>ショウ シュ</v>
      </c>
      <c r="E2351" t="str">
        <v>かね</v>
      </c>
      <c r="F2351" t="str">
        <v>あつ あつむ</v>
      </c>
      <c r="G2351" t="str">
        <v>かね。青銅でつくった打楽器。 かね。つりがね。つるされた大きなかね。 かね。時刻を知らせるかね。</v>
      </c>
      <c r="I2351">
        <v>15</v>
      </c>
      <c r="J2351">
        <v>45</v>
      </c>
      <c r="K2351">
        <v>65</v>
      </c>
      <c r="L2351">
        <v>0</v>
      </c>
      <c r="M2351">
        <f>VLOOKUP(A2351,[1]kanji_data!$A:$N,14,FALSE)</f>
        <v>0</v>
      </c>
    </row>
    <row r="2352">
      <c r="A2352" t="str">
        <v>醸</v>
      </c>
      <c r="B2352">
        <v>20</v>
      </c>
      <c r="C2352" t="b">
        <v>1</v>
      </c>
      <c r="D2352" t="str">
        <v>ジョウ</v>
      </c>
      <c r="E2352" t="str">
        <v>かも（す）</v>
      </c>
      <c r="F2352">
        <v>0</v>
      </c>
      <c r="G2352" t="str">
        <v>かもす。発酵させ、酒をつくる。 酒。 切ってまぜあわせる。 時間をかけてつくる。</v>
      </c>
      <c r="I2352">
        <v>10</v>
      </c>
      <c r="J2352">
        <v>50</v>
      </c>
      <c r="K2352">
        <v>50</v>
      </c>
      <c r="L2352">
        <v>1</v>
      </c>
    </row>
    <row r="2353">
      <c r="A2353" t="str">
        <v>璃</v>
      </c>
      <c r="B2353">
        <v>15</v>
      </c>
      <c r="C2353" t="b">
        <v>1</v>
      </c>
      <c r="D2353" t="str">
        <v>リ</v>
      </c>
      <c r="E2353">
        <v>0</v>
      </c>
      <c r="F2353" t="str">
        <v>あき</v>
      </c>
      <c r="G2353" t="str">
        <v>宝石の名「瑠璃」に用いる字。  七宝の一つ「玻璃」に用いられる字。水晶。ガラス。</v>
      </c>
      <c r="H2353" t="str">
        <v>#花・彩</v>
      </c>
      <c r="I2353">
        <v>100</v>
      </c>
      <c r="J2353">
        <v>30</v>
      </c>
      <c r="K2353">
        <v>90</v>
      </c>
      <c r="L2353">
        <v>0</v>
      </c>
      <c r="M2353">
        <f>VLOOKUP(A2353,[1]kanji_data!$A:$N,14,FALSE)</f>
        <v>0</v>
      </c>
    </row>
    <row r="2354">
      <c r="A2354" t="str">
        <v>瑠</v>
      </c>
      <c r="B2354">
        <v>14</v>
      </c>
      <c r="C2354" t="b">
        <v>1</v>
      </c>
      <c r="D2354" t="str">
        <v>ル リュウ</v>
      </c>
      <c r="E2354">
        <v>0</v>
      </c>
      <c r="F2354">
        <v>0</v>
      </c>
      <c r="G2354" t="str">
        <v>宝石の名「瑠璃」に用いる字。</v>
      </c>
      <c r="H2354" t="str">
        <v>#花・彩</v>
      </c>
      <c r="I2354">
        <v>80</v>
      </c>
      <c r="J2354">
        <v>30</v>
      </c>
      <c r="K2354">
        <v>90</v>
      </c>
      <c r="L2354">
        <v>0</v>
      </c>
      <c r="M2354">
        <f>VLOOKUP(A2354,[1]kanji_data!$A:$N,14,FALSE)</f>
        <v>0</v>
      </c>
    </row>
    <row r="2355">
      <c r="A2355" t="str">
        <v>纂</v>
      </c>
      <c r="B2355">
        <v>19</v>
      </c>
      <c r="C2355" t="b">
        <v>0</v>
      </c>
      <c r="D2355" t="str">
        <v>サン</v>
      </c>
      <c r="E2355" t="str">
        <v>あつ（める） くみひも つ（ぐ）</v>
      </c>
      <c r="F2355">
        <v>0</v>
      </c>
      <c r="G2355" t="str">
        <v>あつめる。あつまる。むらがる。書物にまとめる。 赤い組ひも。 継ぐ。受け継ぐ。</v>
      </c>
      <c r="I2355">
        <v>10</v>
      </c>
      <c r="J2355">
        <v>50</v>
      </c>
      <c r="K2355">
        <v>50</v>
      </c>
      <c r="L2355">
        <v>1</v>
      </c>
    </row>
    <row r="2356">
      <c r="A2356" t="str">
        <v>孃</v>
      </c>
      <c r="B2356">
        <v>20</v>
      </c>
      <c r="C2356" t="b">
        <v>0</v>
      </c>
      <c r="D2356" t="str">
        <v>ジョウ</v>
      </c>
      <c r="E2356" t="str">
        <v>むすめ</v>
      </c>
      <c r="F2356">
        <v>0</v>
      </c>
      <c r="G2356" t="str">
        <v>むすめ。若い女性。 はは。母親。例：爺孃 じょう。未婚の若い女性の名に添える敬称。</v>
      </c>
      <c r="I2356">
        <v>10</v>
      </c>
      <c r="J2356">
        <v>50</v>
      </c>
      <c r="K2356">
        <v>50</v>
      </c>
      <c r="L2356">
        <v>1</v>
      </c>
    </row>
    <row r="2357">
      <c r="A2357" t="str">
        <v>蔭</v>
      </c>
      <c r="B2357">
        <v>14</v>
      </c>
      <c r="C2357" t="b">
        <v>0</v>
      </c>
      <c r="D2357" t="str">
        <v>イン オン</v>
      </c>
      <c r="E2357" t="str">
        <v>おお（う） おかげ かげ しげ（る）</v>
      </c>
      <c r="F2357">
        <v>0</v>
      </c>
      <c r="G2357" t="str">
        <v>おおう。しげる。かばう。助ける。 おかげ。助け。庇護。 かげ。こかげ。ひかげ。木のかげ。</v>
      </c>
      <c r="H2357" t="str">
        <v>#慈愛</v>
      </c>
      <c r="I2357">
        <v>10</v>
      </c>
      <c r="J2357">
        <v>50</v>
      </c>
      <c r="K2357">
        <v>50</v>
      </c>
      <c r="L2357">
        <v>1</v>
      </c>
    </row>
    <row r="2358">
      <c r="A2358" t="str">
        <v>鳶</v>
      </c>
      <c r="B2358">
        <v>14</v>
      </c>
      <c r="C2358" t="b">
        <v>0</v>
      </c>
      <c r="D2358" t="str">
        <v>エン</v>
      </c>
      <c r="E2358" t="str">
        <v>とび とんび</v>
      </c>
      <c r="F2358">
        <v>0</v>
      </c>
      <c r="G2358" t="str">
        <v>とび。とんび。タカ科の鳥。猛禽類。 「鳶職（とびしょく）」の略。建築現場などの高所で作業をする職人。 「鳶口（とびぐち）」の略。棒の先にとびのくちばしのような鉄製の金具を取り付けた消火作業に用いる道具。</v>
      </c>
      <c r="H2358" t="str">
        <v>#勇気</v>
      </c>
      <c r="I2358">
        <v>10</v>
      </c>
      <c r="J2358">
        <v>50</v>
      </c>
      <c r="K2358">
        <v>50</v>
      </c>
      <c r="L2358">
        <v>1</v>
      </c>
    </row>
    <row r="2359">
      <c r="A2359" t="str">
        <v>嘉</v>
      </c>
      <c r="B2359">
        <v>14</v>
      </c>
      <c r="C2359" t="b">
        <v>0</v>
      </c>
      <c r="D2359" t="str">
        <v>カ</v>
      </c>
      <c r="E2359" t="str">
        <v>よ（い） よみ（する）</v>
      </c>
      <c r="F2359" t="str">
        <v>ひろ よし よしみ</v>
      </c>
      <c r="G2359" t="str">
        <v>よい。すぐれている。立派。 よい。よいこと。めでたい。さいわい。 よみする。よしとしてほめる。</v>
      </c>
      <c r="H2359" t="str">
        <v>#品格 #幸福</v>
      </c>
      <c r="I2359">
        <v>100</v>
      </c>
      <c r="J2359">
        <v>45</v>
      </c>
      <c r="K2359">
        <v>70</v>
      </c>
      <c r="L2359">
        <v>0</v>
      </c>
      <c r="M2359">
        <f>VLOOKUP(A2359,[1]kanji_data!$A:$N,14,FALSE)</f>
        <v>0</v>
      </c>
    </row>
    <row r="2360">
      <c r="A2360" t="str">
        <v>榎</v>
      </c>
      <c r="B2360">
        <v>14</v>
      </c>
      <c r="C2360" t="b">
        <v>0</v>
      </c>
      <c r="D2360" t="str">
        <v>カ</v>
      </c>
      <c r="E2360" t="str">
        <v>えのき</v>
      </c>
      <c r="F2360" t="str">
        <v>え</v>
      </c>
      <c r="G2360" t="str">
        <v>ひさぎ。ノウゼンカズラ科の落葉高木。 えのき。ニレ科の落葉高木。</v>
      </c>
      <c r="H2360" t="str">
        <v>#自然</v>
      </c>
      <c r="I2360">
        <v>85</v>
      </c>
      <c r="J2360">
        <v>50</v>
      </c>
      <c r="K2360">
        <v>50</v>
      </c>
      <c r="L2360">
        <v>0</v>
      </c>
      <c r="M2360">
        <f>VLOOKUP(A2360,[1]kanji_data!$A:$N,14,FALSE)</f>
        <v>0</v>
      </c>
    </row>
    <row r="2361">
      <c r="A2361" t="str">
        <v>樺</v>
      </c>
      <c r="B2361">
        <v>14</v>
      </c>
      <c r="C2361" t="b">
        <v>0</v>
      </c>
      <c r="D2361" t="str">
        <v>カ</v>
      </c>
      <c r="E2361" t="str">
        <v>かば</v>
      </c>
      <c r="F2361" t="str">
        <v>から</v>
      </c>
      <c r="G2361" t="str">
        <v>かば。カバノキ科の落葉高木。 かば。かば色。赤みをおびた黄色。</v>
      </c>
      <c r="H2361" t="str">
        <v>#自然</v>
      </c>
      <c r="I2361">
        <v>90</v>
      </c>
      <c r="J2361">
        <v>85</v>
      </c>
      <c r="K2361">
        <v>30</v>
      </c>
      <c r="L2361">
        <v>0</v>
      </c>
      <c r="M2361">
        <f>VLOOKUP(A2361,[1]kanji_data!$A:$N,14,FALSE)</f>
        <v>0</v>
      </c>
    </row>
    <row r="2362">
      <c r="A2362" t="str">
        <v>魁</v>
      </c>
      <c r="B2362">
        <v>14</v>
      </c>
      <c r="C2362" t="b">
        <v>0</v>
      </c>
      <c r="D2362" t="str">
        <v>カイ</v>
      </c>
      <c r="E2362" t="str">
        <v>おお（きい） かしら さきがけ</v>
      </c>
      <c r="F2362" t="str">
        <v>いさお さき はじめ</v>
      </c>
      <c r="G2362" t="str">
        <v>おおきい。おおきいもの。すぐれているもの。 かしら。おさ。率いる者。首領。 さきがけ。まっさき。先頭。 ひしゃく。大きなひしゃく。 北斗七星のひしゃくの頭の部分にあたる四つの星。また、その第一星。</v>
      </c>
      <c r="H2362" t="str">
        <v>#品格 #天空</v>
      </c>
      <c r="I2362">
        <v>95</v>
      </c>
      <c r="J2362">
        <v>95</v>
      </c>
      <c r="K2362">
        <v>40</v>
      </c>
      <c r="L2362">
        <v>0</v>
      </c>
      <c r="M2362">
        <f>VLOOKUP(A2362,[1]kanji_data!$A:$N,14,FALSE)</f>
        <v>0</v>
      </c>
    </row>
    <row r="2363">
      <c r="A2363" t="str">
        <v>艦</v>
      </c>
      <c r="B2363">
        <v>21</v>
      </c>
      <c r="C2363" t="b">
        <v>1</v>
      </c>
      <c r="D2363" t="str">
        <v>カン</v>
      </c>
      <c r="E2363" t="str">
        <v>いくさぶね</v>
      </c>
      <c r="F2363">
        <v>0</v>
      </c>
      <c r="G2363" t="str">
        <v>いくさぶね。戦うためのふね。例：軍艦 艦隊</v>
      </c>
      <c r="I2363">
        <v>10</v>
      </c>
      <c r="J2363">
        <v>50</v>
      </c>
      <c r="K2363">
        <v>50</v>
      </c>
      <c r="L2363">
        <v>1</v>
      </c>
    </row>
    <row r="2364">
      <c r="A2364" t="str">
        <v>飜</v>
      </c>
      <c r="B2364">
        <v>21</v>
      </c>
      <c r="C2364" t="b">
        <v>0</v>
      </c>
      <c r="D2364" t="str">
        <v>ホン ハン</v>
      </c>
      <c r="E2364" t="str">
        <v>ひるがえ（す） ひるがえ（る）</v>
      </c>
      <c r="F2364">
        <v>0</v>
      </c>
      <c r="G2364" t="str">
        <v>ひるがえす。ひるがえる。羽をひるがえして飛ぶ。 ひっくり返す。反対にする。裏返す。 ある国のことばを別の国のことばに直す。</v>
      </c>
      <c r="I2364">
        <v>10</v>
      </c>
      <c r="J2364">
        <v>50</v>
      </c>
      <c r="K2364">
        <v>50</v>
      </c>
      <c r="L2364">
        <v>1</v>
      </c>
    </row>
    <row r="2365">
      <c r="A2365" t="str">
        <v>鷄</v>
      </c>
      <c r="B2365">
        <v>21</v>
      </c>
      <c r="C2365" t="b">
        <v>0</v>
      </c>
      <c r="D2365" t="str">
        <v>ケイ</v>
      </c>
      <c r="E2365" t="str">
        <v>にわとり とり</v>
      </c>
      <c r="F2365">
        <v>0</v>
      </c>
      <c r="G2365" t="str">
        <v>にわとり。とり。キジ科の鳥。家禽。</v>
      </c>
      <c r="I2365">
        <v>10</v>
      </c>
      <c r="J2365">
        <v>50</v>
      </c>
      <c r="K2365">
        <v>50</v>
      </c>
      <c r="L2365">
        <v>1</v>
      </c>
    </row>
    <row r="2366">
      <c r="A2366" t="str">
        <v>攝</v>
      </c>
      <c r="B2366">
        <v>21</v>
      </c>
      <c r="C2366" t="b">
        <v>0</v>
      </c>
      <c r="D2366" t="str">
        <v>セツ ショウ</v>
      </c>
      <c r="E2366" t="str">
        <v>か（ねる） か（わる） と（る）</v>
      </c>
      <c r="F2366">
        <v>0</v>
      </c>
      <c r="G2366" t="str">
        <v>とる。おさめる。取り入れる。 とる。持つ。手に持つ。 かねる。かけもつ。あわせもつ。 かわる。代行する。代理をつとめる。 はさまる。はさまれる。</v>
      </c>
      <c r="I2366">
        <v>10</v>
      </c>
      <c r="J2366">
        <v>50</v>
      </c>
      <c r="K2366">
        <v>50</v>
      </c>
      <c r="L2366">
        <v>1</v>
      </c>
    </row>
    <row r="2367">
      <c r="A2367" t="str">
        <v>瑳</v>
      </c>
      <c r="B2367">
        <v>14</v>
      </c>
      <c r="C2367" t="b">
        <v>0</v>
      </c>
      <c r="D2367" t="str">
        <v>サ</v>
      </c>
      <c r="E2367" t="str">
        <v>みが（く）</v>
      </c>
      <c r="F2367" t="str">
        <v>てる</v>
      </c>
      <c r="G2367" t="str">
        <v>あざやか。玉の色があざやかなさま。 みがく。やすりなどでみがく。 愛らしく笑うさま。</v>
      </c>
      <c r="H2367" t="str">
        <v>#慈愛 #繁栄</v>
      </c>
      <c r="I2367">
        <v>70</v>
      </c>
      <c r="J2367">
        <v>70</v>
      </c>
      <c r="K2367">
        <v>55</v>
      </c>
      <c r="L2367">
        <v>0</v>
      </c>
      <c r="M2367">
        <f>VLOOKUP(A2367,[1]kanji_data!$A:$N,14,FALSE)</f>
        <v>0</v>
      </c>
    </row>
    <row r="2368">
      <c r="A2368" t="str">
        <v>榊</v>
      </c>
      <c r="B2368">
        <v>14</v>
      </c>
      <c r="C2368" t="b">
        <v>0</v>
      </c>
      <c r="D2368">
        <v>0</v>
      </c>
      <c r="E2368" t="str">
        <v>さかき</v>
      </c>
      <c r="F2368" t="str">
        <v>さ さか</v>
      </c>
      <c r="G2368" t="str">
        <v>さかき。ツバキ科の常緑小高木。神木として、枝葉を神前に供える。</v>
      </c>
      <c r="H2368" t="str">
        <v>#自然</v>
      </c>
      <c r="I2368">
        <v>95</v>
      </c>
      <c r="J2368">
        <v>55</v>
      </c>
      <c r="K2368">
        <v>55</v>
      </c>
      <c r="L2368">
        <v>0</v>
      </c>
      <c r="M2368">
        <f>VLOOKUP(A2368,[1]kanji_data!$A:$N,14,FALSE)</f>
        <v>0</v>
      </c>
    </row>
    <row r="2369">
      <c r="A2369" t="str">
        <v>欄</v>
      </c>
      <c r="B2369">
        <v>21</v>
      </c>
      <c r="C2369" t="b">
        <v>0</v>
      </c>
      <c r="D2369" t="str">
        <v>ラン</v>
      </c>
      <c r="E2369" t="str">
        <v>おばしま おり てすり わく</v>
      </c>
      <c r="F2369">
        <v>0</v>
      </c>
      <c r="G2369" t="str">
        <v>てすり。おばしま。橋や階段などから人が落ちるのを防ぐ横木。 おり。獣を閉じ込めておく所。 わく。しきり。さかい。</v>
      </c>
      <c r="I2369">
        <v>10</v>
      </c>
      <c r="J2369">
        <v>50</v>
      </c>
      <c r="K2369">
        <v>50</v>
      </c>
      <c r="L2369">
        <v>1</v>
      </c>
    </row>
    <row r="2370">
      <c r="A2370" t="str">
        <v>竪</v>
      </c>
      <c r="B2370">
        <v>14</v>
      </c>
      <c r="C2370" t="b">
        <v>0</v>
      </c>
      <c r="D2370" t="str">
        <v>ジュ</v>
      </c>
      <c r="E2370" t="str">
        <v>こども こもの た（つ） たて</v>
      </c>
      <c r="F2370" t="str">
        <v>たつ なお</v>
      </c>
      <c r="G2370" t="str">
        <v>立つ。立てる。しっかりと立つ。 たて。縦横の縦。 こども。わらべ。 こもの。小役人。 短い。小さい。 書画の一つ。書法「永字八法」での「努」。縦画のこと。</v>
      </c>
      <c r="H2370" t="str">
        <v>#天空</v>
      </c>
      <c r="I2370">
        <v>10</v>
      </c>
      <c r="J2370">
        <v>90</v>
      </c>
      <c r="K2370">
        <v>35</v>
      </c>
      <c r="L2370">
        <v>0</v>
      </c>
      <c r="M2370">
        <f>VLOOKUP(A2370,[1]kanji_data!$A:$N,14,FALSE)</f>
        <v>0</v>
      </c>
    </row>
    <row r="2371">
      <c r="A2371" t="str">
        <v>嘗</v>
      </c>
      <c r="B2371">
        <v>14</v>
      </c>
      <c r="C2371" t="b">
        <v>0</v>
      </c>
      <c r="D2371" t="str">
        <v>ショウ ジョウ</v>
      </c>
      <c r="E2371" t="str">
        <v>かつ（て） こころ（みる） な（める）</v>
      </c>
      <c r="F2371">
        <v>0</v>
      </c>
      <c r="G2371" t="str">
        <v>なめる。舌で味わう。 こころみる。ためしてみる。 かつて。過去。以前。 その年に新しく収穫した穀物を神に供える秋の祭り。</v>
      </c>
      <c r="H2371" t="str">
        <v>#心・志</v>
      </c>
      <c r="I2371">
        <v>10</v>
      </c>
      <c r="J2371">
        <v>50</v>
      </c>
      <c r="K2371">
        <v>50</v>
      </c>
      <c r="L2371">
        <v>1</v>
      </c>
    </row>
    <row r="2372">
      <c r="A2372" t="str">
        <v>蠟</v>
      </c>
      <c r="B2372">
        <v>21</v>
      </c>
      <c r="C2372" t="b">
        <v>0</v>
      </c>
      <c r="D2372" t="str">
        <v>ロウ</v>
      </c>
      <c r="E2372">
        <v>0</v>
      </c>
      <c r="F2372">
        <v>0</v>
      </c>
      <c r="G2372" t="str">
        <v>ろう。ろうそく。 みつろう。ミツバチの巣からとったろう。 ろうをぬる。</v>
      </c>
      <c r="I2372">
        <v>10</v>
      </c>
      <c r="J2372">
        <v>50</v>
      </c>
      <c r="K2372">
        <v>50</v>
      </c>
      <c r="L2372">
        <v>1</v>
      </c>
    </row>
    <row r="2373">
      <c r="A2373" t="str">
        <v>襲</v>
      </c>
      <c r="B2373">
        <v>22</v>
      </c>
      <c r="C2373" t="b">
        <v>1</v>
      </c>
      <c r="D2373" t="str">
        <v>シュウ</v>
      </c>
      <c r="E2373" t="str">
        <v>おそ（う） かさね かさ（ねる） つ（ぐ）</v>
      </c>
      <c r="F2373">
        <v>0</v>
      </c>
      <c r="G2373" t="str">
        <v>おそう。おそいかかる。不意打ちする。 かさね。そろい。衣服の一そろい。衣服の上下。 かさねる。かさなる。かさねて着る。積み重ねる。 つぐ。おそう。受けつぐ。引きつぐ。後をつぐ。例：踏襲</v>
      </c>
      <c r="I2373">
        <v>10</v>
      </c>
      <c r="J2373">
        <v>50</v>
      </c>
      <c r="K2373">
        <v>50</v>
      </c>
      <c r="L2373">
        <v>1</v>
      </c>
    </row>
    <row r="2374">
      <c r="A2374" t="str">
        <v>榛</v>
      </c>
      <c r="B2374">
        <v>14</v>
      </c>
      <c r="C2374" t="b">
        <v>0</v>
      </c>
      <c r="D2374" t="str">
        <v>シン</v>
      </c>
      <c r="E2374" t="str">
        <v>はしばみ はり</v>
      </c>
      <c r="F2374" t="str">
        <v>はる</v>
      </c>
      <c r="G2374" t="str">
        <v>はしばみ。カバノキ科の落葉低木。 草や木が生い茂った場所。 はり。はりのき。はんのき。カバノキ科の落葉高木。</v>
      </c>
      <c r="H2374" t="str">
        <v>#自然</v>
      </c>
      <c r="I2374">
        <v>85</v>
      </c>
      <c r="J2374">
        <v>35</v>
      </c>
      <c r="K2374">
        <v>70</v>
      </c>
      <c r="L2374">
        <v>0</v>
      </c>
      <c r="M2374">
        <f>VLOOKUP(A2374,[1]kanji_data!$A:$N,14,FALSE)</f>
        <v>0</v>
      </c>
    </row>
    <row r="2375">
      <c r="A2375" t="str">
        <v>槙</v>
      </c>
      <c r="B2375">
        <v>14</v>
      </c>
      <c r="C2375" t="b">
        <v>0</v>
      </c>
      <c r="D2375" t="str">
        <v>テン シン</v>
      </c>
      <c r="E2375" t="str">
        <v>まき</v>
      </c>
      <c r="F2375" t="str">
        <v>こずえ</v>
      </c>
      <c r="G2375" t="str">
        <v>こずえ。木のこずえ。木の枝の先。 木が倒れる。また、倒れた木。 木の目が細かい。 まき。まき科・こうやまき科の常緑高木。</v>
      </c>
      <c r="H2375" t="str">
        <v>#自然</v>
      </c>
      <c r="I2375">
        <v>70</v>
      </c>
      <c r="J2375">
        <v>90</v>
      </c>
      <c r="K2375">
        <v>35</v>
      </c>
      <c r="L2375">
        <v>0</v>
      </c>
      <c r="M2375">
        <f>VLOOKUP(A2375,[1]kanji_data!$A:$N,14,FALSE)</f>
        <v>0</v>
      </c>
    </row>
    <row r="2376">
      <c r="A2376" t="str">
        <v>賑</v>
      </c>
      <c r="B2376">
        <v>14</v>
      </c>
      <c r="C2376" t="b">
        <v>0</v>
      </c>
      <c r="D2376" t="str">
        <v>シン</v>
      </c>
      <c r="E2376" t="str">
        <v>にぎ（やか） にぎ（わう）</v>
      </c>
      <c r="F2376" t="str">
        <v>とみ とも</v>
      </c>
      <c r="G2376" t="str">
        <v>にぎわう。にぎやか。栄える。富む。にぎわい。 にぎわす。ほどこす。めぐむ。豊か。 にぎやか。騒がしい。陽気な。さかんな。</v>
      </c>
      <c r="H2376" t="str">
        <v>#慈愛 #繁栄</v>
      </c>
      <c r="I2376">
        <v>20</v>
      </c>
      <c r="J2376">
        <v>45</v>
      </c>
      <c r="K2376">
        <v>65</v>
      </c>
      <c r="L2376">
        <v>0</v>
      </c>
      <c r="M2376">
        <f>VLOOKUP(A2376,[1]kanji_data!$A:$N,14,FALSE)</f>
        <v>0</v>
      </c>
    </row>
    <row r="2377">
      <c r="A2377" t="str">
        <v>翠</v>
      </c>
      <c r="B2377">
        <v>14</v>
      </c>
      <c r="C2377" t="b">
        <v>0</v>
      </c>
      <c r="D2377" t="str">
        <v>スイ</v>
      </c>
      <c r="E2377" t="str">
        <v>かわせみ みどり</v>
      </c>
      <c r="F2377" t="str">
        <v>あき あきら</v>
      </c>
      <c r="G2377" t="str">
        <v>かわせみ。水辺にすむ鳥の名。特に雌のかわせみを翠（スイ）という。 みどり。青緑色。もえぎ色。青黄色。 ひたれ。あぶらじり。鳥の尾の肉。</v>
      </c>
      <c r="H2377" t="str">
        <v>#海・水</v>
      </c>
      <c r="I2377">
        <v>100</v>
      </c>
      <c r="J2377">
        <v>25</v>
      </c>
      <c r="K2377">
        <v>85</v>
      </c>
      <c r="L2377">
        <v>0</v>
      </c>
      <c r="M2377">
        <f>VLOOKUP(A2377,[1]kanji_data!$A:$N,14,FALSE)</f>
        <v>0</v>
      </c>
    </row>
    <row r="2378">
      <c r="A2378" t="str">
        <v>碩</v>
      </c>
      <c r="B2378">
        <v>14</v>
      </c>
      <c r="C2378" t="b">
        <v>0</v>
      </c>
      <c r="D2378" t="str">
        <v>セキ</v>
      </c>
      <c r="E2378" t="str">
        <v>おお（きい）</v>
      </c>
      <c r="F2378" t="str">
        <v>おお ひろ みち みつる ゆたか</v>
      </c>
      <c r="G2378" t="str">
        <v>大きい。優れている。立派である。充実している。</v>
      </c>
      <c r="H2378" t="str">
        <v>#品格</v>
      </c>
      <c r="I2378">
        <v>90</v>
      </c>
      <c r="J2378">
        <v>70</v>
      </c>
      <c r="K2378">
        <v>50</v>
      </c>
      <c r="L2378">
        <v>0</v>
      </c>
      <c r="M2378">
        <f>VLOOKUP(A2378,[1]kanji_data!$A:$N,14,FALSE)</f>
        <v>0</v>
      </c>
    </row>
    <row r="2379">
      <c r="A2379" t="str">
        <v>鑄</v>
      </c>
      <c r="B2379">
        <v>22</v>
      </c>
      <c r="C2379" t="b">
        <v>0</v>
      </c>
      <c r="D2379" t="str">
        <v>チュウ シュ</v>
      </c>
      <c r="E2379" t="str">
        <v>い（る）</v>
      </c>
      <c r="F2379">
        <v>0</v>
      </c>
      <c r="G2379" t="str">
        <v>いる。溶かした金属を型に流し込み、器物をつくる。</v>
      </c>
      <c r="I2379">
        <v>10</v>
      </c>
      <c r="J2379">
        <v>50</v>
      </c>
      <c r="K2379">
        <v>50</v>
      </c>
      <c r="L2379">
        <v>1</v>
      </c>
    </row>
    <row r="2380">
      <c r="A2380" t="str">
        <v>槍</v>
      </c>
      <c r="B2380">
        <v>14</v>
      </c>
      <c r="C2380" t="b">
        <v>0</v>
      </c>
      <c r="D2380" t="str">
        <v>ソウ</v>
      </c>
      <c r="E2380" t="str">
        <v>やり</v>
      </c>
      <c r="F2380" t="str">
        <v>しょう</v>
      </c>
      <c r="G2380" t="str">
        <v>やり。武器の一つ。 つく。突きさす。また、突き進む。 草を刈り取る道具。</v>
      </c>
      <c r="H2380" t="str">
        <v>#勇気</v>
      </c>
      <c r="I2380">
        <v>15</v>
      </c>
      <c r="J2380">
        <v>50</v>
      </c>
      <c r="K2380">
        <v>50</v>
      </c>
      <c r="L2380">
        <v>1</v>
      </c>
    </row>
    <row r="2381">
      <c r="A2381" t="str">
        <v>疊</v>
      </c>
      <c r="B2381">
        <v>22</v>
      </c>
      <c r="C2381" t="b">
        <v>0</v>
      </c>
      <c r="D2381" t="str">
        <v>ジョウ チョウ</v>
      </c>
      <c r="E2381" t="str">
        <v>たたみ たた（む） かさ（なる） かさ（ねる）</v>
      </c>
      <c r="F2381">
        <v>0</v>
      </c>
      <c r="G2381" t="str">
        <v>たたむ。かさねる。かさなる。積み重ねる。 たたむ。折りたたむ。平らなものを折り重ねる。 たたみ。いぐさで作った敷き物。また、たたみを数えることば。</v>
      </c>
      <c r="I2381">
        <v>10</v>
      </c>
      <c r="J2381">
        <v>50</v>
      </c>
      <c r="K2381">
        <v>50</v>
      </c>
      <c r="L2381">
        <v>1</v>
      </c>
    </row>
    <row r="2382">
      <c r="A2382" t="str">
        <v>臟</v>
      </c>
      <c r="B2382">
        <v>22</v>
      </c>
      <c r="C2382" t="b">
        <v>0</v>
      </c>
      <c r="D2382" t="str">
        <v>ゾウ ソウ</v>
      </c>
      <c r="E2382" t="str">
        <v>はらわた</v>
      </c>
      <c r="F2382">
        <v>0</v>
      </c>
      <c r="G2382" t="str">
        <v>はらわた。内臓。体内にある様々な器官の総称。</v>
      </c>
      <c r="I2382">
        <v>10</v>
      </c>
      <c r="J2382">
        <v>50</v>
      </c>
      <c r="K2382">
        <v>50</v>
      </c>
      <c r="L2382">
        <v>1</v>
      </c>
    </row>
    <row r="2383">
      <c r="A2383" t="str">
        <v>聡</v>
      </c>
      <c r="B2383">
        <v>14</v>
      </c>
      <c r="C2383" t="b">
        <v>0</v>
      </c>
      <c r="D2383" t="str">
        <v>ソウ</v>
      </c>
      <c r="E2383" t="str">
        <v>さと（い）</v>
      </c>
      <c r="F2383" t="str">
        <v>あき あきら さ さと さとし さとる ただし と とき とし とみ</v>
      </c>
      <c r="G2383" t="str">
        <v>さとい。かしこい。耳がよく聞こえる。才知がすぐれる。理解力がすぐれている。</v>
      </c>
      <c r="H2383" t="str">
        <v>#知性 #繁栄</v>
      </c>
      <c r="I2383">
        <v>100</v>
      </c>
      <c r="J2383">
        <v>70</v>
      </c>
      <c r="K2383">
        <v>50</v>
      </c>
      <c r="L2383">
        <v>0</v>
      </c>
      <c r="M2383">
        <f>VLOOKUP(A2383,[1]kanji_data!$A:$N,14,FALSE)</f>
        <v>0</v>
      </c>
    </row>
    <row r="2384">
      <c r="A2384" t="str">
        <v>暢</v>
      </c>
      <c r="B2384">
        <v>14</v>
      </c>
      <c r="C2384" t="b">
        <v>0</v>
      </c>
      <c r="D2384" t="str">
        <v>チョウ</v>
      </c>
      <c r="E2384" t="str">
        <v>の（びる） の（べる） とお（る）</v>
      </c>
      <c r="F2384" t="str">
        <v>いたる とおる なが のぶ のぶる のぼる まさ みつ みつる よう</v>
      </c>
      <c r="G2384" t="str">
        <v>のびる。のべる。長くのびる。長くのばす。 のびる。のびやか。のびのびする。 とおる。ゆきわたる。</v>
      </c>
      <c r="H2384" t="str">
        <v>#健康</v>
      </c>
      <c r="I2384">
        <v>80</v>
      </c>
      <c r="J2384">
        <v>40</v>
      </c>
      <c r="K2384">
        <v>85</v>
      </c>
      <c r="L2384">
        <v>0</v>
      </c>
      <c r="M2384">
        <f>VLOOKUP(A2384,[1]kanji_data!$A:$N,14,FALSE)</f>
        <v>0</v>
      </c>
    </row>
    <row r="2385">
      <c r="A2385" t="str">
        <v>肇</v>
      </c>
      <c r="B2385">
        <v>14</v>
      </c>
      <c r="C2385" t="b">
        <v>0</v>
      </c>
      <c r="D2385" t="str">
        <v>チョウ</v>
      </c>
      <c r="E2385" t="str">
        <v>はじ（め） はじ（める）</v>
      </c>
      <c r="F2385" t="str">
        <v>けい こと とし なが はじめ はつ</v>
      </c>
      <c r="G2385" t="str">
        <v>はじめ。はじめる。 謀（はか）る。 正す。正しい。正しくする。</v>
      </c>
      <c r="H2385" t="str">
        <v>#繁栄</v>
      </c>
      <c r="I2385">
        <v>70</v>
      </c>
      <c r="J2385">
        <v>100</v>
      </c>
      <c r="K2385">
        <v>30</v>
      </c>
      <c r="L2385">
        <v>0</v>
      </c>
      <c r="M2385">
        <f>VLOOKUP(A2385,[1]kanji_data!$A:$N,14,FALSE)</f>
        <v>0</v>
      </c>
    </row>
    <row r="2386">
      <c r="A2386" t="str">
        <v>蔦</v>
      </c>
      <c r="B2386">
        <v>14</v>
      </c>
      <c r="C2386" t="b">
        <v>0</v>
      </c>
      <c r="D2386" t="str">
        <v>チョウ</v>
      </c>
      <c r="E2386" t="str">
        <v>つた</v>
      </c>
      <c r="F2386">
        <v>0</v>
      </c>
      <c r="G2386" t="str">
        <v>つた。ブドウ科の植物。</v>
      </c>
      <c r="H2386" t="str">
        <v>#自然</v>
      </c>
      <c r="I2386">
        <v>10</v>
      </c>
      <c r="J2386">
        <v>50</v>
      </c>
      <c r="K2386">
        <v>50</v>
      </c>
      <c r="L2386">
        <v>0</v>
      </c>
      <c r="M2386">
        <f>VLOOKUP(A2386,[1]kanji_data!$A:$N,14,FALSE)</f>
        <v>0</v>
      </c>
    </row>
    <row r="2387">
      <c r="A2387" t="str">
        <v>覽</v>
      </c>
      <c r="B2387">
        <v>21</v>
      </c>
      <c r="C2387" t="b">
        <v>0</v>
      </c>
      <c r="D2387" t="str">
        <v>ラン</v>
      </c>
      <c r="E2387" t="str">
        <v>み（る）</v>
      </c>
      <c r="F2387">
        <v>0</v>
      </c>
      <c r="G2387" t="str">
        <v>みる。よく見る。広く見わたす。</v>
      </c>
      <c r="I2387">
        <v>10</v>
      </c>
      <c r="J2387">
        <v>50</v>
      </c>
      <c r="K2387">
        <v>50</v>
      </c>
      <c r="L2387">
        <v>1</v>
      </c>
    </row>
    <row r="2388">
      <c r="A2388" t="str">
        <v>鷗</v>
      </c>
      <c r="B2388">
        <v>22</v>
      </c>
      <c r="C2388" t="b">
        <v>0</v>
      </c>
      <c r="D2388" t="str">
        <v>オウ</v>
      </c>
      <c r="E2388" t="str">
        <v>かもめ</v>
      </c>
      <c r="F2388">
        <v>0</v>
      </c>
      <c r="G2388" t="str">
        <v>かもめ。カモメ科の鳥。魚や虫などを捕食する。</v>
      </c>
      <c r="I2388">
        <v>10</v>
      </c>
      <c r="J2388">
        <v>55</v>
      </c>
      <c r="K2388">
        <v>60</v>
      </c>
      <c r="L2388">
        <v>0</v>
      </c>
      <c r="M2388">
        <f>VLOOKUP(A2388,[1]kanji_data!$A:$N,14,FALSE)</f>
        <v>0</v>
      </c>
    </row>
    <row r="2389">
      <c r="A2389" t="str">
        <v>嶋</v>
      </c>
      <c r="B2389">
        <v>14</v>
      </c>
      <c r="C2389" t="b">
        <v>0</v>
      </c>
      <c r="D2389" t="str">
        <v>トウ</v>
      </c>
      <c r="E2389" t="str">
        <v>しま</v>
      </c>
      <c r="F2389" t="str">
        <v>と</v>
      </c>
      <c r="G2389" t="str">
        <v>しま。四方が海や湖で囲まれた陸地。</v>
      </c>
      <c r="H2389" t="str">
        <v>#自然 #伝統</v>
      </c>
      <c r="I2389">
        <v>40</v>
      </c>
      <c r="J2389">
        <v>40</v>
      </c>
      <c r="K2389">
        <v>40</v>
      </c>
      <c r="L2389">
        <v>0</v>
      </c>
    </row>
    <row r="2390">
      <c r="A2390" t="str">
        <v>頗</v>
      </c>
      <c r="B2390">
        <v>14</v>
      </c>
      <c r="C2390" t="b">
        <v>0</v>
      </c>
      <c r="D2390" t="str">
        <v>ハ</v>
      </c>
      <c r="E2390" t="str">
        <v>かたよ（る） すこぶ（る）</v>
      </c>
      <c r="F2390">
        <v>0</v>
      </c>
      <c r="G2390" t="str">
        <v>かたよる。かたむく。 かたよる。不公平。公平でない。 すこぶる。いささか。すこし。 すこぶる。たいへん。かなり。非常に。</v>
      </c>
      <c r="H2390" t="str">
        <v>#品格</v>
      </c>
      <c r="I2390">
        <v>10</v>
      </c>
      <c r="J2390">
        <v>50</v>
      </c>
      <c r="K2390">
        <v>50</v>
      </c>
      <c r="L2390">
        <v>1</v>
      </c>
    </row>
    <row r="2391">
      <c r="A2391" t="str">
        <v>箔</v>
      </c>
      <c r="B2391">
        <v>14</v>
      </c>
      <c r="C2391" t="b">
        <v>0</v>
      </c>
      <c r="D2391" t="str">
        <v>ハク</v>
      </c>
      <c r="E2391" t="str">
        <v>すだれ のべがね</v>
      </c>
      <c r="F2391">
        <v>0</v>
      </c>
      <c r="G2391" t="str">
        <v>すだれ。日よけや部屋の仕切りに使う竹製の道具。 はく。のべがね。金属を叩き、薄く延ばしたもの。 まぶし。蚕にまゆを作らせるための道具。</v>
      </c>
      <c r="H2391" t="str">
        <v>#自然</v>
      </c>
      <c r="I2391">
        <v>10</v>
      </c>
      <c r="J2391">
        <v>50</v>
      </c>
      <c r="K2391">
        <v>50</v>
      </c>
      <c r="L2391">
        <v>1</v>
      </c>
    </row>
    <row r="2392">
      <c r="A2392" t="str">
        <v>蔓</v>
      </c>
      <c r="B2392">
        <v>14</v>
      </c>
      <c r="C2392" t="b">
        <v>0</v>
      </c>
      <c r="D2392" t="str">
        <v>バン マン</v>
      </c>
      <c r="E2392" t="str">
        <v>つる はびこ（る）</v>
      </c>
      <c r="F2392">
        <v>0</v>
      </c>
      <c r="G2392" t="str">
        <v>つる。かずら。つるのある草。 はびこる。つるのように広がる。のびる。</v>
      </c>
      <c r="H2392" t="str">
        <v>#繁栄</v>
      </c>
      <c r="I2392">
        <v>10</v>
      </c>
      <c r="J2392">
        <v>50</v>
      </c>
      <c r="K2392">
        <v>50</v>
      </c>
      <c r="L2392">
        <v>1</v>
      </c>
    </row>
    <row r="2393">
      <c r="A2393" t="str">
        <v>緋</v>
      </c>
      <c r="B2393">
        <v>14</v>
      </c>
      <c r="C2393" t="b">
        <v>0</v>
      </c>
      <c r="D2393" t="str">
        <v>ヒ</v>
      </c>
      <c r="E2393" t="str">
        <v>あか あけ</v>
      </c>
      <c r="F2393">
        <v>0</v>
      </c>
      <c r="G2393" t="str">
        <v>あか。あけ。ひいろ。濃くて明るい赤色。 あか色のきぬ。</v>
      </c>
      <c r="H2393" t="str">
        <v>#天空</v>
      </c>
      <c r="I2393">
        <v>70</v>
      </c>
      <c r="J2393">
        <v>60</v>
      </c>
      <c r="K2393">
        <v>70</v>
      </c>
      <c r="L2393">
        <v>0</v>
      </c>
      <c r="M2393">
        <f>VLOOKUP(A2393,[1]kanji_data!$A:$N,14,FALSE)</f>
        <v>0</v>
      </c>
    </row>
    <row r="2394">
      <c r="A2394" t="str">
        <v>輔</v>
      </c>
      <c r="B2394">
        <v>14</v>
      </c>
      <c r="C2394" t="b">
        <v>0</v>
      </c>
      <c r="D2394" t="str">
        <v>フ ホ</v>
      </c>
      <c r="E2394" t="str">
        <v>すけ たす（ける）</v>
      </c>
      <c r="F2394" t="str">
        <v>たすく ゆう</v>
      </c>
      <c r="G2394" t="str">
        <v>たすける。たすけ。力添え。 車を補強する添え木。 ほお骨。あご。上あご。 すけ。昔、省の第二等官。次官。</v>
      </c>
      <c r="H2394" t="str">
        <v>#慈愛</v>
      </c>
      <c r="I2394">
        <v>100</v>
      </c>
      <c r="J2394">
        <v>85</v>
      </c>
      <c r="K2394">
        <v>40</v>
      </c>
      <c r="L2394">
        <v>0</v>
      </c>
      <c r="M2394">
        <f>VLOOKUP(A2394,[1]kanji_data!$A:$N,14,FALSE)</f>
        <v>0</v>
      </c>
    </row>
    <row r="2395">
      <c r="A2395" t="str">
        <v>鳳</v>
      </c>
      <c r="B2395">
        <v>14</v>
      </c>
      <c r="C2395" t="b">
        <v>0</v>
      </c>
      <c r="D2395" t="str">
        <v>ブウ ホウ</v>
      </c>
      <c r="E2395" t="str">
        <v>おおとり</v>
      </c>
      <c r="F2395" t="str">
        <v>たか ほ</v>
      </c>
      <c r="G2395" t="str">
        <v>おおとり。めでたいときに現れるとされる伝説上の鳥。鳳凰（ほうおう）。雄を「鳳」雌を「凰」という。 天子に関する事物の上につけて用いることば。</v>
      </c>
      <c r="H2395" t="str">
        <v>#勇気 #幸福</v>
      </c>
      <c r="I2395">
        <v>70</v>
      </c>
      <c r="J2395">
        <v>60</v>
      </c>
      <c r="K2395">
        <v>60</v>
      </c>
      <c r="L2395">
        <v>0</v>
      </c>
      <c r="M2395">
        <f>VLOOKUP(A2395,[1]kanji_data!$A:$N,14,FALSE)</f>
        <v>0</v>
      </c>
    </row>
    <row r="2396">
      <c r="A2396" t="str">
        <v>碧</v>
      </c>
      <c r="B2396">
        <v>14</v>
      </c>
      <c r="C2396" t="b">
        <v>0</v>
      </c>
      <c r="D2396" t="str">
        <v>ヘキ</v>
      </c>
      <c r="E2396" t="str">
        <v>あお あお（い） みどり</v>
      </c>
      <c r="F2396" t="str">
        <v>きよ きよし たま</v>
      </c>
      <c r="G2396" t="str">
        <v>あお。みどり。濃い青色。あおみどり色。 青色の美しい石。碧玉（へきぎょく）。</v>
      </c>
      <c r="H2396" t="str">
        <v>#海・水 #花・彩</v>
      </c>
      <c r="I2396">
        <v>100</v>
      </c>
      <c r="J2396">
        <v>30</v>
      </c>
      <c r="K2396">
        <v>90</v>
      </c>
      <c r="L2396">
        <v>0</v>
      </c>
      <c r="M2396">
        <f>VLOOKUP(A2396,[1]kanji_data!$A:$N,14,FALSE)</f>
        <v>0</v>
      </c>
    </row>
    <row r="2397">
      <c r="A2397" t="str">
        <v>鱒</v>
      </c>
      <c r="B2397">
        <v>23</v>
      </c>
      <c r="C2397" t="b">
        <v>0</v>
      </c>
      <c r="D2397" t="str">
        <v>ソン ゾン</v>
      </c>
      <c r="E2397" t="str">
        <v>ます</v>
      </c>
      <c r="F2397">
        <v>0</v>
      </c>
      <c r="G2397" t="str">
        <v>ます。サケ科の魚。</v>
      </c>
      <c r="I2397">
        <v>10</v>
      </c>
      <c r="J2397">
        <v>50</v>
      </c>
      <c r="K2397">
        <v>50</v>
      </c>
      <c r="L2397">
        <v>1</v>
      </c>
    </row>
    <row r="2398">
      <c r="A2398" t="str">
        <v>鱗</v>
      </c>
      <c r="B2398">
        <v>24</v>
      </c>
      <c r="C2398" t="b">
        <v>0</v>
      </c>
      <c r="D2398" t="str">
        <v>リン</v>
      </c>
      <c r="E2398" t="str">
        <v>うろこ</v>
      </c>
      <c r="F2398">
        <v>0</v>
      </c>
      <c r="G2398" t="str">
        <v>うろこ。魚や爬虫類（はちゅうるい）のうろこ。 魚類、またうろこのある動物の総称。</v>
      </c>
      <c r="I2398">
        <v>10</v>
      </c>
      <c r="J2398">
        <v>50</v>
      </c>
      <c r="K2398">
        <v>50</v>
      </c>
      <c r="L2398">
        <v>1</v>
      </c>
    </row>
    <row r="2399">
      <c r="A2399" t="str">
        <v>綾</v>
      </c>
      <c r="B2399">
        <v>14</v>
      </c>
      <c r="C2399" t="b">
        <v>0</v>
      </c>
      <c r="D2399" t="str">
        <v>リョウ リン</v>
      </c>
      <c r="E2399" t="str">
        <v>あや</v>
      </c>
      <c r="F2399">
        <v>0</v>
      </c>
      <c r="G2399" t="str">
        <v>あや。あやぎぬ。模様を織り出した絹。 あや。いきさつ。</v>
      </c>
      <c r="H2399" t="str">
        <v>#花・彩</v>
      </c>
      <c r="I2399">
        <v>90</v>
      </c>
      <c r="J2399">
        <v>25</v>
      </c>
      <c r="K2399">
        <v>85</v>
      </c>
      <c r="L2399">
        <v>0</v>
      </c>
      <c r="M2399">
        <f>VLOOKUP(A2399,[1]kanji_data!$A:$N,14,FALSE)</f>
        <v>0</v>
      </c>
    </row>
    <row r="2400">
      <c r="A2400" t="str">
        <v>漣</v>
      </c>
      <c r="B2400">
        <v>14</v>
      </c>
      <c r="C2400" t="b">
        <v>0</v>
      </c>
      <c r="D2400" t="str">
        <v>レン</v>
      </c>
      <c r="E2400" t="str">
        <v>さざなみ</v>
      </c>
      <c r="F2400" t="str">
        <v>なみ</v>
      </c>
      <c r="G2400" t="str">
        <v>さざなみ。波が立つ。さざなみが起こる。 泣く。涙が流れるさま。</v>
      </c>
      <c r="H2400" t="str">
        <v>#海・水</v>
      </c>
      <c r="I2400">
        <v>90</v>
      </c>
      <c r="J2400">
        <v>5</v>
      </c>
      <c r="K2400">
        <v>100</v>
      </c>
      <c r="L2400">
        <v>0</v>
      </c>
      <c r="M2400">
        <f>VLOOKUP(A2400,[1]kanji_data!$A:$N,14,FALSE)</f>
        <v>0</v>
      </c>
    </row>
    <row r="2401">
      <c r="A2401" t="str">
        <v>颯</v>
      </c>
      <c r="B2401">
        <v>14</v>
      </c>
      <c r="C2401" t="b">
        <v>0</v>
      </c>
      <c r="D2401" t="str">
        <v>サツ ソウ</v>
      </c>
      <c r="E2401" t="str">
        <v>はやて</v>
      </c>
      <c r="F2401" t="str">
        <v>はや ふう</v>
      </c>
      <c r="G2401" t="str">
        <v>はやて。さっと吹く風。疾風。 風のさっと吹くさま。またその音。 動作がきびきびしたさま。</v>
      </c>
      <c r="H2401" t="str">
        <v>#勇気 #天空 #自然</v>
      </c>
      <c r="I2401">
        <v>100</v>
      </c>
      <c r="J2401">
        <v>100</v>
      </c>
      <c r="K2401">
        <v>35</v>
      </c>
      <c r="L2401">
        <v>0</v>
      </c>
      <c r="M2401">
        <f>VLOOKUP(A2401,[1]kanji_data!$A:$N,14,FALSE)</f>
        <v>0</v>
      </c>
    </row>
    <row r="2402">
      <c r="A2402" t="str">
        <v>漱</v>
      </c>
      <c r="B2402">
        <v>14</v>
      </c>
      <c r="C2402" t="b">
        <v>0</v>
      </c>
      <c r="D2402" t="str">
        <v>ソウ</v>
      </c>
      <c r="E2402" t="str">
        <v>うがい くちすす（ぐ） すす（ぐ）</v>
      </c>
      <c r="F2402" t="str">
        <v>すすぐ そ</v>
      </c>
      <c r="G2402" t="str">
        <v>口をすすぐ。うがいをする。 すすぐ。ゆすぐ。汚れを落とす。</v>
      </c>
      <c r="H2402" t="str">
        <v>#海・水</v>
      </c>
      <c r="I2402">
        <v>90</v>
      </c>
      <c r="J2402">
        <v>60</v>
      </c>
      <c r="K2402">
        <v>65</v>
      </c>
      <c r="L2402">
        <v>0</v>
      </c>
      <c r="M2402">
        <f>VLOOKUP(A2402,[1]kanji_data!$A:$N,14,FALSE)</f>
        <v>0</v>
      </c>
    </row>
    <row r="2403">
      <c r="A2403" t="str">
        <v>綺</v>
      </c>
      <c r="B2403">
        <v>14</v>
      </c>
      <c r="C2403" t="b">
        <v>0</v>
      </c>
      <c r="D2403" t="str">
        <v>キ</v>
      </c>
      <c r="E2403" t="str">
        <v>あや いろ（う） うつく（しい）</v>
      </c>
      <c r="F2403">
        <v>0</v>
      </c>
      <c r="G2403" t="str">
        <v>あや。あやぎぬ。模様を織り出した絹。 いろう。いじる。干渉する。 うつくしい。はなやか。</v>
      </c>
      <c r="H2403" t="str">
        <v>#花・彩</v>
      </c>
      <c r="I2403">
        <v>60</v>
      </c>
      <c r="J2403">
        <v>30</v>
      </c>
      <c r="K2403">
        <v>90</v>
      </c>
      <c r="L2403">
        <v>0</v>
      </c>
      <c r="M2403">
        <f>VLOOKUP(A2403,[1]kanji_data!$A:$N,14,FALSE)</f>
        <v>0</v>
      </c>
    </row>
    <row r="2404">
      <c r="A2404" t="str">
        <v>釀</v>
      </c>
      <c r="B2404">
        <v>20</v>
      </c>
      <c r="C2404" t="b">
        <v>0</v>
      </c>
      <c r="D2404" t="str">
        <v>ジョウ</v>
      </c>
      <c r="E2404" t="str">
        <v>かも（す）</v>
      </c>
      <c r="F2404">
        <v>0</v>
      </c>
      <c r="G2404" t="str">
        <v>かもす。発酵させ、酒をつくる。 酒。 切ってまぜあわせる。 時間をかけてつくる。</v>
      </c>
      <c r="I2404">
        <v>10</v>
      </c>
      <c r="J2404">
        <v>50</v>
      </c>
      <c r="K2404">
        <v>50</v>
      </c>
      <c r="L2404">
        <v>1</v>
      </c>
    </row>
    <row r="2405">
      <c r="A2405" t="str">
        <v>槇</v>
      </c>
      <c r="B2405">
        <v>14</v>
      </c>
      <c r="C2405" t="b">
        <v>0</v>
      </c>
      <c r="D2405" t="str">
        <v>テン シン</v>
      </c>
      <c r="E2405" t="str">
        <v>まき</v>
      </c>
      <c r="F2405">
        <v>0</v>
      </c>
      <c r="G2405" t="str">
        <v>こずえ。木のこずえ。木の枝の先。 木が倒れる。また、倒れた木。 木の目が細かい。 まき。まき科・こうやまき科の常緑高木。</v>
      </c>
      <c r="H2405" t="str">
        <v>#自然</v>
      </c>
      <c r="I2405">
        <v>40</v>
      </c>
      <c r="J2405">
        <v>55</v>
      </c>
      <c r="K2405">
        <v>55</v>
      </c>
      <c r="L2405">
        <v>0</v>
      </c>
      <c r="M2405">
        <f>VLOOKUP(A2405,[1]kanji_data!$A:$N,14,FALSE)</f>
        <v>0</v>
      </c>
    </row>
    <row r="2406">
      <c r="A2406" t="str">
        <v>榮</v>
      </c>
      <c r="B2406">
        <v>14</v>
      </c>
      <c r="C2406" t="b">
        <v>0</v>
      </c>
      <c r="D2406" t="str">
        <v>エイ</v>
      </c>
      <c r="E2406" t="str">
        <v>さか（える） は（え） は（える） は（やす）</v>
      </c>
      <c r="F2406" t="str">
        <v>え さかえ</v>
      </c>
      <c r="G2406" t="str">
        <v>さかえる。さかえ。きらびやかで美しい花のように、華やかにさかえる。 はえ。ほまれ。名誉。 かがやく。かがやかしい。</v>
      </c>
      <c r="H2406" t="str">
        <v>#品格 #天空 #花・彩</v>
      </c>
      <c r="I2406">
        <v>15</v>
      </c>
      <c r="J2406">
        <v>65</v>
      </c>
      <c r="K2406">
        <v>45</v>
      </c>
      <c r="L2406">
        <v>0</v>
      </c>
      <c r="M2406">
        <f>VLOOKUP(A2406,[1]kanji_data!$A:$N,14,FALSE)</f>
        <v>0</v>
      </c>
    </row>
    <row r="2407">
      <c r="A2407" t="str">
        <v>實</v>
      </c>
      <c r="B2407">
        <v>14</v>
      </c>
      <c r="C2407" t="b">
        <v>0</v>
      </c>
      <c r="D2407" t="str">
        <v>ジツ</v>
      </c>
      <c r="E2407" t="str">
        <v>さね まこと まめ み み（ちる） みの（る）</v>
      </c>
      <c r="F2407">
        <v>0</v>
      </c>
      <c r="G2407" t="str">
        <v>み。草木のみ。草木の種。さね。 みのる。草木にみがなる。 みちる。いっぱいになる。豊かになる。 まこと。まごころ。 まこと。本当。偽りのない。 まことに。本当に。 じつ。真心。親切心。誠意。</v>
      </c>
      <c r="H2407" t="str">
        <v>#心・志 #繁栄 #自然</v>
      </c>
      <c r="I2407">
        <v>10</v>
      </c>
      <c r="J2407">
        <v>75</v>
      </c>
      <c r="K2407">
        <v>45</v>
      </c>
      <c r="L2407">
        <v>0</v>
      </c>
      <c r="M2407">
        <f>VLOOKUP(A2407,[1]kanji_data!$A:$N,14,FALSE)</f>
        <v>0</v>
      </c>
    </row>
    <row r="2408">
      <c r="A2408" t="str">
        <v>奬</v>
      </c>
      <c r="B2408">
        <v>14</v>
      </c>
      <c r="C2408" t="b">
        <v>0</v>
      </c>
      <c r="D2408" t="str">
        <v>ショウ ソウ</v>
      </c>
      <c r="E2408" t="str">
        <v>すす（める）</v>
      </c>
      <c r="F2408">
        <v>0</v>
      </c>
      <c r="G2408" t="str">
        <v>すすめる。ある事をよいと認め、それを行うようにすすめる。 はげます。ほめる。力づけてたすける。</v>
      </c>
      <c r="H2408" t="str">
        <v>#慈愛</v>
      </c>
      <c r="I2408">
        <v>10</v>
      </c>
      <c r="J2408">
        <v>65</v>
      </c>
      <c r="K2408">
        <v>45</v>
      </c>
      <c r="L2408">
        <v>0</v>
      </c>
      <c r="M2408">
        <f>VLOOKUP(A2408,[1]kanji_data!$A:$N,14,FALSE)</f>
        <v>0</v>
      </c>
    </row>
    <row r="2409">
      <c r="A2409" t="str">
        <v>廳</v>
      </c>
      <c r="B2409">
        <v>25</v>
      </c>
      <c r="C2409" t="b">
        <v>0</v>
      </c>
      <c r="D2409" t="str">
        <v>チョウ テイ</v>
      </c>
      <c r="E2409">
        <v>0</v>
      </c>
      <c r="F2409">
        <v>0</v>
      </c>
      <c r="G2409" t="str">
        <v>役所。公の仕事を行う場所。 部屋。客を通して応接する広間。</v>
      </c>
      <c r="I2409">
        <v>10</v>
      </c>
      <c r="J2409">
        <v>50</v>
      </c>
      <c r="K2409">
        <v>50</v>
      </c>
      <c r="L2409">
        <v>1</v>
      </c>
    </row>
    <row r="2410">
      <c r="A2410" t="str">
        <v>又</v>
      </c>
      <c r="B2410">
        <v>2</v>
      </c>
      <c r="C2410" t="b">
        <v>1</v>
      </c>
      <c r="D2410" t="str">
        <v>ユウ ウ</v>
      </c>
      <c r="E2410" t="str">
        <v>また ふたた（び）</v>
      </c>
      <c r="F2410" t="str">
        <v>すけ たすく やす</v>
      </c>
      <c r="G2410" t="str">
        <v>また。さらに。そのうえ。 また。ふたたび。 みぎ。右の手。 ゆるす。＝宥 または。あるいは。もしくは。</v>
      </c>
      <c r="I2410">
        <v>10</v>
      </c>
      <c r="J2410">
        <v>60</v>
      </c>
      <c r="K2410">
        <v>60</v>
      </c>
      <c r="L2410">
        <v>0</v>
      </c>
      <c r="M2410">
        <f>VLOOKUP(A2410,[1]kanji_data!$A:$N,14,FALSE)</f>
        <v>0</v>
      </c>
    </row>
    <row r="2411">
      <c r="A2411" t="str">
        <v>凡</v>
      </c>
      <c r="B2411">
        <v>3</v>
      </c>
      <c r="C2411" t="b">
        <v>1</v>
      </c>
      <c r="D2411" t="str">
        <v>ボン ハン</v>
      </c>
      <c r="E2411" t="str">
        <v>およ（そ） すべ（て） なみ</v>
      </c>
      <c r="F2411">
        <v>0</v>
      </c>
      <c r="G2411" t="str">
        <v>およそ。おおよそ。おおかた。あらまし。 すべて。あらゆる。みな。 なみ。普通。一般的。あたりまえ。</v>
      </c>
      <c r="I2411">
        <v>10</v>
      </c>
      <c r="J2411">
        <v>65</v>
      </c>
      <c r="K2411">
        <v>55</v>
      </c>
      <c r="L2411">
        <v>0</v>
      </c>
      <c r="M2411">
        <f>VLOOKUP(A2411,[1]kanji_data!$A:$N,14,FALSE)</f>
        <v>0</v>
      </c>
    </row>
    <row r="2412">
      <c r="A2412" t="str">
        <v>粹</v>
      </c>
      <c r="B2412">
        <v>14</v>
      </c>
      <c r="C2412" t="b">
        <v>0</v>
      </c>
      <c r="D2412" t="str">
        <v>スイ</v>
      </c>
      <c r="E2412" t="str">
        <v>いき</v>
      </c>
      <c r="F2412">
        <v>0</v>
      </c>
      <c r="G2412" t="str">
        <v>混じりけがない。例：純粋 もっぱら。 質がよい。すぐれている。また、そのような部分。 くだく。くだける。わける。 いき。すい。あかぬけている。物分りのよい。</v>
      </c>
      <c r="H2412" t="str">
        <v>#花・彩</v>
      </c>
      <c r="I2412">
        <v>10</v>
      </c>
      <c r="J2412">
        <v>55</v>
      </c>
      <c r="K2412">
        <v>70</v>
      </c>
      <c r="L2412">
        <v>0</v>
      </c>
      <c r="M2412">
        <f>VLOOKUP(A2412,[1]kanji_data!$A:$N,14,FALSE)</f>
        <v>0</v>
      </c>
    </row>
    <row r="2413">
      <c r="A2413" t="str">
        <v>午</v>
      </c>
      <c r="B2413">
        <v>4</v>
      </c>
      <c r="C2413" t="b">
        <v>1</v>
      </c>
      <c r="D2413" t="str">
        <v>ゴ</v>
      </c>
      <c r="E2413" t="str">
        <v>うま ひる</v>
      </c>
      <c r="F2413" t="str">
        <v>ま</v>
      </c>
      <c r="G2413" t="str">
        <v>うま。十二支の七番目。方位では南。時刻では昼の十二時、および前後の二時間。動物では馬。 昼。真昼。 さからう。もとる。そむく。＝忤</v>
      </c>
      <c r="I2413">
        <v>10</v>
      </c>
      <c r="J2413">
        <v>50</v>
      </c>
      <c r="K2413">
        <v>50</v>
      </c>
      <c r="L2413">
        <v>0</v>
      </c>
      <c r="M2413">
        <f>VLOOKUP(A2413,[1]kanji_data!$A:$N,14,FALSE)</f>
        <v>0</v>
      </c>
    </row>
    <row r="2414">
      <c r="A2414" t="str">
        <v>寢</v>
      </c>
      <c r="B2414">
        <v>14</v>
      </c>
      <c r="C2414" t="b">
        <v>0</v>
      </c>
      <c r="D2414" t="str">
        <v>シン</v>
      </c>
      <c r="E2414" t="str">
        <v>ね（かす） ね（る） みたまや みにく（い） や（める）</v>
      </c>
      <c r="F2414">
        <v>0</v>
      </c>
      <c r="G2414" t="str">
        <v>ねる。ねかす。ねむる。横になる。 へや。奥座敷。 やめる。とりやめる。中止する。 みたまや。祖先の霊をまつる建物。 みにくい。姿や態度などがよくない。</v>
      </c>
      <c r="H2414" t="str">
        <v>#品格</v>
      </c>
      <c r="I2414">
        <v>10</v>
      </c>
      <c r="J2414">
        <v>50</v>
      </c>
      <c r="K2414">
        <v>50</v>
      </c>
      <c r="L2414">
        <v>1</v>
      </c>
    </row>
    <row r="2415">
      <c r="A2415" t="str">
        <v>幻</v>
      </c>
      <c r="B2415">
        <v>4</v>
      </c>
      <c r="C2415" t="b">
        <v>1</v>
      </c>
      <c r="D2415" t="str">
        <v>ゲン</v>
      </c>
      <c r="E2415" t="str">
        <v>まぼろし まど（わす）</v>
      </c>
      <c r="F2415">
        <v>0</v>
      </c>
      <c r="G2415" t="str">
        <v>まぼろし。実際には存在しないが、あるかのように見えるもの。 まどわす。たぶらかす。だます。</v>
      </c>
      <c r="I2415">
        <v>10</v>
      </c>
      <c r="J2415">
        <v>45</v>
      </c>
      <c r="K2415">
        <v>70</v>
      </c>
      <c r="L2415">
        <v>0</v>
      </c>
      <c r="M2415">
        <f>VLOOKUP(A2415,[1]kanji_data!$A:$N,14,FALSE)</f>
        <v>0</v>
      </c>
    </row>
    <row r="2416">
      <c r="A2416" t="str">
        <v>壽</v>
      </c>
      <c r="B2416">
        <v>14</v>
      </c>
      <c r="C2416" t="b">
        <v>0</v>
      </c>
      <c r="D2416" t="str">
        <v>ジュ ス</v>
      </c>
      <c r="E2416" t="str">
        <v>ことぶき いのちなが（し） ことほ（ぐ） とし ひさ（しい）</v>
      </c>
      <c r="F2416">
        <v>0</v>
      </c>
      <c r="G2416" t="str">
        <v>ひさしい。いのちながし。長生きである。寿命が長い。 とし。よわい。年齢。 ことぶき。ことほぐ。長命を喜び祝う。 ことぶき。ことほぐ。めでたいことを喜び祝う。また、その言葉。</v>
      </c>
      <c r="H2416" t="str">
        <v>#健康 #幸福 #自然</v>
      </c>
      <c r="I2416">
        <v>10</v>
      </c>
      <c r="J2416">
        <v>65</v>
      </c>
      <c r="K2416">
        <v>50</v>
      </c>
      <c r="L2416">
        <v>0</v>
      </c>
      <c r="M2416">
        <f>VLOOKUP(A2416,[1]kanji_data!$A:$N,14,FALSE)</f>
        <v>0</v>
      </c>
    </row>
    <row r="2417">
      <c r="A2417" t="str">
        <v>写</v>
      </c>
      <c r="B2417">
        <v>5</v>
      </c>
      <c r="C2417" t="b">
        <v>1</v>
      </c>
      <c r="D2417" t="str">
        <v>シャ</v>
      </c>
      <c r="E2417" t="str">
        <v>うつ（す） うつ（る）</v>
      </c>
      <c r="F2417">
        <v>0</v>
      </c>
      <c r="G2417" t="str">
        <v>うつす。うつる。文字などを書きうつす。もとの形を別のところにえがきうつす。 のぞく。とりのぞく。 そそぐ。流しこむ。</v>
      </c>
      <c r="I2417">
        <v>10</v>
      </c>
      <c r="J2417">
        <v>65</v>
      </c>
      <c r="K2417">
        <v>55</v>
      </c>
      <c r="L2417">
        <v>1</v>
      </c>
    </row>
    <row r="2418">
      <c r="A2418" t="str">
        <v>福</v>
      </c>
      <c r="B2418">
        <v>14</v>
      </c>
      <c r="C2418" t="b">
        <v>0</v>
      </c>
      <c r="D2418" t="str">
        <v>フク</v>
      </c>
      <c r="E2418" t="str">
        <v>さいわ（い）</v>
      </c>
      <c r="F2418">
        <v>0</v>
      </c>
      <c r="G2418" t="str">
        <v>さいわい。しあわせ。 さいわいを与える。しあわせを与える。 祭りの際、神に供える酒や肉。</v>
      </c>
      <c r="H2418" t="str">
        <v>#幸福</v>
      </c>
      <c r="I2418">
        <v>10</v>
      </c>
      <c r="J2418">
        <v>65</v>
      </c>
      <c r="K2418">
        <v>50</v>
      </c>
      <c r="L2418">
        <v>0</v>
      </c>
      <c r="M2418">
        <f>VLOOKUP(A2418,[1]kanji_data!$A:$N,14,FALSE)</f>
        <v>0</v>
      </c>
    </row>
    <row r="2419">
      <c r="A2419" t="str">
        <v>且</v>
      </c>
      <c r="B2419">
        <v>5</v>
      </c>
      <c r="C2419" t="b">
        <v>1</v>
      </c>
      <c r="D2419" t="str">
        <v>ショ</v>
      </c>
      <c r="E2419" t="str">
        <v>か（つ） しばら（く） まさ（に）</v>
      </c>
      <c r="F2419" t="str">
        <v>かつ</v>
      </c>
      <c r="G2419" t="str">
        <v>かつ。そのうえ。さらに。物事の同時進行、並列の意を表す。 しばらく。ひとまず。とりあえず。 「まさに～せんとす」と読み、「今にも～しようとする」の意。 もし。仮に。</v>
      </c>
      <c r="I2419">
        <v>10</v>
      </c>
      <c r="J2419">
        <v>40</v>
      </c>
      <c r="K2419">
        <v>75</v>
      </c>
      <c r="L2419">
        <v>0</v>
      </c>
      <c r="M2419">
        <f>VLOOKUP(A2419,[1]kanji_data!$A:$N,14,FALSE)</f>
        <v>0</v>
      </c>
    </row>
    <row r="2420">
      <c r="A2420" t="str">
        <v>戊</v>
      </c>
      <c r="B2420">
        <v>5</v>
      </c>
      <c r="C2420" t="b">
        <v>0</v>
      </c>
      <c r="D2420" t="str">
        <v>ボ ボウ</v>
      </c>
      <c r="E2420" t="str">
        <v>つちのえ</v>
      </c>
      <c r="F2420">
        <v>0</v>
      </c>
      <c r="G2420" t="str">
        <v>十干（じっかん）の五番目。つちのえ。五行では土。方位では中央。</v>
      </c>
      <c r="I2420">
        <v>10</v>
      </c>
      <c r="J2420">
        <v>50</v>
      </c>
      <c r="K2420">
        <v>50</v>
      </c>
      <c r="L2420">
        <v>1</v>
      </c>
    </row>
    <row r="2421">
      <c r="A2421" t="str">
        <v>漢</v>
      </c>
      <c r="B2421">
        <v>14</v>
      </c>
      <c r="C2421" t="b">
        <v>0</v>
      </c>
      <c r="D2421" t="str">
        <v>カン</v>
      </c>
      <c r="E2421" t="str">
        <v>おとこ から</v>
      </c>
      <c r="F2421">
        <v>0</v>
      </c>
      <c r="G2421" t="str">
        <v>中国を流れる川の名「漢水」。 男。男子。男性の称。 天の川。 中国の王朝の名。また、中国に関することがら。 民族の名。漢族。漢民族。 あや。から。中国のこと。</v>
      </c>
      <c r="H2421" t="str">
        <v>#海・水</v>
      </c>
      <c r="I2421">
        <v>10</v>
      </c>
      <c r="J2421">
        <v>85</v>
      </c>
      <c r="K2421">
        <v>30</v>
      </c>
      <c r="L2421">
        <v>1</v>
      </c>
    </row>
    <row r="2422">
      <c r="A2422" t="str">
        <v>曲</v>
      </c>
      <c r="B2422">
        <v>6</v>
      </c>
      <c r="C2422" t="b">
        <v>1</v>
      </c>
      <c r="D2422" t="str">
        <v>キョク</v>
      </c>
      <c r="E2422" t="str">
        <v>ま（がる） ま（げる） かね くせ くま まが</v>
      </c>
      <c r="F2422">
        <v>0</v>
      </c>
      <c r="G2422" t="str">
        <v>まがる。まげる。折れまがる。また、まっすぐでない。 まげる。ねじまげる。ゆがめる。 よこしま。不正。正しくない。 すみ。くま。まがって入りくんだところ。 ふし。音楽のふし。また、音楽の作品。 こまかい。くわしい。こまかく。くわしく。 くせ。正しくない。また、疑わしい。 きょく。面白味。</v>
      </c>
      <c r="I2422">
        <v>10</v>
      </c>
      <c r="J2422">
        <v>55</v>
      </c>
      <c r="K2422">
        <v>55</v>
      </c>
      <c r="L2422">
        <v>1</v>
      </c>
    </row>
    <row r="2423">
      <c r="A2423" t="str">
        <v>禎</v>
      </c>
      <c r="B2423">
        <v>14</v>
      </c>
      <c r="C2423" t="b">
        <v>0</v>
      </c>
      <c r="D2423" t="str">
        <v>テイ</v>
      </c>
      <c r="E2423" t="str">
        <v>さいわ（い）</v>
      </c>
      <c r="F2423">
        <v>0</v>
      </c>
      <c r="G2423" t="str">
        <v>さいわい。めでたい。 ただしい。</v>
      </c>
      <c r="H2423" t="str">
        <v>#品格 #幸福</v>
      </c>
      <c r="I2423">
        <v>10</v>
      </c>
      <c r="J2423">
        <v>60</v>
      </c>
      <c r="K2423">
        <v>55</v>
      </c>
      <c r="L2423">
        <v>0</v>
      </c>
      <c r="M2423">
        <f>VLOOKUP(A2423,[1]kanji_data!$A:$N,14,FALSE)</f>
        <v>0</v>
      </c>
    </row>
    <row r="2424">
      <c r="A2424" t="str">
        <v>巡</v>
      </c>
      <c r="B2424">
        <v>6</v>
      </c>
      <c r="C2424" t="b">
        <v>1</v>
      </c>
      <c r="D2424" t="str">
        <v>ジュン</v>
      </c>
      <c r="E2424" t="str">
        <v>めぐ（る） まわ（る）</v>
      </c>
      <c r="F2424" t="str">
        <v>めぐる</v>
      </c>
      <c r="G2424" t="str">
        <v>めぐる。まわる。めぐり歩く。まわり歩く。 見まわる。巡視する。 まわる。まわる回数を数える語。</v>
      </c>
      <c r="I2424">
        <v>10</v>
      </c>
      <c r="J2424">
        <v>50</v>
      </c>
      <c r="K2424">
        <v>50</v>
      </c>
      <c r="L2424">
        <v>0</v>
      </c>
      <c r="M2424">
        <f>VLOOKUP(A2424,[1]kanji_data!$A:$N,14,FALSE)</f>
        <v>0</v>
      </c>
    </row>
    <row r="2425">
      <c r="A2425" t="str">
        <v>賓</v>
      </c>
      <c r="B2425">
        <v>14</v>
      </c>
      <c r="C2425" t="b">
        <v>0</v>
      </c>
      <c r="D2425" t="str">
        <v>ヒン</v>
      </c>
      <c r="E2425" t="str">
        <v>したが（う） まろうど</v>
      </c>
      <c r="F2425">
        <v>0</v>
      </c>
      <c r="G2425" t="str">
        <v>したがう。服従する。つき従う。また、従える。 まろうど。客人。特に、身分の高い客。大切な客。 客としてもてなす。客としてあつかう。 しりぞける。おしのける。すてる。 連ねる。連なる。順序立てて並べる。</v>
      </c>
      <c r="H2425" t="str">
        <v>#天空</v>
      </c>
      <c r="I2425">
        <v>10</v>
      </c>
      <c r="J2425">
        <v>30</v>
      </c>
      <c r="K2425">
        <v>85</v>
      </c>
      <c r="L2425">
        <v>1</v>
      </c>
    </row>
    <row r="2426">
      <c r="A2426" t="str">
        <v>寬</v>
      </c>
      <c r="B2426">
        <v>15</v>
      </c>
      <c r="C2426" t="b">
        <v>0</v>
      </c>
      <c r="D2426" t="str">
        <v>カン</v>
      </c>
      <c r="E2426" t="str">
        <v>くつろ（ぐ） ひろ（い） ゆる（やか）</v>
      </c>
      <c r="F2426">
        <v>0</v>
      </c>
      <c r="G2426" t="str">
        <v>ひろい。ゆったりとしてゆとりがある。空間がひろい。また、心がひろい。 ゆるやか。きびしくない。ゆったりしている。 くつろぐ。ゆったりする。のんびりする。</v>
      </c>
      <c r="H2426" t="str">
        <v>#天空 #繁栄</v>
      </c>
      <c r="I2426">
        <v>10</v>
      </c>
      <c r="J2426">
        <v>30</v>
      </c>
      <c r="K2426">
        <v>85</v>
      </c>
      <c r="L2426">
        <v>0</v>
      </c>
      <c r="M2426">
        <f>VLOOKUP(A2426,[1]kanji_data!$A:$N,14,FALSE)</f>
        <v>0</v>
      </c>
    </row>
    <row r="2427">
      <c r="A2427" t="str">
        <v>綠</v>
      </c>
      <c r="B2427">
        <v>14</v>
      </c>
      <c r="C2427" t="b">
        <v>0</v>
      </c>
      <c r="D2427" t="str">
        <v>リョク ロク</v>
      </c>
      <c r="E2427" t="str">
        <v>みどり</v>
      </c>
      <c r="F2427">
        <v>0</v>
      </c>
      <c r="G2427" t="str">
        <v>みどり色。青と黄の中間色。 草の名。かりやす。</v>
      </c>
      <c r="H2427" t="str">
        <v>#花・彩</v>
      </c>
      <c r="I2427">
        <v>10</v>
      </c>
      <c r="J2427">
        <v>35</v>
      </c>
      <c r="K2427">
        <v>70</v>
      </c>
      <c r="L2427">
        <v>0</v>
      </c>
      <c r="M2427">
        <f>VLOOKUP(A2427,[1]kanji_data!$A:$N,14,FALSE)</f>
        <v>0</v>
      </c>
    </row>
    <row r="2428">
      <c r="A2428" t="str">
        <v>而</v>
      </c>
      <c r="B2428">
        <v>6</v>
      </c>
      <c r="C2428" t="b">
        <v>0</v>
      </c>
      <c r="D2428" t="str">
        <v>ジ</v>
      </c>
      <c r="E2428" t="str">
        <v>しか（して） しか（も） しか（るに） しか（れども） なんじ</v>
      </c>
      <c r="F2428" t="str">
        <v>しか なお ゆき</v>
      </c>
      <c r="G2428" t="str">
        <v>そして。しかして。しこうして。順接を表す助字。 しかも。しかるに。しかれども。逆接を表す助字。 なんじ。お前。相手をさすことば。 ひげ。あごひげ。口ひげ。</v>
      </c>
      <c r="I2428">
        <v>10</v>
      </c>
      <c r="J2428">
        <v>55</v>
      </c>
      <c r="K2428">
        <v>55</v>
      </c>
      <c r="L2428">
        <v>1</v>
      </c>
    </row>
    <row r="2429">
      <c r="A2429" t="str">
        <v>局</v>
      </c>
      <c r="B2429">
        <v>7</v>
      </c>
      <c r="C2429" t="b">
        <v>1</v>
      </c>
      <c r="D2429" t="str">
        <v>キョク</v>
      </c>
      <c r="E2429" t="str">
        <v>つぼね</v>
      </c>
      <c r="F2429">
        <v>0</v>
      </c>
      <c r="G2429" t="str">
        <v>区切り。仕切り。 役所などの組織構成で、職務ごとにこまかく分けられた区分。 まがる。ちぢまる。 ちいさい。また、せまい。 囲碁や将棋などの盤。また、その勝ち負け。 つぼね。宮中などでの女房や女官の居室。また、それを与えられた女房や女官。</v>
      </c>
      <c r="I2429">
        <v>10</v>
      </c>
      <c r="J2429">
        <v>60</v>
      </c>
      <c r="K2429">
        <v>60</v>
      </c>
      <c r="L2429">
        <v>1</v>
      </c>
    </row>
    <row r="2430">
      <c r="A2430" t="str">
        <v>告</v>
      </c>
      <c r="B2430">
        <v>7</v>
      </c>
      <c r="C2430" t="b">
        <v>1</v>
      </c>
      <c r="D2430" t="str">
        <v>コク コウ</v>
      </c>
      <c r="E2430" t="str">
        <v>つ（げる）</v>
      </c>
      <c r="F2430">
        <v>0</v>
      </c>
      <c r="G2430" t="str">
        <v>つげる。話して知らせる。教える。広く知らせる。 つげる。訴える。申し出る。 教えさとす。つげさとす。また、つげることば。＝誥 官吏が休暇を申請する。また、その休暇。休み。</v>
      </c>
      <c r="I2430">
        <v>10</v>
      </c>
      <c r="J2430">
        <v>65</v>
      </c>
      <c r="K2430">
        <v>55</v>
      </c>
      <c r="L2430">
        <v>0</v>
      </c>
      <c r="M2430">
        <f>VLOOKUP(A2430,[1]kanji_data!$A:$N,14,FALSE)</f>
        <v>0</v>
      </c>
    </row>
    <row r="2431">
      <c r="A2431" t="str">
        <v>横</v>
      </c>
      <c r="B2431">
        <v>15</v>
      </c>
      <c r="C2431" t="b">
        <v>1</v>
      </c>
      <c r="D2431" t="str">
        <v>オウ コウ</v>
      </c>
      <c r="E2431" t="str">
        <v>よこ よこ（たわる）</v>
      </c>
      <c r="F2431">
        <v>0</v>
      </c>
      <c r="G2431" t="str">
        <v>よこ。左右。また、東西の方向。 よこたわる。よこたえる。よこにする。よこにねかす。 筆画の一つ。書法「永字八法」での「勒」。 よこしま。道理に従わない。 ほしいまま。心のまま。勝手気まま。 思いがけない。意外。</v>
      </c>
      <c r="H2431" t="str">
        <v>#心・志</v>
      </c>
      <c r="I2431">
        <v>10</v>
      </c>
      <c r="J2431">
        <v>50</v>
      </c>
      <c r="K2431">
        <v>50</v>
      </c>
      <c r="L2431">
        <v>1</v>
      </c>
    </row>
    <row r="2432">
      <c r="A2432" t="str">
        <v>別</v>
      </c>
      <c r="B2432">
        <v>7</v>
      </c>
      <c r="C2432" t="b">
        <v>1</v>
      </c>
      <c r="D2432" t="str">
        <v>ベツ ベチ</v>
      </c>
      <c r="E2432" t="str">
        <v>わか（れる） わか（つ） わ（ける）</v>
      </c>
      <c r="F2432" t="str">
        <v>のぶ わき</v>
      </c>
      <c r="G2432" t="str">
        <v>わかれる。離れる。離ればなれになる。 わかれる。分岐する。枝分かれする。 わかつ。わける。区別する。 ほか。ほかに。 べつに。とりわけ。特に。</v>
      </c>
      <c r="I2432">
        <v>10</v>
      </c>
      <c r="J2432">
        <v>45</v>
      </c>
      <c r="K2432">
        <v>70</v>
      </c>
      <c r="L2432">
        <v>1</v>
      </c>
    </row>
    <row r="2433">
      <c r="A2433" t="str">
        <v>調</v>
      </c>
      <c r="B2433">
        <v>15</v>
      </c>
      <c r="C2433" t="b">
        <v>1</v>
      </c>
      <c r="D2433" t="str">
        <v>チョウ</v>
      </c>
      <c r="E2433" t="str">
        <v>しら（べる） ととの（う） ととの（える） あざけ（る） みつぎ やわら（ぐ）</v>
      </c>
      <c r="F2433" t="str">
        <v>しらべ つぐ</v>
      </c>
      <c r="G2433" t="str">
        <v>ととのう。ととのえる。ほどよくする。まとめ上げる。 あざける。ばかにして笑う。 うつる。うつす。役職がうつる。 とりたてる。めしあげる。徴発する。 みつぎ。税。税制。 しらべ。音楽や詩の調子。 しらべる。確かめる。</v>
      </c>
      <c r="H2433" t="str">
        <v>#天空</v>
      </c>
      <c r="I2433">
        <v>70</v>
      </c>
      <c r="J2433">
        <v>60</v>
      </c>
      <c r="K2433">
        <v>70</v>
      </c>
      <c r="L2433">
        <v>0</v>
      </c>
      <c r="M2433">
        <f>VLOOKUP(A2433,[1]kanji_data!$A:$N,14,FALSE)</f>
        <v>0</v>
      </c>
    </row>
    <row r="2434">
      <c r="A2434" t="str">
        <v>箱</v>
      </c>
      <c r="B2434">
        <v>15</v>
      </c>
      <c r="C2434" t="b">
        <v>1</v>
      </c>
      <c r="D2434" t="str">
        <v>ショウ ソウ</v>
      </c>
      <c r="E2434" t="str">
        <v>はこ</v>
      </c>
      <c r="F2434">
        <v>0</v>
      </c>
      <c r="G2434" t="str">
        <v>はこ。ものを入れるもの。竹製のはこ。はこの総称。 にぐら。車内にある人や物をのせる荷受け。 ひさし。母屋・正寝の両側にある部屋。</v>
      </c>
      <c r="H2434" t="str">
        <v>#健康 #自然</v>
      </c>
      <c r="I2434">
        <v>10</v>
      </c>
      <c r="J2434">
        <v>50</v>
      </c>
      <c r="K2434">
        <v>50</v>
      </c>
      <c r="L2434">
        <v>1</v>
      </c>
    </row>
    <row r="2435">
      <c r="A2435" t="str">
        <v>億</v>
      </c>
      <c r="B2435">
        <v>15</v>
      </c>
      <c r="C2435" t="b">
        <v>1</v>
      </c>
      <c r="D2435" t="str">
        <v>オク</v>
      </c>
      <c r="E2435" t="str">
        <v>おしはか（る）</v>
      </c>
      <c r="F2435" t="str">
        <v>かず はかる やす やすし</v>
      </c>
      <c r="G2435" t="str">
        <v>おしはかる。考えをめぐらす。思いめぐらす。 おく。数の単位。万の一万倍。転じて、数がとても多いこと。 やすらか。やすんじる。</v>
      </c>
      <c r="H2435" t="str">
        <v>#心・志</v>
      </c>
      <c r="I2435">
        <v>30</v>
      </c>
      <c r="J2435">
        <v>50</v>
      </c>
      <c r="K2435">
        <v>50</v>
      </c>
      <c r="L2435">
        <v>1</v>
      </c>
    </row>
    <row r="2436">
      <c r="A2436" t="str">
        <v>課</v>
      </c>
      <c r="B2436">
        <v>15</v>
      </c>
      <c r="C2436" t="b">
        <v>1</v>
      </c>
      <c r="D2436" t="str">
        <v>カ</v>
      </c>
      <c r="E2436" t="str">
        <v>こころ（みる） はか（る） わりあ（てる）</v>
      </c>
      <c r="F2436">
        <v>0</v>
      </c>
      <c r="G2436" t="str">
        <v>こころみる。試験する。 わりあて。わりあてる。 仕事を割り当てる。</v>
      </c>
      <c r="H2436" t="str">
        <v>#天空 #心・志</v>
      </c>
      <c r="I2436">
        <v>10</v>
      </c>
      <c r="J2436">
        <v>50</v>
      </c>
      <c r="K2436">
        <v>50</v>
      </c>
      <c r="L2436">
        <v>1</v>
      </c>
    </row>
    <row r="2437">
      <c r="A2437" t="str">
        <v>器</v>
      </c>
      <c r="B2437">
        <v>15</v>
      </c>
      <c r="C2437" t="b">
        <v>1</v>
      </c>
      <c r="D2437" t="str">
        <v>キ</v>
      </c>
      <c r="E2437" t="str">
        <v>うつわ</v>
      </c>
      <c r="F2437">
        <v>0</v>
      </c>
      <c r="G2437" t="str">
        <v>うつわ。容器。 うつわ。才能。能力。働き。 うつわ。道具。用具。 うつわとす。うつわとする。能力を高く評価し認める。</v>
      </c>
      <c r="H2437" t="str">
        <v>#知性</v>
      </c>
      <c r="I2437">
        <v>10</v>
      </c>
      <c r="J2437">
        <v>50</v>
      </c>
      <c r="K2437">
        <v>70</v>
      </c>
      <c r="L2437">
        <v>0</v>
      </c>
      <c r="M2437">
        <f>VLOOKUP(A2437,[1]kanji_data!$A:$N,14,FALSE)</f>
        <v>0</v>
      </c>
    </row>
    <row r="2438">
      <c r="A2438" t="str">
        <v>冷</v>
      </c>
      <c r="B2438">
        <v>7</v>
      </c>
      <c r="C2438" t="b">
        <v>1</v>
      </c>
      <c r="D2438" t="str">
        <v>レイ</v>
      </c>
      <c r="E2438" t="str">
        <v>さ（ます） さ（める） つめ（たい） ひ（える） ひ（や） ひ（やかす） ひ（やす）</v>
      </c>
      <c r="F2438" t="str">
        <v>すずし</v>
      </c>
      <c r="G2438" t="str">
        <v>さます。さめる。ひえる。ひやす。つめたくする。つめたくなる。 つめたい。ひややか。すずしい。 つめたい。ひややか。情がうすい。心がさめている。 ひやかす。さげすむ。からかう。 ひまな。わびしい。落ちぶれた。 ひや。つめたい飲み物。つめたいお酒など。</v>
      </c>
      <c r="I2438">
        <v>10</v>
      </c>
      <c r="J2438">
        <v>55</v>
      </c>
      <c r="K2438">
        <v>60</v>
      </c>
      <c r="L2438">
        <v>1</v>
      </c>
    </row>
    <row r="2439">
      <c r="A2439" t="str">
        <v>択</v>
      </c>
      <c r="B2439">
        <v>7</v>
      </c>
      <c r="C2439" t="b">
        <v>1</v>
      </c>
      <c r="D2439" t="str">
        <v>タク</v>
      </c>
      <c r="E2439" t="str">
        <v>えら（ぶ） よ（る）</v>
      </c>
      <c r="F2439">
        <v>0</v>
      </c>
      <c r="G2439" t="str">
        <v>えらぶ。よる。適したものをえらびとる。 えらぶ。区別する。選別する。</v>
      </c>
      <c r="I2439">
        <v>10</v>
      </c>
      <c r="J2439">
        <v>90</v>
      </c>
      <c r="K2439">
        <v>35</v>
      </c>
      <c r="L2439">
        <v>0</v>
      </c>
      <c r="M2439">
        <f>VLOOKUP(A2439,[1]kanji_data!$A:$N,14,FALSE)</f>
        <v>0</v>
      </c>
    </row>
    <row r="2440">
      <c r="A2440" t="str">
        <v>熱</v>
      </c>
      <c r="B2440">
        <v>15</v>
      </c>
      <c r="C2440" t="b">
        <v>1</v>
      </c>
      <c r="D2440" t="str">
        <v>ネツ</v>
      </c>
      <c r="E2440" t="str">
        <v>あつ（い） いき（る） ほて（る） ほとぼり</v>
      </c>
      <c r="F2440">
        <v>0</v>
      </c>
      <c r="G2440" t="str">
        <v>あつい。人や物の温度が高い。 あつくする。あつくなる。温度を高くする。 ねつ。あつさ。ほとぼり。 興奮する。夢中になる。のぼせる。 にぎやか。さわがしい。</v>
      </c>
      <c r="H2440" t="str">
        <v>#勇気</v>
      </c>
      <c r="I2440">
        <v>10</v>
      </c>
      <c r="J2440">
        <v>85</v>
      </c>
      <c r="K2440">
        <v>35</v>
      </c>
      <c r="L2440">
        <v>0</v>
      </c>
      <c r="M2440">
        <f>VLOOKUP(A2440,[1]kanji_data!$A:$N,14,FALSE)</f>
        <v>0</v>
      </c>
    </row>
    <row r="2441">
      <c r="A2441" t="str">
        <v>標</v>
      </c>
      <c r="B2441">
        <v>15</v>
      </c>
      <c r="C2441" t="b">
        <v>1</v>
      </c>
      <c r="D2441" t="str">
        <v>ヒョウ</v>
      </c>
      <c r="E2441" t="str">
        <v>こずえ しめ しるし しる（す） しるべ</v>
      </c>
      <c r="F2441">
        <v>0</v>
      </c>
      <c r="G2441" t="str">
        <v>しるし。目印。 まと。めあて。ねらい。 しるす。しめす。高くかかげてしめす。書きしめす。 こずえ。木のこずえ。</v>
      </c>
      <c r="H2441" t="str">
        <v>#自然</v>
      </c>
      <c r="I2441">
        <v>10</v>
      </c>
      <c r="J2441">
        <v>100</v>
      </c>
      <c r="K2441">
        <v>20</v>
      </c>
      <c r="L2441">
        <v>0</v>
      </c>
      <c r="M2441">
        <f>VLOOKUP(A2441,[1]kanji_data!$A:$N,14,FALSE)</f>
        <v>0</v>
      </c>
    </row>
    <row r="2442">
      <c r="A2442" t="str">
        <v>養</v>
      </c>
      <c r="B2442">
        <v>15</v>
      </c>
      <c r="C2442" t="b">
        <v>1</v>
      </c>
      <c r="D2442" t="str">
        <v>ヨウ</v>
      </c>
      <c r="E2442" t="str">
        <v>やしな（う） やしな（い）</v>
      </c>
      <c r="F2442" t="str">
        <v>おさ かい きよ のぶ まもる やず よし</v>
      </c>
      <c r="G2442" t="str">
        <v>やしなう。食物などを与えて育てる。 やしなう。生活させる。扶養する。 やしなう。教育する。向上させる。 やしない。やしなうこと。 まかない。炊事。炊事をする。 やしなう。つかえる。目上の人に仕える。</v>
      </c>
      <c r="H2442" t="str">
        <v>#天空</v>
      </c>
      <c r="I2442">
        <v>15</v>
      </c>
      <c r="J2442">
        <v>70</v>
      </c>
      <c r="K2442">
        <v>60</v>
      </c>
      <c r="L2442">
        <v>0</v>
      </c>
      <c r="M2442">
        <f>VLOOKUP(A2442,[1]kanji_data!$A:$N,14,FALSE)</f>
        <v>0</v>
      </c>
    </row>
    <row r="2443">
      <c r="A2443" t="str">
        <v>輪</v>
      </c>
      <c r="B2443">
        <v>15</v>
      </c>
      <c r="C2443" t="b">
        <v>1</v>
      </c>
      <c r="D2443" t="str">
        <v>リン</v>
      </c>
      <c r="E2443" t="str">
        <v>わ</v>
      </c>
      <c r="F2443">
        <v>0</v>
      </c>
      <c r="G2443" t="str">
        <v>わ。車のわ。円形のもの。 車。車を数える助数詞。 めぐる。まわる。 順番に。かわるがわるする。 まわり。外形。 縦。南北をいう。 広大なさま。 りん。花のおおきさ。 りん。花を数える助数詞。</v>
      </c>
      <c r="H2443" t="str">
        <v>#花・彩</v>
      </c>
      <c r="I2443">
        <v>40</v>
      </c>
      <c r="J2443">
        <v>40</v>
      </c>
      <c r="K2443">
        <v>75</v>
      </c>
      <c r="L2443">
        <v>0</v>
      </c>
      <c r="M2443">
        <f>VLOOKUP(A2443,[1]kanji_data!$A:$N,14,FALSE)</f>
        <v>0</v>
      </c>
    </row>
    <row r="2444">
      <c r="A2444" t="str">
        <v>確</v>
      </c>
      <c r="B2444">
        <v>15</v>
      </c>
      <c r="C2444" t="b">
        <v>1</v>
      </c>
      <c r="D2444" t="str">
        <v>カク</v>
      </c>
      <c r="E2444" t="str">
        <v>たし（か） たし（かめる） かた（い） しか（と） しっか（り）</v>
      </c>
      <c r="F2444">
        <v>0</v>
      </c>
      <c r="G2444" t="str">
        <v>たしか。本当の。間違いない。くるいがない。また、たしかめる。 かたい。しっかりしている。動かない。</v>
      </c>
      <c r="H2444" t="str">
        <v>#勇気 #心・志</v>
      </c>
      <c r="I2444">
        <v>50</v>
      </c>
      <c r="J2444">
        <v>100</v>
      </c>
      <c r="K2444">
        <v>35</v>
      </c>
      <c r="L2444">
        <v>0</v>
      </c>
      <c r="M2444">
        <f>VLOOKUP(A2444,[1]kanji_data!$A:$N,14,FALSE)</f>
        <v>0</v>
      </c>
    </row>
    <row r="2445">
      <c r="A2445" t="str">
        <v>潔</v>
      </c>
      <c r="B2445">
        <v>15</v>
      </c>
      <c r="C2445" t="b">
        <v>1</v>
      </c>
      <c r="D2445" t="str">
        <v>ケツ</v>
      </c>
      <c r="E2445" t="str">
        <v>いさぎよ（い） きよ（い）</v>
      </c>
      <c r="F2445" t="str">
        <v>きよ きよし ゆき よし</v>
      </c>
      <c r="G2445" t="str">
        <v>いさぎよい。けがれがない。きよい。 いさぎよくする。清く正しくする。</v>
      </c>
      <c r="H2445" t="str">
        <v>#海・水</v>
      </c>
      <c r="I2445">
        <v>100</v>
      </c>
      <c r="J2445">
        <v>50</v>
      </c>
      <c r="K2445">
        <v>75</v>
      </c>
      <c r="L2445">
        <v>0</v>
      </c>
      <c r="M2445">
        <f>VLOOKUP(A2445,[1]kanji_data!$A:$N,14,FALSE)</f>
        <v>0</v>
      </c>
    </row>
    <row r="2446">
      <c r="A2446" t="str">
        <v>賛</v>
      </c>
      <c r="B2446">
        <v>15</v>
      </c>
      <c r="C2446" t="b">
        <v>1</v>
      </c>
      <c r="D2446" t="str">
        <v>サン</v>
      </c>
      <c r="E2446" t="str">
        <v>たす（ける） たた（える） ほ（める）</v>
      </c>
      <c r="F2446" t="str">
        <v>あきら すけ すすむ たすく よし</v>
      </c>
      <c r="G2446" t="str">
        <v>まみえる。会見する。お目にかかる。 たすける。力をそえる。 みちびく。引く。 すすめる。 たたえる。ほめる。 文体のひとつ。人をほめたたえる文章。</v>
      </c>
      <c r="H2446" t="str">
        <v>#慈愛</v>
      </c>
      <c r="I2446">
        <v>15</v>
      </c>
      <c r="J2446">
        <v>45</v>
      </c>
      <c r="K2446">
        <v>70</v>
      </c>
      <c r="L2446">
        <v>0</v>
      </c>
      <c r="M2446">
        <f>VLOOKUP(A2446,[1]kanji_data!$A:$N,14,FALSE)</f>
        <v>0</v>
      </c>
    </row>
    <row r="2447">
      <c r="A2447" t="str">
        <v>質</v>
      </c>
      <c r="B2447">
        <v>15</v>
      </c>
      <c r="C2447" t="b">
        <v>1</v>
      </c>
      <c r="D2447" t="str">
        <v>シツ シチ チ シ</v>
      </c>
      <c r="E2447" t="str">
        <v>ただ（す） たち もと</v>
      </c>
      <c r="F2447">
        <v>0</v>
      </c>
      <c r="G2447" t="str">
        <v>ただす。突き詰める。問いただす。 たち。生まれつき。もちまえ。 もと。ものごとの根本。本来の内容。 ありのままの。かざりけのない。 まこと。まごころ。 まと。弓の的。 しち。抵当。 にえ。君主や先生にさしだす礼物。手土産。</v>
      </c>
      <c r="H2447" t="str">
        <v>#品格 #心・志 #自然</v>
      </c>
      <c r="I2447">
        <v>10</v>
      </c>
      <c r="J2447">
        <v>70</v>
      </c>
      <c r="K2447">
        <v>60</v>
      </c>
      <c r="L2447">
        <v>0</v>
      </c>
      <c r="M2447">
        <f>VLOOKUP(A2447,[1]kanji_data!$A:$N,14,FALSE)</f>
        <v>0</v>
      </c>
    </row>
    <row r="2448">
      <c r="A2448" t="str">
        <v>呈</v>
      </c>
      <c r="B2448">
        <v>7</v>
      </c>
      <c r="C2448" t="b">
        <v>1</v>
      </c>
      <c r="D2448" t="str">
        <v>テイ</v>
      </c>
      <c r="E2448" t="str">
        <v>しめ（す）</v>
      </c>
      <c r="F2448">
        <v>0</v>
      </c>
      <c r="G2448" t="str">
        <v>しめす。あらわす。はっきりと見せる。また、あらわれる。あらわれ出る。 差し出す。すすめる。差し上げる。目上の人に差し出す。 上申する。下位の者が上位の者に出す公文書。 決まり。基準。標準。限度。＝程</v>
      </c>
      <c r="I2448">
        <v>10</v>
      </c>
      <c r="J2448">
        <v>60</v>
      </c>
      <c r="K2448">
        <v>50</v>
      </c>
      <c r="L2448">
        <v>0</v>
      </c>
      <c r="M2448">
        <f>VLOOKUP(A2448,[1]kanji_data!$A:$N,14,FALSE)</f>
        <v>0</v>
      </c>
    </row>
    <row r="2449">
      <c r="A2449" t="str">
        <v>導</v>
      </c>
      <c r="B2449">
        <v>15</v>
      </c>
      <c r="C2449" t="b">
        <v>1</v>
      </c>
      <c r="D2449" t="str">
        <v>ドウ</v>
      </c>
      <c r="E2449" t="str">
        <v>みちび（く） しるべ</v>
      </c>
      <c r="F2449" t="str">
        <v>みち</v>
      </c>
      <c r="G2449" t="str">
        <v>みちびく。案内する。手引きする。指導する。</v>
      </c>
      <c r="H2449" t="str">
        <v>#品格 #知性</v>
      </c>
      <c r="I2449">
        <v>95</v>
      </c>
      <c r="J2449">
        <v>80</v>
      </c>
      <c r="K2449">
        <v>50</v>
      </c>
      <c r="L2449">
        <v>0</v>
      </c>
      <c r="M2449">
        <f>VLOOKUP(A2449,[1]kanji_data!$A:$N,14,FALSE)</f>
        <v>0</v>
      </c>
    </row>
    <row r="2450">
      <c r="A2450" t="str">
        <v>汲</v>
      </c>
      <c r="B2450">
        <v>7</v>
      </c>
      <c r="C2450" t="b">
        <v>0</v>
      </c>
      <c r="D2450" t="str">
        <v>キュウ</v>
      </c>
      <c r="E2450" t="str">
        <v>く（む） ひ（く）</v>
      </c>
      <c r="F2450">
        <v>0</v>
      </c>
      <c r="G2450" t="str">
        <v>くむ。水をくむ。水をくみあげる。 ひく。ひっぱる。引き上げる。みちびく。 いそがしい。せわしい。</v>
      </c>
      <c r="I2450">
        <v>10</v>
      </c>
      <c r="J2450">
        <v>70</v>
      </c>
      <c r="K2450">
        <v>50</v>
      </c>
      <c r="L2450">
        <v>0</v>
      </c>
      <c r="M2450">
        <f>VLOOKUP(A2450,[1]kanji_data!$A:$N,14,FALSE)</f>
        <v>0</v>
      </c>
    </row>
    <row r="2451">
      <c r="A2451" t="str">
        <v>暴</v>
      </c>
      <c r="B2451">
        <v>15</v>
      </c>
      <c r="C2451" t="b">
        <v>1</v>
      </c>
      <c r="D2451" t="str">
        <v>ボウ バク</v>
      </c>
      <c r="E2451" t="str">
        <v>あば（れる） あば（く） あら（い） あら（わす） さら（す） にわ（か）</v>
      </c>
      <c r="F2451">
        <v>0</v>
      </c>
      <c r="G2451" t="str">
        <v>あらい。手あらい。あらあらしい。 あらす。おかす。そこなう。 にわか。突然。急に。 さらす。日にさらす。日光にあてる。＝曝 あらわす。明らかにする。人目にふれるようにする。 あばれる。あらあらしい行動をする。</v>
      </c>
      <c r="H2451" t="str">
        <v>#天空 #知性</v>
      </c>
      <c r="I2451">
        <v>0</v>
      </c>
      <c r="J2451">
        <v>50</v>
      </c>
      <c r="K2451">
        <v>50</v>
      </c>
      <c r="L2451">
        <v>1</v>
      </c>
    </row>
    <row r="2452">
      <c r="A2452" t="str">
        <v>遺</v>
      </c>
      <c r="B2452">
        <v>15</v>
      </c>
      <c r="C2452" t="b">
        <v>1</v>
      </c>
      <c r="D2452" t="str">
        <v>イ ユイ</v>
      </c>
      <c r="E2452" t="str">
        <v>す（てる） のこ（す） のこ（る） わす（れる）</v>
      </c>
      <c r="F2452">
        <v>0</v>
      </c>
      <c r="G2452" t="str">
        <v>すてる。捨て去る。 のこす。のこる。あとにのこす。 わすれる。 おとす。失う。なくす。 ぬける。ぬかる。ておち。 ゆばり。いばり。小便。寝小便。 物品をおくる。やる。</v>
      </c>
      <c r="H2452" t="str">
        <v>#天空</v>
      </c>
      <c r="I2452">
        <v>10</v>
      </c>
      <c r="J2452">
        <v>50</v>
      </c>
      <c r="K2452">
        <v>50</v>
      </c>
      <c r="L2452">
        <v>1</v>
      </c>
    </row>
    <row r="2453">
      <c r="A2453" t="str">
        <v>宋</v>
      </c>
      <c r="B2453">
        <v>7</v>
      </c>
      <c r="C2453" t="b">
        <v>0</v>
      </c>
      <c r="D2453" t="str">
        <v>ソウ</v>
      </c>
      <c r="E2453">
        <v>0</v>
      </c>
      <c r="F2453" t="str">
        <v>おき くに</v>
      </c>
      <c r="G2453" t="str">
        <v>国名。春秋時代の国。 王朝名。南北朝時代の南朝の一つ。 王朝名。趙匡胤（チョウキョウイン）が建てた王朝。</v>
      </c>
      <c r="I2453">
        <v>10</v>
      </c>
      <c r="J2453">
        <v>55</v>
      </c>
      <c r="K2453">
        <v>55</v>
      </c>
      <c r="L2453">
        <v>1</v>
      </c>
    </row>
    <row r="2454">
      <c r="A2454" t="str">
        <v>権</v>
      </c>
      <c r="B2454">
        <v>15</v>
      </c>
      <c r="C2454" t="b">
        <v>1</v>
      </c>
      <c r="D2454" t="str">
        <v>ケン ゴン</v>
      </c>
      <c r="E2454" t="str">
        <v>いきお（い） おもり かり はか（る）</v>
      </c>
      <c r="F2454">
        <v>0</v>
      </c>
      <c r="G2454" t="str">
        <v>おもり。物の重量をはかるのに用いる分銅。 はかり。物の重量をはかる道具。 はかる。物の量や重さをはかる。 はかる。はかりごと。もくろみ。 ちから。いきおい。勢力。 かり。かりそめ。臨時の。一時的な。 ごん。そえ。正に対しての副。</v>
      </c>
      <c r="H2454" t="str">
        <v>#勇気</v>
      </c>
      <c r="I2454">
        <v>10</v>
      </c>
      <c r="J2454">
        <v>80</v>
      </c>
      <c r="K2454">
        <v>45</v>
      </c>
      <c r="L2454">
        <v>0</v>
      </c>
      <c r="M2454">
        <f>VLOOKUP(A2454,[1]kanji_data!$A:$N,14,FALSE)</f>
        <v>0</v>
      </c>
    </row>
    <row r="2455">
      <c r="A2455" t="str">
        <v>熟</v>
      </c>
      <c r="B2455">
        <v>15</v>
      </c>
      <c r="C2455" t="b">
        <v>1</v>
      </c>
      <c r="D2455" t="str">
        <v>ジュク</v>
      </c>
      <c r="E2455" t="str">
        <v>う（れる） う（む） こな（す） こな（れる） つくづく つらつら な（れる） に（える） に（る）</v>
      </c>
      <c r="F2455">
        <v>0</v>
      </c>
      <c r="G2455" t="str">
        <v>うむ。うれる。じゅくす。作物が実る。 煮る。煮える。 こなす。なれる。こなれる。 つくづく。つらつら。じっと。くわしく。よくよく。 十分に発展する。完全な状態になる。</v>
      </c>
      <c r="H2455" t="str">
        <v>#幸福 #繁栄</v>
      </c>
      <c r="I2455">
        <v>10</v>
      </c>
      <c r="J2455">
        <v>50</v>
      </c>
      <c r="K2455">
        <v>50</v>
      </c>
      <c r="L2455">
        <v>1</v>
      </c>
    </row>
    <row r="2456">
      <c r="A2456" t="str">
        <v>事</v>
      </c>
      <c r="B2456">
        <v>8</v>
      </c>
      <c r="C2456" t="b">
        <v>1</v>
      </c>
      <c r="D2456" t="str">
        <v>ジ ズ</v>
      </c>
      <c r="E2456" t="str">
        <v>こと つか（える）</v>
      </c>
      <c r="F2456">
        <v>0</v>
      </c>
      <c r="G2456" t="str">
        <v>こと。ものごと。ことがら。できごと。 こと。しごと。つとめ。任務。 こととする。しごととする。つとめる。 つかえる。奉仕する。</v>
      </c>
      <c r="I2456">
        <v>10</v>
      </c>
      <c r="J2456">
        <v>60</v>
      </c>
      <c r="K2456">
        <v>50</v>
      </c>
      <c r="L2456">
        <v>0</v>
      </c>
      <c r="M2456">
        <f>VLOOKUP(A2456,[1]kanji_data!$A:$N,14,FALSE)</f>
        <v>0</v>
      </c>
    </row>
    <row r="2457">
      <c r="A2457" t="str">
        <v>蔵</v>
      </c>
      <c r="B2457">
        <v>15</v>
      </c>
      <c r="C2457" t="b">
        <v>1</v>
      </c>
      <c r="D2457" t="str">
        <v>ゾウ ソウ</v>
      </c>
      <c r="E2457" t="str">
        <v>くら おさ（める） かく（れる）</v>
      </c>
      <c r="F2457" t="str">
        <v>おさむ ただ とし まさ よし</v>
      </c>
      <c r="G2457" t="str">
        <v>おさめる。かくす。しまう。たくわえる。 かくれる。身をかくす。ひそむ。 くら。物を収めておくところ。 たくわえ。しまってある物。 仏教や道教の経典。 「西蔵（チベット）」の略。</v>
      </c>
      <c r="H2457" t="str">
        <v>#繁栄</v>
      </c>
      <c r="I2457">
        <v>85</v>
      </c>
      <c r="J2457">
        <v>80</v>
      </c>
      <c r="K2457">
        <v>45</v>
      </c>
      <c r="L2457">
        <v>0</v>
      </c>
      <c r="M2457">
        <f>VLOOKUP(A2457,[1]kanji_data!$A:$N,14,FALSE)</f>
        <v>0</v>
      </c>
    </row>
    <row r="2458">
      <c r="A2458" t="str">
        <v>誕</v>
      </c>
      <c r="B2458">
        <v>15</v>
      </c>
      <c r="C2458" t="b">
        <v>1</v>
      </c>
      <c r="D2458" t="str">
        <v>タン</v>
      </c>
      <c r="E2458" t="str">
        <v>いつわ（る） う（まれる） ほしいまま</v>
      </c>
      <c r="F2458" t="str">
        <v>のぶ ひろ ひろし</v>
      </c>
      <c r="G2458" t="str">
        <v>うそ。いつわり。でたらめ。 いつわる。あざむく。だます。 大きい。広い。 ほしいまま。きまま。 生まれる。 育てる。</v>
      </c>
      <c r="H2458" t="str">
        <v>#天空 #繁栄</v>
      </c>
      <c r="I2458">
        <v>40</v>
      </c>
      <c r="J2458">
        <v>50</v>
      </c>
      <c r="K2458">
        <v>55</v>
      </c>
      <c r="L2458">
        <v>0</v>
      </c>
      <c r="M2458">
        <f>VLOOKUP(A2458,[1]kanji_data!$A:$N,14,FALSE)</f>
        <v>0</v>
      </c>
    </row>
    <row r="2459">
      <c r="A2459" t="str">
        <v>潮</v>
      </c>
      <c r="B2459">
        <v>15</v>
      </c>
      <c r="C2459" t="b">
        <v>1</v>
      </c>
      <c r="D2459" t="str">
        <v>チョウ</v>
      </c>
      <c r="E2459" t="str">
        <v>しお うしお</v>
      </c>
      <c r="F2459">
        <v>0</v>
      </c>
      <c r="G2459" t="str">
        <v>しお。うしお。海水の満ち引き。海水の流れ。 さす。しおがさす。海水が満ちる。 うるおう。しめる。うるおい。しめりけ。 しお。とき。機会。 うしお。塩だけで味をつけた魚の吸い物。</v>
      </c>
      <c r="H2459" t="str">
        <v>#海・水</v>
      </c>
      <c r="I2459">
        <v>40</v>
      </c>
      <c r="J2459">
        <v>80</v>
      </c>
      <c r="K2459">
        <v>45</v>
      </c>
      <c r="L2459">
        <v>0</v>
      </c>
      <c r="M2459">
        <f>VLOOKUP(A2459,[1]kanji_data!$A:$N,14,FALSE)</f>
        <v>0</v>
      </c>
    </row>
    <row r="2460">
      <c r="A2460" t="str">
        <v>径</v>
      </c>
      <c r="B2460">
        <v>8</v>
      </c>
      <c r="C2460" t="b">
        <v>1</v>
      </c>
      <c r="D2460" t="str">
        <v>ケイ</v>
      </c>
      <c r="E2460" t="str">
        <v>こみち さしわたし ただ（ちに） みち</v>
      </c>
      <c r="F2460" t="str">
        <v>わたる</v>
      </c>
      <c r="G2460" t="str">
        <v>こみち。みち。細い道。また、まっすぐに通じた近道。 ただちに。すぐに。まっすぐに。 さしわたし。直径。</v>
      </c>
      <c r="I2460">
        <v>10</v>
      </c>
      <c r="J2460">
        <v>30</v>
      </c>
      <c r="K2460">
        <v>90</v>
      </c>
      <c r="L2460">
        <v>0</v>
      </c>
      <c r="M2460">
        <f>VLOOKUP(A2460,[1]kanji_data!$A:$N,14,FALSE)</f>
        <v>0</v>
      </c>
    </row>
    <row r="2461">
      <c r="A2461" t="str">
        <v>鋭</v>
      </c>
      <c r="B2461">
        <v>15</v>
      </c>
      <c r="C2461" t="b">
        <v>1</v>
      </c>
      <c r="D2461" t="str">
        <v>エイ</v>
      </c>
      <c r="E2461" t="str">
        <v>するど（い） はや（い）</v>
      </c>
      <c r="F2461" t="str">
        <v>さとき さとし すすむ とき とし はや はやし</v>
      </c>
      <c r="G2461" t="str">
        <v>するどい。先がとがっている。 するどい。はやい。動きがすばやい。 するどい。かしこい。頭がよい。 するどい武器。また、強い軍隊。</v>
      </c>
      <c r="H2461" t="str">
        <v>#勇気 #知性</v>
      </c>
      <c r="I2461">
        <v>95</v>
      </c>
      <c r="J2461">
        <v>70</v>
      </c>
      <c r="K2461">
        <v>50</v>
      </c>
      <c r="L2461">
        <v>0</v>
      </c>
      <c r="M2461">
        <f>VLOOKUP(A2461,[1]kanji_data!$A:$N,14,FALSE)</f>
        <v>0</v>
      </c>
    </row>
    <row r="2462">
      <c r="A2462" t="str">
        <v>影</v>
      </c>
      <c r="B2462">
        <v>15</v>
      </c>
      <c r="C2462" t="b">
        <v>1</v>
      </c>
      <c r="D2462" t="str">
        <v>エイ ヨウ</v>
      </c>
      <c r="E2462" t="str">
        <v>かげ</v>
      </c>
      <c r="F2462">
        <v>0</v>
      </c>
      <c r="G2462" t="str">
        <v>かげ。物体が光をさえぎったときにできる暗い部分。 かげ。鏡や水などに映る姿。 かげ。人の姿。物の形。 かげ。月などが物を照らす光。</v>
      </c>
      <c r="H2462" t="str">
        <v>#天空</v>
      </c>
      <c r="I2462">
        <v>10</v>
      </c>
      <c r="J2462">
        <v>50</v>
      </c>
      <c r="K2462">
        <v>50</v>
      </c>
      <c r="L2462">
        <v>1</v>
      </c>
    </row>
    <row r="2463">
      <c r="A2463" t="str">
        <v>縁</v>
      </c>
      <c r="B2463">
        <v>15</v>
      </c>
      <c r="C2463" t="b">
        <v>1</v>
      </c>
      <c r="D2463" t="str">
        <v>エン</v>
      </c>
      <c r="E2463" t="str">
        <v>ふち えにし へり ゆかり よすが よ（る）</v>
      </c>
      <c r="F2463">
        <v>0</v>
      </c>
      <c r="G2463" t="str">
        <v>ふち。衣服のへり。物のへり・まわり。 よる。すがる。たどる。たどる。よじのぼる。 えにし。ゆかり。つながり。 めぐりあわせ。仏教で用いる。 えん。えんがわ。</v>
      </c>
      <c r="H2463" t="str">
        <v>#繁栄 #調和</v>
      </c>
      <c r="I2463">
        <v>60</v>
      </c>
      <c r="J2463">
        <v>35</v>
      </c>
      <c r="K2463">
        <v>70</v>
      </c>
      <c r="L2463">
        <v>0</v>
      </c>
      <c r="M2463">
        <f>VLOOKUP(A2463,[1]kanji_data!$A:$N,14,FALSE)</f>
        <v>0</v>
      </c>
    </row>
    <row r="2464">
      <c r="A2464" t="str">
        <v>牧</v>
      </c>
      <c r="B2464">
        <v>8</v>
      </c>
      <c r="C2464" t="b">
        <v>1</v>
      </c>
      <c r="D2464" t="str">
        <v>ボク モク</v>
      </c>
      <c r="E2464" t="str">
        <v>まき か（う） つかさ やしな（う）</v>
      </c>
      <c r="F2464">
        <v>0</v>
      </c>
      <c r="G2464" t="str">
        <v>かう。飼育する。家畜を飼う。放し飼いにする。 牛飼い。馬飼い。家畜を飼う人。 まき。まきば。家畜を放し飼いにするところ。牧場。 つかさ。役人。地方長官。 やしなう。教え導く。動物を養う。</v>
      </c>
      <c r="I2464">
        <v>10</v>
      </c>
      <c r="J2464">
        <v>35</v>
      </c>
      <c r="K2464">
        <v>70</v>
      </c>
      <c r="L2464">
        <v>1</v>
      </c>
    </row>
    <row r="2465">
      <c r="A2465" t="str">
        <v>歓</v>
      </c>
      <c r="B2465">
        <v>14</v>
      </c>
      <c r="C2465" t="b">
        <v>1</v>
      </c>
      <c r="D2465" t="str">
        <v>カン</v>
      </c>
      <c r="E2465" t="str">
        <v>よろこ（ぶ）</v>
      </c>
      <c r="F2465" t="str">
        <v>か む よし</v>
      </c>
      <c r="G2465" t="str">
        <v>よろこぶ。たのしむ。喜び楽しむ。 親しくなる。仲良くなる。</v>
      </c>
      <c r="H2465" t="str">
        <v>#幸福</v>
      </c>
      <c r="I2465">
        <v>100</v>
      </c>
      <c r="J2465">
        <v>60</v>
      </c>
      <c r="K2465">
        <v>60</v>
      </c>
      <c r="L2465">
        <v>0</v>
      </c>
      <c r="M2465">
        <f>VLOOKUP(A2465,[1]kanji_data!$A:$N,14,FALSE)</f>
        <v>0</v>
      </c>
    </row>
    <row r="2466">
      <c r="A2466" t="str">
        <v>輝</v>
      </c>
      <c r="B2466">
        <v>15</v>
      </c>
      <c r="C2466" t="b">
        <v>1</v>
      </c>
      <c r="D2466" t="str">
        <v>キ</v>
      </c>
      <c r="E2466" t="str">
        <v>かがや（く） て（る）</v>
      </c>
      <c r="F2466" t="str">
        <v>あきら てる ひかり ひかる みつ みつる</v>
      </c>
      <c r="G2466" t="str">
        <v>かがやく。てる。ひかる。かがやき。ひかり。かがやかしい。</v>
      </c>
      <c r="H2466" t="str">
        <v>#天空</v>
      </c>
      <c r="I2466">
        <v>100</v>
      </c>
      <c r="J2466">
        <v>60</v>
      </c>
      <c r="K2466">
        <v>60</v>
      </c>
      <c r="L2466">
        <v>0</v>
      </c>
      <c r="M2466">
        <f>VLOOKUP(A2466,[1]kanji_data!$A:$N,14,FALSE)</f>
        <v>0</v>
      </c>
    </row>
    <row r="2467">
      <c r="A2467" t="str">
        <v>儀</v>
      </c>
      <c r="B2467">
        <v>15</v>
      </c>
      <c r="C2467" t="b">
        <v>1</v>
      </c>
      <c r="D2467" t="str">
        <v>ギ</v>
      </c>
      <c r="E2467" t="str">
        <v>のり よ（い）</v>
      </c>
      <c r="F2467" t="str">
        <v>きたる ただし</v>
      </c>
      <c r="G2467" t="str">
        <v>のり。作法。手本。例：礼儀 よい。正しい。 のっとる。手本にする。 つれあい。夫婦。 くる。きたる。 測量器械。例：地球儀 ぎ。こと。ことがら。「～に関すること」の意。</v>
      </c>
      <c r="H2467" t="str">
        <v>#品格 #知性</v>
      </c>
      <c r="I2467">
        <v>90</v>
      </c>
      <c r="J2467">
        <v>55</v>
      </c>
      <c r="K2467">
        <v>65</v>
      </c>
      <c r="L2467">
        <v>0</v>
      </c>
      <c r="M2467">
        <f>VLOOKUP(A2467,[1]kanji_data!$A:$N,14,FALSE)</f>
        <v>0</v>
      </c>
    </row>
    <row r="2468">
      <c r="A2468" t="str">
        <v>拝</v>
      </c>
      <c r="B2468">
        <v>8</v>
      </c>
      <c r="C2468" t="b">
        <v>1</v>
      </c>
      <c r="D2468" t="str">
        <v>ハイ</v>
      </c>
      <c r="E2468" t="str">
        <v>おが（む）</v>
      </c>
      <c r="F2468">
        <v>0</v>
      </c>
      <c r="G2468" t="str">
        <v>おがむ。敬意をこめてお辞儀をする。 官位をさずける。また、さずかる。 たずねる。おとずれる。お目にかかる。 自分の動作をへりくだっていうことば。</v>
      </c>
      <c r="I2468">
        <v>10</v>
      </c>
      <c r="J2468">
        <v>60</v>
      </c>
      <c r="K2468">
        <v>50</v>
      </c>
      <c r="L2468">
        <v>0</v>
      </c>
      <c r="M2468">
        <f>VLOOKUP(A2468,[1]kanji_data!$A:$N,14,FALSE)</f>
        <v>0</v>
      </c>
    </row>
    <row r="2469">
      <c r="A2469" t="str">
        <v>撃</v>
      </c>
      <c r="B2469">
        <v>15</v>
      </c>
      <c r="C2469" t="b">
        <v>1</v>
      </c>
      <c r="D2469" t="str">
        <v>ゲキ ケキ</v>
      </c>
      <c r="E2469" t="str">
        <v>う（つ）</v>
      </c>
      <c r="F2469">
        <v>0</v>
      </c>
      <c r="G2469" t="str">
        <v>うつ。強くうつ。強くたたく。 うつ。敵を攻撃する。敵と戦う。 うつ。弾丸などをうち出す。うち当てる。</v>
      </c>
      <c r="H2469" t="str">
        <v>#天空</v>
      </c>
      <c r="I2469">
        <v>10</v>
      </c>
      <c r="J2469">
        <v>50</v>
      </c>
      <c r="K2469">
        <v>50</v>
      </c>
      <c r="L2469">
        <v>1</v>
      </c>
    </row>
    <row r="2470">
      <c r="A2470" t="str">
        <v>彼</v>
      </c>
      <c r="B2470">
        <v>8</v>
      </c>
      <c r="C2470" t="b">
        <v>1</v>
      </c>
      <c r="D2470" t="str">
        <v>ヒ</v>
      </c>
      <c r="E2470" t="str">
        <v>かの かれ</v>
      </c>
      <c r="F2470">
        <v>0</v>
      </c>
      <c r="G2470" t="str">
        <v>かれ。あれ。あの人。あの人たち。向こうの人や物。 かの。あの。向こう。向こうの。</v>
      </c>
      <c r="I2470">
        <v>10</v>
      </c>
      <c r="J2470">
        <v>55</v>
      </c>
      <c r="K2470">
        <v>55</v>
      </c>
      <c r="L2470">
        <v>0</v>
      </c>
      <c r="M2470">
        <f>VLOOKUP(A2470,[1]kanji_data!$A:$N,14,FALSE)</f>
        <v>0</v>
      </c>
    </row>
    <row r="2471">
      <c r="A2471" t="str">
        <v>炉</v>
      </c>
      <c r="B2471">
        <v>8</v>
      </c>
      <c r="C2471" t="b">
        <v>1</v>
      </c>
      <c r="D2471" t="str">
        <v>ロ</v>
      </c>
      <c r="E2471" t="str">
        <v>いろり ひばち</v>
      </c>
      <c r="F2471">
        <v>0</v>
      </c>
      <c r="G2471" t="str">
        <v>いろり。ひばち。 火を入れて燃やしておく装置。かまど。こんろ。</v>
      </c>
      <c r="I2471">
        <v>10</v>
      </c>
      <c r="J2471">
        <v>55</v>
      </c>
      <c r="K2471">
        <v>55</v>
      </c>
      <c r="L2471">
        <v>0</v>
      </c>
      <c r="M2471">
        <f>VLOOKUP(A2471,[1]kanji_data!$A:$N,14,FALSE)</f>
        <v>0</v>
      </c>
    </row>
    <row r="2472">
      <c r="A2472" t="str">
        <v>併</v>
      </c>
      <c r="B2472">
        <v>8</v>
      </c>
      <c r="C2472" t="b">
        <v>1</v>
      </c>
      <c r="D2472" t="str">
        <v>ヘイ</v>
      </c>
      <c r="E2472" t="str">
        <v>あわ（せる） しか（し） なら（ぶ）</v>
      </c>
      <c r="F2472">
        <v>0</v>
      </c>
      <c r="G2472" t="str">
        <v>あわせる。一つにする。一緒にする。 ならぶ。ならべる。つらなる。 きそう。せりあう。 しかし。しかしながら。けれども。</v>
      </c>
      <c r="I2472">
        <v>10</v>
      </c>
      <c r="J2472">
        <v>55</v>
      </c>
      <c r="K2472">
        <v>55</v>
      </c>
      <c r="L2472">
        <v>0</v>
      </c>
      <c r="M2472">
        <f>VLOOKUP(A2472,[1]kanji_data!$A:$N,14,FALSE)</f>
        <v>0</v>
      </c>
    </row>
    <row r="2473">
      <c r="A2473" t="str">
        <v>澄</v>
      </c>
      <c r="B2473">
        <v>15</v>
      </c>
      <c r="C2473" t="b">
        <v>1</v>
      </c>
      <c r="D2473" t="str">
        <v>チョウ</v>
      </c>
      <c r="E2473" t="str">
        <v>す（ます） す（む）</v>
      </c>
      <c r="F2473" t="str">
        <v>きよ きよし すみ とおる</v>
      </c>
      <c r="G2473" t="str">
        <v>すむ。水ににごりがなく、清らかになる。空や音がすきとおっているさま。 すます。すませる。清らかにする。 すます。そしらぬ顔をする。気どってまじめな顔をする。</v>
      </c>
      <c r="H2473" t="str">
        <v>#天空 #海・水</v>
      </c>
      <c r="I2473">
        <v>100</v>
      </c>
      <c r="J2473">
        <v>60</v>
      </c>
      <c r="K2473">
        <v>65</v>
      </c>
      <c r="L2473">
        <v>0</v>
      </c>
      <c r="M2473">
        <f>VLOOKUP(A2473,[1]kanji_data!$A:$N,14,FALSE)</f>
        <v>0</v>
      </c>
    </row>
    <row r="2474">
      <c r="A2474" t="str">
        <v>宕</v>
      </c>
      <c r="B2474">
        <v>8</v>
      </c>
      <c r="C2474" t="b">
        <v>0</v>
      </c>
      <c r="D2474" t="str">
        <v>トウ</v>
      </c>
      <c r="E2474" t="str">
        <v>ほしいまま ほらあな</v>
      </c>
      <c r="F2474">
        <v>0</v>
      </c>
      <c r="G2474" t="str">
        <v>ほしいまま。好き勝手にふるまう。 すぎる。度が過ぎる。 ほらあな。いわや。人の住居にできる岩穴。</v>
      </c>
      <c r="I2474">
        <v>10</v>
      </c>
      <c r="J2474">
        <v>75</v>
      </c>
      <c r="K2474">
        <v>45</v>
      </c>
      <c r="L2474">
        <v>0</v>
      </c>
      <c r="M2474">
        <f>VLOOKUP(A2474,[1]kanji_data!$A:$N,14,FALSE)</f>
        <v>0</v>
      </c>
    </row>
    <row r="2475">
      <c r="A2475" t="str">
        <v>輩</v>
      </c>
      <c r="B2475">
        <v>15</v>
      </c>
      <c r="C2475" t="b">
        <v>1</v>
      </c>
      <c r="D2475" t="str">
        <v>ハイ</v>
      </c>
      <c r="E2475" t="str">
        <v>ともがら やから</v>
      </c>
      <c r="F2475">
        <v>0</v>
      </c>
      <c r="G2475" t="str">
        <v>ならび。順序。 ならべる。つらねる。ならび続く。 やから。ともがら。仲間。同類。群れ。</v>
      </c>
      <c r="H2475" t="str">
        <v>#調和</v>
      </c>
      <c r="I2475">
        <v>10</v>
      </c>
      <c r="J2475">
        <v>50</v>
      </c>
      <c r="K2475">
        <v>50</v>
      </c>
      <c r="L2475">
        <v>1</v>
      </c>
    </row>
    <row r="2476">
      <c r="A2476" t="str">
        <v>範</v>
      </c>
      <c r="B2476">
        <v>15</v>
      </c>
      <c r="C2476" t="b">
        <v>1</v>
      </c>
      <c r="D2476" t="str">
        <v>ハン</v>
      </c>
      <c r="E2476" t="str">
        <v>いがた のり</v>
      </c>
      <c r="F2476" t="str">
        <v>すすむ</v>
      </c>
      <c r="G2476" t="str">
        <v>かた。鋳型。竹製の型。＝笵 のり。決まり。法律。手本。＝笵</v>
      </c>
      <c r="H2476" t="str">
        <v>#品格 #自然</v>
      </c>
      <c r="I2476">
        <v>95</v>
      </c>
      <c r="J2476">
        <v>75</v>
      </c>
      <c r="K2476">
        <v>60</v>
      </c>
      <c r="L2476">
        <v>0</v>
      </c>
      <c r="M2476">
        <f>VLOOKUP(A2476,[1]kanji_data!$A:$N,14,FALSE)</f>
        <v>0</v>
      </c>
    </row>
    <row r="2477">
      <c r="A2477" t="str">
        <v>界</v>
      </c>
      <c r="B2477">
        <v>9</v>
      </c>
      <c r="C2477" t="b">
        <v>1</v>
      </c>
      <c r="D2477" t="str">
        <v>カイ</v>
      </c>
      <c r="E2477" t="str">
        <v>さかい</v>
      </c>
      <c r="F2477">
        <v>0</v>
      </c>
      <c r="G2477" t="str">
        <v>さかい。くぎり。しきり。さかいめ。 限り。果て。 さかいの中。区切りの中。区域。範囲。</v>
      </c>
      <c r="I2477">
        <v>10</v>
      </c>
      <c r="J2477">
        <v>75</v>
      </c>
      <c r="K2477">
        <v>40</v>
      </c>
      <c r="L2477">
        <v>0</v>
      </c>
      <c r="M2477">
        <f>VLOOKUP(A2477,[1]kanji_data!$A:$N,14,FALSE)</f>
        <v>0</v>
      </c>
    </row>
    <row r="2478">
      <c r="A2478" t="str">
        <v>膚</v>
      </c>
      <c r="B2478">
        <v>15</v>
      </c>
      <c r="C2478" t="b">
        <v>1</v>
      </c>
      <c r="D2478" t="str">
        <v>フ</v>
      </c>
      <c r="E2478" t="str">
        <v>はだ はだえ</v>
      </c>
      <c r="F2478">
        <v>0</v>
      </c>
      <c r="G2478" t="str">
        <v>はだ。はだえ。からだの表皮。例：皮膚 物の表面。うわつら。うわべ。 浅はかな。うわつらだけの。 美しい。立派な。 大きい。 四本の指を平らに並べた長さ。</v>
      </c>
      <c r="H2478" t="str">
        <v>#品格 #花・彩</v>
      </c>
      <c r="I2478">
        <v>10</v>
      </c>
      <c r="J2478">
        <v>50</v>
      </c>
      <c r="K2478">
        <v>50</v>
      </c>
      <c r="L2478">
        <v>1</v>
      </c>
    </row>
    <row r="2479">
      <c r="A2479" t="str">
        <v>幽</v>
      </c>
      <c r="B2479">
        <v>9</v>
      </c>
      <c r="C2479" t="b">
        <v>1</v>
      </c>
      <c r="D2479" t="str">
        <v>ユウ</v>
      </c>
      <c r="E2479" t="str">
        <v>かす（か） くら（い）</v>
      </c>
      <c r="F2479">
        <v>0</v>
      </c>
      <c r="G2479" t="str">
        <v>かすか。ほのか。 くらい。はっきり見えない。 奥深い。物静か。 あの世。死後の世界。 古代中国の州の名。</v>
      </c>
      <c r="I2479">
        <v>10</v>
      </c>
      <c r="J2479">
        <v>50</v>
      </c>
      <c r="K2479">
        <v>75</v>
      </c>
      <c r="L2479">
        <v>1</v>
      </c>
    </row>
    <row r="2480">
      <c r="A2480" t="str">
        <v>賦</v>
      </c>
      <c r="B2480">
        <v>15</v>
      </c>
      <c r="C2480" t="b">
        <v>1</v>
      </c>
      <c r="D2480" t="str">
        <v>フ</v>
      </c>
      <c r="E2480" t="str">
        <v>みつぎ わか（つ）</v>
      </c>
      <c r="F2480">
        <v>0</v>
      </c>
      <c r="G2480" t="str">
        <v>わりあて。とりたて。 みつぎ。みつぎもの。租税。 ぶやく。 わける。割り当てる。授ける。与える。 「詩経」の六義の一つ。 韻文の一体。</v>
      </c>
      <c r="H2480" t="str">
        <v>#天空</v>
      </c>
      <c r="I2480">
        <v>10</v>
      </c>
      <c r="J2480">
        <v>50</v>
      </c>
      <c r="K2480">
        <v>50</v>
      </c>
      <c r="L2480">
        <v>1</v>
      </c>
    </row>
    <row r="2481">
      <c r="A2481" t="str">
        <v>舞</v>
      </c>
      <c r="B2481">
        <v>15</v>
      </c>
      <c r="C2481" t="b">
        <v>1</v>
      </c>
      <c r="D2481" t="str">
        <v>ブ ム</v>
      </c>
      <c r="E2481" t="str">
        <v>まい ま（う） もてあそ（ぶ）</v>
      </c>
      <c r="F2481">
        <v>0</v>
      </c>
      <c r="G2481" t="str">
        <v>まう。踊る。 まわす。はげます。奮い立たせる。 もてあそぶ。思いのままにあつかう。</v>
      </c>
      <c r="H2481" t="str">
        <v>#勇気 #心・志</v>
      </c>
      <c r="I2481">
        <v>90</v>
      </c>
      <c r="J2481">
        <v>30</v>
      </c>
      <c r="K2481">
        <v>90</v>
      </c>
      <c r="L2481">
        <v>0</v>
      </c>
      <c r="M2481">
        <f>VLOOKUP(A2481,[1]kanji_data!$A:$N,14,FALSE)</f>
        <v>0</v>
      </c>
    </row>
    <row r="2482">
      <c r="A2482" t="str">
        <v>括</v>
      </c>
      <c r="B2482">
        <v>9</v>
      </c>
      <c r="C2482" t="b">
        <v>1</v>
      </c>
      <c r="D2482" t="str">
        <v>カツ</v>
      </c>
      <c r="E2482" t="str">
        <v>くく（る） くび（る） くび（れる）</v>
      </c>
      <c r="F2482">
        <v>0</v>
      </c>
      <c r="G2482" t="str">
        <v>くくる。たばねる。まとめる。 矢はず。弓の弦にかける矢の末端部分。 くびれる。くびる。物の中ほどが他の部分よりも細くなっている。</v>
      </c>
      <c r="I2482">
        <v>10</v>
      </c>
      <c r="J2482">
        <v>50</v>
      </c>
      <c r="K2482">
        <v>50</v>
      </c>
      <c r="L2482">
        <v>0</v>
      </c>
      <c r="M2482">
        <f>VLOOKUP(A2482,[1]kanji_data!$A:$N,14,FALSE)</f>
        <v>0</v>
      </c>
    </row>
    <row r="2483">
      <c r="A2483" t="str">
        <v>亭</v>
      </c>
      <c r="B2483">
        <v>9</v>
      </c>
      <c r="C2483" t="b">
        <v>1</v>
      </c>
      <c r="D2483" t="str">
        <v>テイ チン</v>
      </c>
      <c r="E2483" t="str">
        <v>あずまや とど（まる）</v>
      </c>
      <c r="F2483">
        <v>0</v>
      </c>
      <c r="G2483" t="str">
        <v>あずまや。庭園などにある休憩所。 たかどの。たかやぐら。物見台。 とどまる。とまる。＝停 秦・漢代の行政単位。</v>
      </c>
      <c r="I2483">
        <v>10</v>
      </c>
      <c r="J2483">
        <v>55</v>
      </c>
      <c r="K2483">
        <v>55</v>
      </c>
      <c r="L2483">
        <v>0</v>
      </c>
      <c r="M2483">
        <f>VLOOKUP(A2483,[1]kanji_data!$A:$N,14,FALSE)</f>
        <v>0</v>
      </c>
    </row>
    <row r="2484">
      <c r="A2484" t="str">
        <v>拜</v>
      </c>
      <c r="B2484">
        <v>9</v>
      </c>
      <c r="C2484" t="b">
        <v>0</v>
      </c>
      <c r="D2484" t="str">
        <v>ハイ</v>
      </c>
      <c r="E2484" t="str">
        <v>おが（む）</v>
      </c>
      <c r="F2484">
        <v>0</v>
      </c>
      <c r="G2484" t="str">
        <v>おがむ。敬意をこめてお辞儀をする。 官位をさずける。また、さずかる。 たずねる。おとずれる。お目にかかる。 自分の動作をへりくだっていうことば。</v>
      </c>
      <c r="I2484">
        <v>10</v>
      </c>
      <c r="J2484">
        <v>60</v>
      </c>
      <c r="K2484">
        <v>50</v>
      </c>
      <c r="L2484">
        <v>0</v>
      </c>
      <c r="M2484">
        <f>VLOOKUP(A2484,[1]kanji_data!$A:$N,14,FALSE)</f>
        <v>0</v>
      </c>
    </row>
    <row r="2485">
      <c r="A2485" t="str">
        <v>慮</v>
      </c>
      <c r="B2485">
        <v>15</v>
      </c>
      <c r="C2485" t="b">
        <v>1</v>
      </c>
      <c r="D2485" t="str">
        <v>リョ</v>
      </c>
      <c r="E2485" t="str">
        <v>おもんぱか（る）</v>
      </c>
      <c r="F2485">
        <v>0</v>
      </c>
      <c r="G2485" t="str">
        <v>おもんぱかる。あれこれと考える。思いめぐらす。 おもんぱかる。くわだてる。計画する。 おもんぱかり。思いめぐらした考え。 おもんぱかり。くわだて。計画。</v>
      </c>
      <c r="H2485" t="str">
        <v>#天空 #心・志</v>
      </c>
      <c r="I2485">
        <v>10</v>
      </c>
      <c r="J2485">
        <v>50</v>
      </c>
      <c r="K2485">
        <v>50</v>
      </c>
      <c r="L2485">
        <v>1</v>
      </c>
    </row>
    <row r="2486">
      <c r="A2486" t="str">
        <v>慰</v>
      </c>
      <c r="B2486">
        <v>15</v>
      </c>
      <c r="C2486" t="b">
        <v>1</v>
      </c>
      <c r="D2486" t="str">
        <v>イ</v>
      </c>
      <c r="E2486" t="str">
        <v>なぐさ（む） なぐさ（める）</v>
      </c>
      <c r="F2486">
        <v>0</v>
      </c>
      <c r="G2486" t="str">
        <v>なぐさめる。悲しみや苦しみなどをいたわり、心を安らかにさせる。 なぐさむ。気が晴れる。心がおだやかになる。 なぐさむ。もてあそぶ。</v>
      </c>
      <c r="H2486" t="str">
        <v>#天空 #慈愛</v>
      </c>
      <c r="I2486">
        <v>10</v>
      </c>
      <c r="J2486">
        <v>35</v>
      </c>
      <c r="K2486">
        <v>70</v>
      </c>
      <c r="L2486">
        <v>1</v>
      </c>
    </row>
    <row r="2487">
      <c r="A2487" t="str">
        <v>閲</v>
      </c>
      <c r="B2487">
        <v>15</v>
      </c>
      <c r="C2487" t="b">
        <v>1</v>
      </c>
      <c r="D2487" t="str">
        <v>エツ</v>
      </c>
      <c r="E2487" t="str">
        <v>けみ（する） へ（る）</v>
      </c>
      <c r="F2487">
        <v>0</v>
      </c>
      <c r="G2487" t="str">
        <v>けみする。よく見て調べる。確かめる。 けみする。へる。経過する。経験する。 いれる。うけいれる。許容する。 功績をしるして門の右側に立てる柱。</v>
      </c>
      <c r="H2487" t="str">
        <v>#天空</v>
      </c>
      <c r="I2487">
        <v>10</v>
      </c>
      <c r="J2487">
        <v>50</v>
      </c>
      <c r="K2487">
        <v>50</v>
      </c>
      <c r="L2487">
        <v>1</v>
      </c>
    </row>
    <row r="2488">
      <c r="A2488" t="str">
        <v>挙</v>
      </c>
      <c r="B2488">
        <v>10</v>
      </c>
      <c r="C2488" t="b">
        <v>1</v>
      </c>
      <c r="D2488" t="str">
        <v>キョ</v>
      </c>
      <c r="E2488" t="str">
        <v>あ（がる） あ（げる） こぞ（って） こぞ（る）</v>
      </c>
      <c r="F2488" t="str">
        <v>しげ すすむ たか たつ ひら みな</v>
      </c>
      <c r="G2488" t="str">
        <v>あげる。持ち上げる。上にあげる。 あげる。事を起こす。行う。 あげる。人をほめる。とりたてて用いる。登用する。 攻め落とす。奪う。攻め滅ぼす。 あげて。こぞる。こぞって。みな。全部。 行動。ふるまい。身のこなし。 科挙（官吏登用試験）の略。転じて、選び取ること。</v>
      </c>
      <c r="I2488">
        <v>10</v>
      </c>
      <c r="J2488">
        <v>100</v>
      </c>
      <c r="K2488">
        <v>25</v>
      </c>
      <c r="L2488">
        <v>1</v>
      </c>
    </row>
    <row r="2489">
      <c r="A2489" t="str">
        <v>俳</v>
      </c>
      <c r="B2489">
        <v>10</v>
      </c>
      <c r="C2489" t="b">
        <v>1</v>
      </c>
      <c r="D2489" t="str">
        <v>ハイ</v>
      </c>
      <c r="E2489" t="str">
        <v>たわむ（れ） わざおぎ</v>
      </c>
      <c r="F2489">
        <v>0</v>
      </c>
      <c r="G2489" t="str">
        <v>たわむれ。おどけ。 わざおぎ。音楽を演奏する人や、踊りを踊る人。 俳句の略。</v>
      </c>
      <c r="I2489">
        <v>10</v>
      </c>
      <c r="J2489">
        <v>55</v>
      </c>
      <c r="K2489">
        <v>55</v>
      </c>
      <c r="L2489">
        <v>0</v>
      </c>
      <c r="M2489">
        <f>VLOOKUP(A2489,[1]kanji_data!$A:$N,14,FALSE)</f>
        <v>0</v>
      </c>
    </row>
    <row r="2490">
      <c r="A2490" t="str">
        <v>紋</v>
      </c>
      <c r="B2490">
        <v>10</v>
      </c>
      <c r="C2490" t="b">
        <v>1</v>
      </c>
      <c r="D2490" t="str">
        <v>モン ブン</v>
      </c>
      <c r="E2490" t="str">
        <v>あや</v>
      </c>
      <c r="F2490" t="str">
        <v>あき</v>
      </c>
      <c r="G2490" t="str">
        <v>あや。織物の模様。 しわ。すじ。しわやすじのあるもの。しわの模様。 もん。もんどころ。家々によって定めている、家をあらわすしるし。</v>
      </c>
      <c r="I2490">
        <v>10</v>
      </c>
      <c r="J2490">
        <v>55</v>
      </c>
      <c r="K2490">
        <v>55</v>
      </c>
      <c r="L2490">
        <v>0</v>
      </c>
      <c r="M2490">
        <f>VLOOKUP(A2490,[1]kanji_data!$A:$N,14,FALSE)</f>
        <v>0</v>
      </c>
    </row>
    <row r="2491">
      <c r="A2491" t="str">
        <v>倹</v>
      </c>
      <c r="B2491">
        <v>10</v>
      </c>
      <c r="C2491" t="b">
        <v>1</v>
      </c>
      <c r="D2491" t="str">
        <v>ケン</v>
      </c>
      <c r="E2491" t="str">
        <v>つづま（やか） つま（しい）</v>
      </c>
      <c r="F2491">
        <v>0</v>
      </c>
      <c r="G2491" t="str">
        <v>つづまやか。つましい。無駄づかいをせず質素なさま。 へりくだる。行いが控えめである。 まずしい。 凶作。不作。穀物が実らない。</v>
      </c>
      <c r="I2491">
        <v>10</v>
      </c>
      <c r="J2491">
        <v>65</v>
      </c>
      <c r="K2491">
        <v>55</v>
      </c>
      <c r="L2491">
        <v>0</v>
      </c>
      <c r="M2491">
        <f>VLOOKUP(A2491,[1]kanji_data!$A:$N,14,FALSE)</f>
        <v>0</v>
      </c>
    </row>
    <row r="2492">
      <c r="A2492" t="str">
        <v>凄</v>
      </c>
      <c r="B2492">
        <v>10</v>
      </c>
      <c r="C2492" t="b">
        <v>1</v>
      </c>
      <c r="D2492" t="str">
        <v>セイ</v>
      </c>
      <c r="E2492" t="str">
        <v>さむ（い） すご（い） すご（む） すさ（まじい）</v>
      </c>
      <c r="F2492">
        <v>0</v>
      </c>
      <c r="G2492" t="str">
        <v>さむい。冷たい。涼しい。 すごい。すさまじい。激しい。 さみしい。ものさびしい。 すごい。程度が激しい。</v>
      </c>
      <c r="I2492">
        <v>10</v>
      </c>
      <c r="J2492">
        <v>50</v>
      </c>
      <c r="K2492">
        <v>50</v>
      </c>
      <c r="L2492">
        <v>0</v>
      </c>
      <c r="M2492">
        <f>VLOOKUP(A2492,[1]kanji_data!$A:$N,14,FALSE)</f>
        <v>0</v>
      </c>
    </row>
    <row r="2493">
      <c r="A2493" t="str">
        <v>潤</v>
      </c>
      <c r="B2493">
        <v>15</v>
      </c>
      <c r="C2493" t="b">
        <v>1</v>
      </c>
      <c r="D2493" t="str">
        <v>ジュン</v>
      </c>
      <c r="E2493" t="str">
        <v>うるお（う） うるお（す） うる（む） ほと（びる）</v>
      </c>
      <c r="F2493" t="str">
        <v>うる うるう うるお さかえ ひろ ひろし まさる ます みつ</v>
      </c>
      <c r="G2493" t="str">
        <v>うるおう。うるおす。うるむ。しめる。水分をたっぷりふくむ。水けをふくむ。めぐみを受ける。利益を得る。立派になる。 うるおい。しめり。色つや。光沢。めぐみ。利益。</v>
      </c>
      <c r="H2493" t="str">
        <v>#品格</v>
      </c>
      <c r="I2493">
        <v>100</v>
      </c>
      <c r="J2493">
        <v>35</v>
      </c>
      <c r="K2493">
        <v>75</v>
      </c>
      <c r="L2493">
        <v>0</v>
      </c>
      <c r="M2493">
        <f>VLOOKUP(A2493,[1]kanji_data!$A:$N,14,FALSE)</f>
        <v>0</v>
      </c>
    </row>
    <row r="2494">
      <c r="A2494" t="str">
        <v>遵</v>
      </c>
      <c r="B2494">
        <v>15</v>
      </c>
      <c r="C2494" t="b">
        <v>1</v>
      </c>
      <c r="D2494" t="str">
        <v>ジュン シュン</v>
      </c>
      <c r="E2494" t="str">
        <v>したが（う）</v>
      </c>
      <c r="F2494" t="str">
        <v>たか たかし たける ちか のぶ まもる ゆき より</v>
      </c>
      <c r="G2494" t="str">
        <v>したがう。のっとる。よりそっていく。 ひきいる。 ならう。おこなう。</v>
      </c>
      <c r="H2494" t="str">
        <v>#品格 #心・志</v>
      </c>
      <c r="I2494">
        <v>90</v>
      </c>
      <c r="J2494">
        <v>60</v>
      </c>
      <c r="K2494">
        <v>70</v>
      </c>
      <c r="L2494">
        <v>0</v>
      </c>
      <c r="M2494">
        <f>VLOOKUP(A2494,[1]kanji_data!$A:$N,14,FALSE)</f>
        <v>0</v>
      </c>
    </row>
    <row r="2495">
      <c r="A2495" t="str">
        <v>断</v>
      </c>
      <c r="B2495">
        <v>11</v>
      </c>
      <c r="C2495" t="b">
        <v>1</v>
      </c>
      <c r="D2495" t="str">
        <v>ダン タン</v>
      </c>
      <c r="E2495" t="str">
        <v>ことわ（る） た（つ） さだ（める）</v>
      </c>
      <c r="F2495">
        <v>0</v>
      </c>
      <c r="G2495" t="str">
        <v>たつ。たちきる。やめる。 さだめる。きめる。決定する。 かならず。絶対に。決して。 ことわる。申し出などを退ける。拒絶する。 ことわる。わけを述べる。また、はじめにわけを説明して許しを得る。</v>
      </c>
      <c r="I2495">
        <v>10</v>
      </c>
      <c r="J2495">
        <v>85</v>
      </c>
      <c r="K2495">
        <v>30</v>
      </c>
      <c r="L2495">
        <v>1</v>
      </c>
    </row>
    <row r="2496">
      <c r="A2496" t="str">
        <v>舶</v>
      </c>
      <c r="B2496">
        <v>11</v>
      </c>
      <c r="C2496" t="b">
        <v>1</v>
      </c>
      <c r="D2496" t="str">
        <v>ハク</v>
      </c>
      <c r="E2496" t="str">
        <v>おおぶね</v>
      </c>
      <c r="F2496">
        <v>0</v>
      </c>
      <c r="G2496" t="str">
        <v>大きな船。おおぶね。</v>
      </c>
      <c r="I2496">
        <v>10</v>
      </c>
      <c r="J2496">
        <v>80</v>
      </c>
      <c r="K2496">
        <v>45</v>
      </c>
      <c r="L2496">
        <v>0</v>
      </c>
      <c r="M2496">
        <f>VLOOKUP(A2496,[1]kanji_data!$A:$N,14,FALSE)</f>
        <v>0</v>
      </c>
    </row>
    <row r="2497">
      <c r="A2497" t="str">
        <v>審</v>
      </c>
      <c r="B2497">
        <v>15</v>
      </c>
      <c r="C2497" t="b">
        <v>1</v>
      </c>
      <c r="D2497" t="str">
        <v>シン</v>
      </c>
      <c r="E2497" t="str">
        <v>つまび（らか）</v>
      </c>
      <c r="F2497" t="str">
        <v>あき あきら</v>
      </c>
      <c r="G2497" t="str">
        <v>つまびらか。詳しい。明らか。はっきりしている。 つまびらかにする。こまかい点まで詳しくしらべる。明らかにする。</v>
      </c>
      <c r="H2497" t="str">
        <v>#知性</v>
      </c>
      <c r="I2497">
        <v>5</v>
      </c>
      <c r="J2497">
        <v>55</v>
      </c>
      <c r="K2497">
        <v>55</v>
      </c>
      <c r="L2497">
        <v>1</v>
      </c>
    </row>
    <row r="2498">
      <c r="A2498" t="str">
        <v>穂</v>
      </c>
      <c r="B2498">
        <v>15</v>
      </c>
      <c r="C2498" t="b">
        <v>1</v>
      </c>
      <c r="D2498" t="str">
        <v>スイ</v>
      </c>
      <c r="E2498" t="str">
        <v>ほ</v>
      </c>
      <c r="F2498" t="str">
        <v>お ひで ひな みのる</v>
      </c>
      <c r="G2498" t="str">
        <v>ほ。穀物の茎の先の実のつく部分。ほのような形をしたもの。</v>
      </c>
      <c r="H2498" t="str">
        <v>#繁栄 #自然</v>
      </c>
      <c r="I2498">
        <v>100</v>
      </c>
      <c r="J2498">
        <v>65</v>
      </c>
      <c r="K2498">
        <v>45</v>
      </c>
      <c r="L2498">
        <v>0</v>
      </c>
      <c r="M2498">
        <f>VLOOKUP(A2498,[1]kanji_data!$A:$N,14,FALSE)</f>
        <v>0</v>
      </c>
    </row>
    <row r="2499">
      <c r="A2499" t="str">
        <v>須</v>
      </c>
      <c r="B2499">
        <v>12</v>
      </c>
      <c r="C2499" t="b">
        <v>1</v>
      </c>
      <c r="D2499" t="str">
        <v>ス シュ</v>
      </c>
      <c r="E2499" t="str">
        <v>しばら（く） すべから（く） すべか（らく） ま（つ） もち（いる） もと（める）</v>
      </c>
      <c r="F2499" t="str">
        <v>もち もとむ</v>
      </c>
      <c r="G2499" t="str">
        <v>もちいる。もとめる。必要である。 まつ。待ちうける。待ち望む。 ひげ。あごひげ。あごに生えたひげ。＝鬚 しばらく。しばし。少しの間。 「すべからく～べし」と読み、「～する必要がある」「～すべきである」「～しなければならない」などの意を表す。</v>
      </c>
      <c r="I2499">
        <v>10</v>
      </c>
      <c r="J2499">
        <v>60</v>
      </c>
      <c r="K2499">
        <v>50</v>
      </c>
      <c r="L2499">
        <v>0</v>
      </c>
      <c r="M2499">
        <f>VLOOKUP(A2499,[1]kanji_data!$A:$N,14,FALSE)</f>
        <v>0</v>
      </c>
    </row>
    <row r="2500">
      <c r="A2500" t="str">
        <v>畿</v>
      </c>
      <c r="B2500">
        <v>15</v>
      </c>
      <c r="C2500" t="b">
        <v>1</v>
      </c>
      <c r="D2500" t="str">
        <v>キ</v>
      </c>
      <c r="E2500" t="str">
        <v>みやこ</v>
      </c>
      <c r="F2500" t="str">
        <v>ちか</v>
      </c>
      <c r="G2500" t="str">
        <v>みやこ。首都。帝都。天子の居住地。 みやこに近い土地。天子の直轄地。</v>
      </c>
      <c r="I2500">
        <v>10</v>
      </c>
      <c r="J2500">
        <v>45</v>
      </c>
      <c r="K2500">
        <v>65</v>
      </c>
      <c r="L2500">
        <v>0</v>
      </c>
      <c r="M2500">
        <f>VLOOKUP(A2500,[1]kanji_data!$A:$N,14,FALSE)</f>
        <v>0</v>
      </c>
    </row>
    <row r="2501">
      <c r="A2501" t="str">
        <v>鞍</v>
      </c>
      <c r="B2501">
        <v>15</v>
      </c>
      <c r="C2501" t="b">
        <v>0</v>
      </c>
      <c r="D2501" t="str">
        <v>アン</v>
      </c>
      <c r="E2501" t="str">
        <v>くら</v>
      </c>
      <c r="F2501">
        <v>0</v>
      </c>
      <c r="G2501" t="str">
        <v>くら。馬や牛の背につけ、人や荷物をのせるための道具。</v>
      </c>
      <c r="I2501">
        <v>10</v>
      </c>
      <c r="J2501">
        <v>55</v>
      </c>
      <c r="K2501">
        <v>55</v>
      </c>
      <c r="L2501">
        <v>1</v>
      </c>
    </row>
    <row r="2502">
      <c r="A2502" t="str">
        <v>諏</v>
      </c>
      <c r="B2502">
        <v>15</v>
      </c>
      <c r="C2502" t="b">
        <v>0</v>
      </c>
      <c r="D2502" t="str">
        <v>シュ ス</v>
      </c>
      <c r="E2502" t="str">
        <v>と（う） はか（る）</v>
      </c>
      <c r="F2502">
        <v>0</v>
      </c>
      <c r="G2502" t="str">
        <v>はかる。問う。たずねる。相談する。</v>
      </c>
      <c r="I2502">
        <v>10</v>
      </c>
      <c r="J2502">
        <v>40</v>
      </c>
      <c r="K2502">
        <v>75</v>
      </c>
      <c r="L2502">
        <v>1</v>
      </c>
    </row>
    <row r="2503">
      <c r="A2503" t="str">
        <v>墨</v>
      </c>
      <c r="B2503">
        <v>15</v>
      </c>
      <c r="C2503" t="b">
        <v>0</v>
      </c>
      <c r="D2503" t="str">
        <v>ボク モク</v>
      </c>
      <c r="E2503" t="str">
        <v>すみ</v>
      </c>
      <c r="F2503">
        <v>0</v>
      </c>
      <c r="G2503" t="str">
        <v>すみ。字や絵をかくときに用いるすみ。 書画。すみでかいた物。 黒い。黒ずんでいる。 すみなわ。線を引くための大工道具。 入れ墨。入れ墨の刑。 「墨家（ぼくか・ぼっか）」の略。 長さの単位。五尺。</v>
      </c>
      <c r="I2503">
        <v>10</v>
      </c>
      <c r="J2503">
        <v>55</v>
      </c>
      <c r="K2503">
        <v>55</v>
      </c>
      <c r="L2503">
        <v>1</v>
      </c>
    </row>
    <row r="2504">
      <c r="A2504" t="str">
        <v>薗</v>
      </c>
      <c r="B2504">
        <v>16</v>
      </c>
      <c r="C2504" t="b">
        <v>0</v>
      </c>
      <c r="D2504" t="str">
        <v>エン オン</v>
      </c>
      <c r="E2504" t="str">
        <v>その にわ</v>
      </c>
      <c r="F2504" t="str">
        <v>え</v>
      </c>
      <c r="G2504" t="str">
        <v>その。にわ。畑。 みささぎ。天子、王妃などの墓。</v>
      </c>
      <c r="I2504">
        <v>10</v>
      </c>
      <c r="J2504">
        <v>35</v>
      </c>
      <c r="K2504">
        <v>70</v>
      </c>
      <c r="L2504">
        <v>1</v>
      </c>
    </row>
    <row r="2505">
      <c r="A2505" t="str">
        <v>締</v>
      </c>
      <c r="B2505">
        <v>15</v>
      </c>
      <c r="C2505" t="b">
        <v>1</v>
      </c>
      <c r="D2505" t="str">
        <v>テイ</v>
      </c>
      <c r="E2505" t="str">
        <v>し（まる） し（める） むす（ぶ）</v>
      </c>
      <c r="F2505">
        <v>0</v>
      </c>
      <c r="G2505" t="str">
        <v>むすぶ。とりきめる。固く結ぶ。 むすぼれる。気が晴れない。心がはれない。 しまる。しめる。きびしくする。束ねる。しっかりする。合計する。 しめ。合計。</v>
      </c>
      <c r="H2505" t="str">
        <v>#天空</v>
      </c>
      <c r="I2505">
        <v>10</v>
      </c>
      <c r="J2505">
        <v>50</v>
      </c>
      <c r="K2505">
        <v>50</v>
      </c>
      <c r="L2505">
        <v>1</v>
      </c>
    </row>
    <row r="2506">
      <c r="A2506" t="str">
        <v>謹</v>
      </c>
      <c r="B2506">
        <v>18</v>
      </c>
      <c r="C2506" t="b">
        <v>0</v>
      </c>
      <c r="D2506" t="str">
        <v>キン</v>
      </c>
      <c r="E2506" t="str">
        <v>つつし（む）</v>
      </c>
      <c r="F2506">
        <v>0</v>
      </c>
      <c r="G2506" t="str">
        <v>つつしむ。気を引き締める。控えめにする。厳しくする。禁止する。 つつしみ。ひかえめ。まじめ。 つつしんで。うやうやしく。</v>
      </c>
      <c r="I2506">
        <v>10</v>
      </c>
      <c r="J2506">
        <v>55</v>
      </c>
      <c r="K2506">
        <v>65</v>
      </c>
      <c r="L2506">
        <v>0</v>
      </c>
      <c r="M2506">
        <f>VLOOKUP(A2506,[1]kanji_data!$A:$N,14,FALSE)</f>
        <v>0</v>
      </c>
    </row>
    <row r="2507">
      <c r="A2507" t="str">
        <v>干</v>
      </c>
      <c r="B2507">
        <v>3</v>
      </c>
      <c r="C2507" t="b">
        <v>1</v>
      </c>
      <c r="D2507" t="str">
        <v>カン</v>
      </c>
      <c r="E2507" t="str">
        <v>ほ（す） ひ（る） おか（す） かか（わる） たて もと（める）</v>
      </c>
      <c r="F2507">
        <v>0</v>
      </c>
      <c r="G2507" t="str">
        <v>ほす。かわかす。水分を取り除く。 ひる。かわく。水分がなくなる。 おかす。道理に反した行いをする。 かかわる。関係する。関与する。 もとめる。手に入れようとする。欲しがる。 たて。身を守る防具。 十干（じっかん）のこと。</v>
      </c>
      <c r="I2507">
        <v>10</v>
      </c>
      <c r="J2507">
        <v>75</v>
      </c>
      <c r="K2507">
        <v>40</v>
      </c>
      <c r="L2507">
        <v>0</v>
      </c>
      <c r="M2507">
        <f>VLOOKUP(A2507,[1]kanji_data!$A:$N,14,FALSE)</f>
        <v>0</v>
      </c>
    </row>
    <row r="2508">
      <c r="A2508" t="str">
        <v>寸</v>
      </c>
      <c r="B2508">
        <v>3</v>
      </c>
      <c r="C2508" t="b">
        <v>1</v>
      </c>
      <c r="D2508" t="str">
        <v>スン ソン</v>
      </c>
      <c r="E2508" t="str">
        <v>き わず（か）</v>
      </c>
      <c r="F2508">
        <v>0</v>
      </c>
      <c r="G2508" t="str">
        <v>長さの単位。一尺の十分の一。 わずか。すこし。みじかい。 とき。「時」を省略した字として用いる。 き。馬のたけをはかるのに用いられる単位。</v>
      </c>
      <c r="I2508">
        <v>10</v>
      </c>
      <c r="J2508">
        <v>50</v>
      </c>
      <c r="K2508">
        <v>50</v>
      </c>
      <c r="L2508">
        <v>0</v>
      </c>
      <c r="M2508">
        <f>VLOOKUP(A2508,[1]kanji_data!$A:$N,14,FALSE)</f>
        <v>0</v>
      </c>
    </row>
    <row r="2509">
      <c r="A2509" t="str">
        <v>霊</v>
      </c>
      <c r="B2509">
        <v>15</v>
      </c>
      <c r="C2509" t="b">
        <v>1</v>
      </c>
      <c r="D2509" t="str">
        <v>レイ リョウ</v>
      </c>
      <c r="E2509" t="str">
        <v>たま たましい よ（い）</v>
      </c>
      <c r="F2509">
        <v>0</v>
      </c>
      <c r="G2509" t="str">
        <v>たま。たましい。死者のたましい。 神秘な力。不思議な力。 みこ。かんなぎ。 よい。かしこい。すぐれている。</v>
      </c>
      <c r="H2509" t="str">
        <v>#知性</v>
      </c>
      <c r="I2509">
        <v>10</v>
      </c>
      <c r="J2509">
        <v>50</v>
      </c>
      <c r="K2509">
        <v>55</v>
      </c>
      <c r="L2509">
        <v>1</v>
      </c>
    </row>
    <row r="2510">
      <c r="A2510" t="str">
        <v>巾</v>
      </c>
      <c r="B2510">
        <v>3</v>
      </c>
      <c r="C2510" t="b">
        <v>1</v>
      </c>
      <c r="D2510" t="str">
        <v>キン</v>
      </c>
      <c r="E2510" t="str">
        <v>きれ はば ふきん</v>
      </c>
      <c r="F2510">
        <v>0</v>
      </c>
      <c r="G2510" t="str">
        <v>きれ。ふきん。布きれ。 おおい。ずきん。布でできたかぶり物。 おおう。かぶせる。つつむ。 はば。「幅」の代わりに用いられる字。</v>
      </c>
      <c r="I2510">
        <v>10</v>
      </c>
      <c r="J2510">
        <v>55</v>
      </c>
      <c r="K2510">
        <v>55</v>
      </c>
      <c r="L2510">
        <v>0</v>
      </c>
      <c r="M2510">
        <f>VLOOKUP(A2510,[1]kanji_data!$A:$N,14,FALSE)</f>
        <v>0</v>
      </c>
    </row>
    <row r="2511">
      <c r="A2511" t="str">
        <v>勺</v>
      </c>
      <c r="B2511">
        <v>3</v>
      </c>
      <c r="C2511" t="b">
        <v>0</v>
      </c>
      <c r="D2511" t="str">
        <v>シャク</v>
      </c>
      <c r="E2511">
        <v>0</v>
      </c>
      <c r="F2511">
        <v>0</v>
      </c>
      <c r="G2511" t="str">
        <v>ひしゃく。水や酒などをくむ道具。 くむ。水や酒などをくむ。 容量・容積の単位。一合の十分の一。 しゃく。土地の面積の単位。一坪の百分の一。</v>
      </c>
      <c r="I2511">
        <v>10</v>
      </c>
      <c r="J2511">
        <v>50</v>
      </c>
      <c r="K2511">
        <v>50</v>
      </c>
      <c r="L2511">
        <v>0</v>
      </c>
      <c r="M2511">
        <f>VLOOKUP(A2511,[1]kanji_data!$A:$N,14,FALSE)</f>
        <v>0</v>
      </c>
    </row>
    <row r="2512">
      <c r="A2512" t="str">
        <v>潟</v>
      </c>
      <c r="B2512">
        <v>15</v>
      </c>
      <c r="C2512" t="b">
        <v>1</v>
      </c>
      <c r="D2512" t="str">
        <v>セキ</v>
      </c>
      <c r="E2512" t="str">
        <v>かた</v>
      </c>
      <c r="F2512">
        <v>0</v>
      </c>
      <c r="G2512" t="str">
        <v>かた。ひがた。潮の満ち引きで現れたり隠れたりする土地。 しおち。塩分を多く含んだ土地。 かた。砂州・砂丘などによって海と区切られてできた湖沼。</v>
      </c>
      <c r="H2512" t="str">
        <v>#海・水 #自然</v>
      </c>
      <c r="I2512">
        <v>10</v>
      </c>
      <c r="J2512">
        <v>50</v>
      </c>
      <c r="K2512">
        <v>50</v>
      </c>
      <c r="L2512">
        <v>1</v>
      </c>
    </row>
    <row r="2513">
      <c r="A2513" t="str">
        <v>已</v>
      </c>
      <c r="B2513">
        <v>3</v>
      </c>
      <c r="C2513" t="b">
        <v>0</v>
      </c>
      <c r="D2513" t="str">
        <v>イ</v>
      </c>
      <c r="E2513" t="str">
        <v>すで（に） のみ はなは（だ） や（む）</v>
      </c>
      <c r="F2513">
        <v>0</v>
      </c>
      <c r="G2513" t="str">
        <v>やむ。やめる。中止する。 「すでに」と読み、「もう」「もはや」「とっくに」などの意を表す。 「のみ」と読み、文末に置き、断定・強調の意を表す。 「はなはだ」と読み、「非常に」「きわめて」などの意を表す。</v>
      </c>
      <c r="I2513">
        <v>10</v>
      </c>
      <c r="J2513">
        <v>50</v>
      </c>
      <c r="K2513">
        <v>50</v>
      </c>
      <c r="L2513">
        <v>0</v>
      </c>
      <c r="M2513">
        <f>VLOOKUP(A2513,[1]kanji_data!$A:$N,14,FALSE)</f>
        <v>0</v>
      </c>
    </row>
    <row r="2514">
      <c r="A2514" t="str">
        <v>勲</v>
      </c>
      <c r="B2514">
        <v>15</v>
      </c>
      <c r="C2514" t="b">
        <v>1</v>
      </c>
      <c r="D2514" t="str">
        <v>クン</v>
      </c>
      <c r="E2514" t="str">
        <v>いさお いさおし</v>
      </c>
      <c r="F2514" t="str">
        <v>いさ こと つとむ のり ひろ</v>
      </c>
      <c r="G2514" t="str">
        <v>いさお。いさおし。功績。手柄。</v>
      </c>
      <c r="H2514" t="str">
        <v>#勇気 #品格 #繁栄</v>
      </c>
      <c r="I2514">
        <v>70</v>
      </c>
      <c r="J2514">
        <v>100</v>
      </c>
      <c r="K2514">
        <v>30</v>
      </c>
      <c r="L2514">
        <v>0</v>
      </c>
      <c r="M2514">
        <f>VLOOKUP(A2514,[1]kanji_data!$A:$N,14,FALSE)</f>
        <v>0</v>
      </c>
    </row>
    <row r="2515">
      <c r="A2515" t="str">
        <v>慶</v>
      </c>
      <c r="B2515">
        <v>15</v>
      </c>
      <c r="C2515" t="b">
        <v>1</v>
      </c>
      <c r="D2515" t="str">
        <v>ケイ キョウ</v>
      </c>
      <c r="E2515" t="str">
        <v>よ（い） よろこ（ぶ）</v>
      </c>
      <c r="F2515" t="str">
        <v>ちか のり みち やす よし</v>
      </c>
      <c r="G2515" t="str">
        <v>よろこぶ。よろこび祝う。めでたいと祝う。 よろこび。めでたいこと。 幸い。幸福。</v>
      </c>
      <c r="H2515" t="str">
        <v>#幸福</v>
      </c>
      <c r="I2515">
        <v>100</v>
      </c>
      <c r="J2515">
        <v>45</v>
      </c>
      <c r="K2515">
        <v>70</v>
      </c>
      <c r="L2515">
        <v>0</v>
      </c>
      <c r="M2515">
        <f>VLOOKUP(A2515,[1]kanji_data!$A:$N,14,FALSE)</f>
        <v>0</v>
      </c>
    </row>
    <row r="2516">
      <c r="A2516" t="str">
        <v>賜</v>
      </c>
      <c r="B2516">
        <v>15</v>
      </c>
      <c r="C2516" t="b">
        <v>1</v>
      </c>
      <c r="D2516" t="str">
        <v>シ</v>
      </c>
      <c r="E2516" t="str">
        <v>たまわ（る） たま（う） たまもの</v>
      </c>
      <c r="F2516" t="str">
        <v>たま ます めぐむ</v>
      </c>
      <c r="G2516" t="str">
        <v>たまう。与える。ほどこす。めぐむ。 たまわる。いただく。ちょうだいする。 たまもの。いただきもの。めぐみ。</v>
      </c>
      <c r="H2516" t="str">
        <v>#慈愛</v>
      </c>
      <c r="I2516">
        <v>90</v>
      </c>
      <c r="J2516">
        <v>55</v>
      </c>
      <c r="K2516">
        <v>70</v>
      </c>
      <c r="L2516">
        <v>0</v>
      </c>
      <c r="M2516">
        <f>VLOOKUP(A2516,[1]kanji_data!$A:$N,14,FALSE)</f>
        <v>0</v>
      </c>
    </row>
    <row r="2517">
      <c r="A2517" t="str">
        <v>尺</v>
      </c>
      <c r="B2517">
        <v>4</v>
      </c>
      <c r="C2517" t="b">
        <v>1</v>
      </c>
      <c r="D2517" t="str">
        <v>シャク セキ</v>
      </c>
      <c r="E2517" t="str">
        <v>さし ものさし わず（か）</v>
      </c>
      <c r="F2517">
        <v>0</v>
      </c>
      <c r="G2517" t="str">
        <v>長さの単位。一尺は一寸の十倍。周代では、約二二・五センチメートル。日本では、約三十・三センチメートル。 さし。ものさし。 わずか。小さい。少し。短い。 手紙。昔は一尺の長さの木の札に文字を書いていたことから。</v>
      </c>
      <c r="I2517">
        <v>10</v>
      </c>
      <c r="J2517">
        <v>50</v>
      </c>
      <c r="K2517">
        <v>50</v>
      </c>
      <c r="L2517">
        <v>1</v>
      </c>
    </row>
    <row r="2518">
      <c r="A2518" t="str">
        <v>屯</v>
      </c>
      <c r="B2518">
        <v>4</v>
      </c>
      <c r="C2518" t="b">
        <v>1</v>
      </c>
      <c r="D2518" t="str">
        <v>トン チュン</v>
      </c>
      <c r="E2518" t="str">
        <v>たむろ なや（む）</v>
      </c>
      <c r="F2518">
        <v>0</v>
      </c>
      <c r="G2518" t="str">
        <v>たむろ。たむろする。群がり集まる。また、そのような場所。 なやむ。なやみ苦しむ。 トン。重さ・船の容積の単位。＝噸</v>
      </c>
      <c r="I2518">
        <v>10</v>
      </c>
      <c r="J2518">
        <v>50</v>
      </c>
      <c r="K2518">
        <v>50</v>
      </c>
      <c r="L2518">
        <v>1</v>
      </c>
    </row>
    <row r="2519">
      <c r="A2519" t="str">
        <v>片</v>
      </c>
      <c r="B2519">
        <v>4</v>
      </c>
      <c r="C2519" t="b">
        <v>1</v>
      </c>
      <c r="D2519" t="str">
        <v>ヘン</v>
      </c>
      <c r="E2519" t="str">
        <v>かた きれ ひら ペンス</v>
      </c>
      <c r="F2519">
        <v>0</v>
      </c>
      <c r="G2519" t="str">
        <v>かた。かたわれ。二つのうちの一方。 木ぎれ。木を二つに割ったうちの右半分。 ひら。きれ。薄く小さいもののかけら。また、それらを数える語。 わずか。少し。ちょっと。 ペンス。イギリスの貨幣単位「pence（ペンス）」の音訳字。</v>
      </c>
      <c r="I2519">
        <v>10</v>
      </c>
      <c r="J2519">
        <v>50</v>
      </c>
      <c r="K2519">
        <v>50</v>
      </c>
      <c r="L2519">
        <v>1</v>
      </c>
    </row>
    <row r="2520">
      <c r="A2520" t="str">
        <v>徹</v>
      </c>
      <c r="B2520">
        <v>15</v>
      </c>
      <c r="C2520" t="b">
        <v>1</v>
      </c>
      <c r="D2520" t="str">
        <v>テツ</v>
      </c>
      <c r="E2520" t="str">
        <v>とお（る）</v>
      </c>
      <c r="F2520" t="str">
        <v>あきら いたる おさむ とおる みち ゆき</v>
      </c>
      <c r="G2520" t="str">
        <v>とおる。とおす。つらぬく。つらぬきとおす。最後までつらぬく。 とどく。行きとどく。達する。 とる。取り去る。取り除く。＝撤 周代の税法。徹法。</v>
      </c>
      <c r="H2520" t="str">
        <v>#勇気 #心・志</v>
      </c>
      <c r="I2520">
        <v>100</v>
      </c>
      <c r="J2520">
        <v>100</v>
      </c>
      <c r="K2520">
        <v>35</v>
      </c>
      <c r="L2520">
        <v>0</v>
      </c>
      <c r="M2520">
        <f>VLOOKUP(A2520,[1]kanji_data!$A:$N,14,FALSE)</f>
        <v>0</v>
      </c>
    </row>
    <row r="2521">
      <c r="A2521" t="str">
        <v>撤</v>
      </c>
      <c r="B2521">
        <v>15</v>
      </c>
      <c r="C2521" t="b">
        <v>1</v>
      </c>
      <c r="D2521" t="str">
        <v>テツ</v>
      </c>
      <c r="E2521" t="str">
        <v>す（てる）</v>
      </c>
      <c r="F2521">
        <v>0</v>
      </c>
      <c r="G2521" t="str">
        <v>すてる。とりのぞく。とりのける。やめる。</v>
      </c>
      <c r="H2521" t="str">
        <v>#天空</v>
      </c>
      <c r="I2521">
        <v>10</v>
      </c>
      <c r="J2521">
        <v>50</v>
      </c>
      <c r="K2521">
        <v>50</v>
      </c>
      <c r="L2521">
        <v>1</v>
      </c>
    </row>
    <row r="2522">
      <c r="A2522" t="str">
        <v>皿</v>
      </c>
      <c r="B2522">
        <v>5</v>
      </c>
      <c r="C2522" t="b">
        <v>1</v>
      </c>
      <c r="D2522" t="str">
        <v>ベイ</v>
      </c>
      <c r="E2522" t="str">
        <v>さら</v>
      </c>
      <c r="F2522">
        <v>0</v>
      </c>
      <c r="G2522" t="str">
        <v>さら。食物を盛るための容器。</v>
      </c>
      <c r="I2522">
        <v>10</v>
      </c>
      <c r="J2522">
        <v>55</v>
      </c>
      <c r="K2522">
        <v>55</v>
      </c>
      <c r="L2522">
        <v>0</v>
      </c>
      <c r="M2522">
        <f>VLOOKUP(A2522,[1]kanji_data!$A:$N,14,FALSE)</f>
        <v>0</v>
      </c>
    </row>
    <row r="2523">
      <c r="A2523" t="str">
        <v>打</v>
      </c>
      <c r="B2523">
        <v>5</v>
      </c>
      <c r="C2523" t="b">
        <v>1</v>
      </c>
      <c r="D2523" t="str">
        <v>ダ チョウ テイ</v>
      </c>
      <c r="E2523" t="str">
        <v>う（つ） ダース ぶ（つ）</v>
      </c>
      <c r="F2523">
        <v>0</v>
      </c>
      <c r="G2523" t="str">
        <v>うつ。ぶつ。たたく。うちたたく。 名詞の上のつけて、「する」「取る」「買う」などの意を示す。 動詞の上につけて、ある動作をすることを示す。 ダース。十二個で一組のもの。</v>
      </c>
      <c r="I2523">
        <v>10</v>
      </c>
      <c r="J2523">
        <v>85</v>
      </c>
      <c r="K2523">
        <v>30</v>
      </c>
      <c r="L2523">
        <v>1</v>
      </c>
    </row>
    <row r="2524">
      <c r="A2524" t="str">
        <v>賓</v>
      </c>
      <c r="B2524">
        <v>15</v>
      </c>
      <c r="C2524" t="b">
        <v>1</v>
      </c>
      <c r="D2524" t="str">
        <v>ヒン</v>
      </c>
      <c r="E2524" t="str">
        <v>したが（う） まろうど</v>
      </c>
      <c r="F2524">
        <v>0</v>
      </c>
      <c r="G2524" t="str">
        <v>したがう。服従する。つき従う。また、従える。 まろうど。客人。特に、身分の高い客。大切な客。 客としてもてなす。客としてあつかう。 しりぞける。おしのける。すてる。 連ねる。連なる。順序立てて並べる。</v>
      </c>
      <c r="H2524" t="str">
        <v>#天空</v>
      </c>
      <c r="I2524">
        <v>10</v>
      </c>
      <c r="J2524">
        <v>30</v>
      </c>
      <c r="K2524">
        <v>85</v>
      </c>
      <c r="L2524">
        <v>1</v>
      </c>
    </row>
    <row r="2525">
      <c r="A2525" t="str">
        <v>憤</v>
      </c>
      <c r="B2525">
        <v>15</v>
      </c>
      <c r="C2525" t="b">
        <v>1</v>
      </c>
      <c r="D2525" t="str">
        <v>フン</v>
      </c>
      <c r="E2525" t="str">
        <v>いきどお（る） むずか（る）</v>
      </c>
      <c r="F2525">
        <v>0</v>
      </c>
      <c r="G2525" t="str">
        <v>いきどおる。ひどく腹を立てる。 ふるい立つ。勇み立つ。 むずかる。むつかる。子どもが機嫌をそこねて泣く。</v>
      </c>
      <c r="H2525" t="str">
        <v>#勇気 #天空</v>
      </c>
      <c r="I2525">
        <v>10</v>
      </c>
      <c r="J2525">
        <v>50</v>
      </c>
      <c r="K2525">
        <v>50</v>
      </c>
      <c r="L2525">
        <v>1</v>
      </c>
    </row>
    <row r="2526">
      <c r="A2526" t="str">
        <v>旧</v>
      </c>
      <c r="B2526">
        <v>5</v>
      </c>
      <c r="C2526" t="b">
        <v>1</v>
      </c>
      <c r="D2526" t="str">
        <v>キュウ</v>
      </c>
      <c r="E2526" t="str">
        <v>ふ（る） ふる（い） ふる（びる） もと</v>
      </c>
      <c r="F2526">
        <v>0</v>
      </c>
      <c r="G2526" t="str">
        <v>ふるい。昔の。過去の。以前の。 ふる。ふるびる。ふるくなる。 もと。もとから。昔から。以前から。 昔なじみ。以前から親しい人。</v>
      </c>
      <c r="I2526">
        <v>10</v>
      </c>
      <c r="J2526">
        <v>35</v>
      </c>
      <c r="K2526">
        <v>70</v>
      </c>
      <c r="L2526">
        <v>1</v>
      </c>
    </row>
    <row r="2527">
      <c r="A2527" t="str">
        <v>冊</v>
      </c>
      <c r="B2527">
        <v>5</v>
      </c>
      <c r="C2527" t="b">
        <v>1</v>
      </c>
      <c r="D2527" t="str">
        <v>サツ サク</v>
      </c>
      <c r="E2527" t="str">
        <v>た（てる） ふみ</v>
      </c>
      <c r="F2527">
        <v>0</v>
      </c>
      <c r="G2527" t="str">
        <v>ふみ。書物。文書。 書物を数えることば。 天子が爵位や封禄を授けるときの任命書（命令書）。</v>
      </c>
      <c r="I2527">
        <v>10</v>
      </c>
      <c r="J2527">
        <v>55</v>
      </c>
      <c r="K2527">
        <v>55</v>
      </c>
      <c r="L2527">
        <v>1</v>
      </c>
    </row>
    <row r="2528">
      <c r="A2528" t="str">
        <v>褒</v>
      </c>
      <c r="B2528">
        <v>15</v>
      </c>
      <c r="C2528" t="b">
        <v>1</v>
      </c>
      <c r="D2528" t="str">
        <v>ホウ</v>
      </c>
      <c r="E2528" t="str">
        <v>ほ（める）</v>
      </c>
      <c r="F2528">
        <v>0</v>
      </c>
      <c r="G2528" t="str">
        <v>ほめる。ほめたたえる。 大きい。広い。ゆったりとしている。 すそやふところが広い衣。 周代の国名。</v>
      </c>
      <c r="H2528" t="str">
        <v>#繁栄</v>
      </c>
      <c r="I2528">
        <v>10</v>
      </c>
      <c r="J2528">
        <v>65</v>
      </c>
      <c r="K2528">
        <v>45</v>
      </c>
      <c r="L2528">
        <v>0</v>
      </c>
      <c r="M2528">
        <f>VLOOKUP(A2528,[1]kanji_data!$A:$N,14,FALSE)</f>
        <v>0</v>
      </c>
    </row>
    <row r="2529">
      <c r="A2529" t="str">
        <v>召</v>
      </c>
      <c r="B2529">
        <v>5</v>
      </c>
      <c r="C2529" t="b">
        <v>1</v>
      </c>
      <c r="D2529" t="str">
        <v>ショウ</v>
      </c>
      <c r="E2529" t="str">
        <v>め（す）</v>
      </c>
      <c r="F2529">
        <v>0</v>
      </c>
      <c r="G2529" t="str">
        <v>めす。呼び寄せる。呼び出す。 めし。おめし。目上の人からの招き。 まねく。まねき寄せる。招待する。 古代中国の国名。</v>
      </c>
      <c r="I2529">
        <v>10</v>
      </c>
      <c r="J2529">
        <v>45</v>
      </c>
      <c r="K2529">
        <v>70</v>
      </c>
      <c r="L2529">
        <v>1</v>
      </c>
    </row>
    <row r="2530">
      <c r="A2530" t="str">
        <v>摩</v>
      </c>
      <c r="B2530">
        <v>15</v>
      </c>
      <c r="C2530" t="b">
        <v>1</v>
      </c>
      <c r="D2530" t="str">
        <v>マ</v>
      </c>
      <c r="E2530" t="str">
        <v>こす（る） さす（る） す（る）</v>
      </c>
      <c r="F2530" t="str">
        <v>きよ なず</v>
      </c>
      <c r="G2530" t="str">
        <v>する。さする。こする。手でこする。 みがく。とぐ。すりみがく。 せまる。近づく。接近する。</v>
      </c>
      <c r="H2530" t="str">
        <v>#知性 #繁栄</v>
      </c>
      <c r="I2530">
        <v>10</v>
      </c>
      <c r="J2530">
        <v>50</v>
      </c>
      <c r="K2530">
        <v>50</v>
      </c>
      <c r="L2530">
        <v>0</v>
      </c>
      <c r="M2530">
        <f>VLOOKUP(A2530,[1]kanji_data!$A:$N,14,FALSE)</f>
        <v>0</v>
      </c>
    </row>
    <row r="2531">
      <c r="A2531" t="str">
        <v>寺</v>
      </c>
      <c r="B2531">
        <v>6</v>
      </c>
      <c r="C2531" t="b">
        <v>1</v>
      </c>
      <c r="D2531" t="str">
        <v>ジ</v>
      </c>
      <c r="E2531" t="str">
        <v>てら</v>
      </c>
      <c r="F2531">
        <v>0</v>
      </c>
      <c r="G2531" t="str">
        <v>てら。寺院。仏道の修行を行う場所。 役所。役場。</v>
      </c>
      <c r="I2531">
        <v>10</v>
      </c>
      <c r="J2531">
        <v>50</v>
      </c>
      <c r="K2531">
        <v>55</v>
      </c>
      <c r="L2531">
        <v>1</v>
      </c>
    </row>
    <row r="2532">
      <c r="A2532" t="str">
        <v>毎</v>
      </c>
      <c r="B2532">
        <v>6</v>
      </c>
      <c r="C2532" t="b">
        <v>1</v>
      </c>
      <c r="D2532" t="str">
        <v>マイ バイ</v>
      </c>
      <c r="E2532" t="str">
        <v>ごと つね むさぼ（る）</v>
      </c>
      <c r="F2532">
        <v>0</v>
      </c>
      <c r="G2532" t="str">
        <v>つね。つねに。ごと。ごとに。いつも。そのたびごとに。 むさぼる。求める。 いえども。</v>
      </c>
      <c r="I2532">
        <v>10</v>
      </c>
      <c r="J2532">
        <v>65</v>
      </c>
      <c r="K2532">
        <v>55</v>
      </c>
      <c r="L2532">
        <v>1</v>
      </c>
    </row>
    <row r="2533">
      <c r="A2533" t="str">
        <v>寮</v>
      </c>
      <c r="B2533">
        <v>15</v>
      </c>
      <c r="C2533" t="b">
        <v>1</v>
      </c>
      <c r="D2533" t="str">
        <v>リョウ</v>
      </c>
      <c r="E2533" t="str">
        <v>つかさ</v>
      </c>
      <c r="F2533">
        <v>0</v>
      </c>
      <c r="G2533" t="str">
        <v>つかさ。役人。 同僚。仲間。 僧たちが共同生活する宿舎。 りょう。学校や会社などが生徒や職員のために設けた住居用の建物。 りょう。律令制で省に付属した役所。 りょう。茶室。数寄屋。また、数寄屋造りの建物。</v>
      </c>
      <c r="H2533" t="str">
        <v>#調和</v>
      </c>
      <c r="I2533">
        <v>10</v>
      </c>
      <c r="J2533">
        <v>50</v>
      </c>
      <c r="K2533">
        <v>50</v>
      </c>
      <c r="L2533">
        <v>1</v>
      </c>
    </row>
    <row r="2534">
      <c r="A2534" t="str">
        <v>各</v>
      </c>
      <c r="B2534">
        <v>6</v>
      </c>
      <c r="C2534" t="b">
        <v>1</v>
      </c>
      <c r="D2534" t="str">
        <v>カク</v>
      </c>
      <c r="E2534" t="str">
        <v>おのおの</v>
      </c>
      <c r="F2534">
        <v>0</v>
      </c>
      <c r="G2534" t="str">
        <v>おのおの。それぞれ。ひとつひとつ。</v>
      </c>
      <c r="I2534">
        <v>10</v>
      </c>
      <c r="J2534">
        <v>50</v>
      </c>
      <c r="K2534">
        <v>55</v>
      </c>
      <c r="L2534">
        <v>1</v>
      </c>
    </row>
    <row r="2535">
      <c r="A2535" t="str">
        <v>机</v>
      </c>
      <c r="B2535">
        <v>6</v>
      </c>
      <c r="C2535" t="b">
        <v>1</v>
      </c>
      <c r="D2535" t="str">
        <v>キ</v>
      </c>
      <c r="E2535" t="str">
        <v>つくえ</v>
      </c>
      <c r="F2535">
        <v>0</v>
      </c>
      <c r="G2535" t="str">
        <v>つくえ。台。＝几</v>
      </c>
      <c r="I2535">
        <v>10</v>
      </c>
      <c r="J2535">
        <v>70</v>
      </c>
      <c r="K2535">
        <v>50</v>
      </c>
      <c r="L2535">
        <v>1</v>
      </c>
    </row>
    <row r="2536">
      <c r="A2536" t="str">
        <v>憬</v>
      </c>
      <c r="B2536">
        <v>15</v>
      </c>
      <c r="C2536" t="b">
        <v>1</v>
      </c>
      <c r="D2536" t="str">
        <v>ケイ</v>
      </c>
      <c r="E2536" t="str">
        <v>あこが（れる）</v>
      </c>
      <c r="F2536" t="str">
        <v>け さと さとる</v>
      </c>
      <c r="G2536" t="str">
        <v>さとる。わかる。気づく。 遠いさま。はるかに遠いさま。 あこがれる。強く心を引かれる。</v>
      </c>
      <c r="H2536" t="str">
        <v>#心・志 #慈愛 #知性</v>
      </c>
      <c r="I2536">
        <v>95</v>
      </c>
      <c r="J2536">
        <v>55</v>
      </c>
      <c r="K2536">
        <v>60</v>
      </c>
      <c r="L2536">
        <v>0</v>
      </c>
      <c r="M2536">
        <f>VLOOKUP(A2536,[1]kanji_data!$A:$N,14,FALSE)</f>
        <v>0</v>
      </c>
    </row>
    <row r="2537">
      <c r="A2537" t="str">
        <v>稽</v>
      </c>
      <c r="B2537">
        <v>15</v>
      </c>
      <c r="C2537" t="b">
        <v>1</v>
      </c>
      <c r="D2537" t="str">
        <v>ケイ</v>
      </c>
      <c r="E2537" t="str">
        <v>かんが（える） とどこお（る） とど（める）</v>
      </c>
      <c r="F2537">
        <v>0</v>
      </c>
      <c r="G2537" t="str">
        <v>とどまる。とどめる。ひきとめる。とどこおる。 考える。よく考える。 くらべる。比較する。計る。数える。 至る。やってくる。 「稽首」は、ひざまずいて両手を地面につけ、さらに頭も地面につける最上級の敬意を表す礼。</v>
      </c>
      <c r="H2537" t="str">
        <v>#品格 #知性</v>
      </c>
      <c r="I2537">
        <v>10</v>
      </c>
      <c r="J2537">
        <v>50</v>
      </c>
      <c r="K2537">
        <v>50</v>
      </c>
      <c r="L2537">
        <v>1</v>
      </c>
    </row>
    <row r="2538">
      <c r="A2538" t="str">
        <v>駒</v>
      </c>
      <c r="B2538">
        <v>15</v>
      </c>
      <c r="C2538" t="b">
        <v>1</v>
      </c>
      <c r="D2538" t="str">
        <v>ク</v>
      </c>
      <c r="E2538" t="str">
        <v>こま</v>
      </c>
      <c r="F2538">
        <v>0</v>
      </c>
      <c r="G2538" t="str">
        <v>こま。小さい馬。若い馬。また、元気な子どもや若者。 こま。馬。馬の総称。 こま。将棋の盤上で動かすもの。 こま。三味線の弦と皮の間にはさむもの。</v>
      </c>
      <c r="H2538" t="str">
        <v>#勇気 #繁栄</v>
      </c>
      <c r="I2538">
        <v>10</v>
      </c>
      <c r="J2538">
        <v>85</v>
      </c>
      <c r="K2538">
        <v>30</v>
      </c>
      <c r="L2538">
        <v>0</v>
      </c>
      <c r="M2538">
        <f>VLOOKUP(A2538,[1]kanji_data!$A:$N,14,FALSE)</f>
        <v>0</v>
      </c>
    </row>
    <row r="2539">
      <c r="A2539" t="str">
        <v>摯</v>
      </c>
      <c r="B2539">
        <v>15</v>
      </c>
      <c r="C2539" t="b">
        <v>1</v>
      </c>
      <c r="D2539" t="str">
        <v>シ</v>
      </c>
      <c r="E2539" t="str">
        <v>あら（い） と（る） にえ まこと</v>
      </c>
      <c r="F2539">
        <v>0</v>
      </c>
      <c r="G2539" t="str">
        <v>とる。つかむ。にぎる。 まこと。まじめ。手厚い。 にえ。手土産。礼物。＝贄 あらい。あらあらしい。＝鷙</v>
      </c>
      <c r="H2539" t="str">
        <v>#品格</v>
      </c>
      <c r="I2539">
        <v>10</v>
      </c>
      <c r="J2539">
        <v>55</v>
      </c>
      <c r="K2539">
        <v>70</v>
      </c>
      <c r="L2539">
        <v>0</v>
      </c>
      <c r="M2539">
        <f>VLOOKUP(A2539,[1]kanji_data!$A:$N,14,FALSE)</f>
        <v>0</v>
      </c>
    </row>
    <row r="2540">
      <c r="A2540" t="str">
        <v>宅</v>
      </c>
      <c r="B2540">
        <v>6</v>
      </c>
      <c r="C2540" t="b">
        <v>1</v>
      </c>
      <c r="D2540" t="str">
        <v>タク</v>
      </c>
      <c r="E2540" t="str">
        <v>いえ やけ</v>
      </c>
      <c r="F2540">
        <v>0</v>
      </c>
      <c r="G2540" t="str">
        <v>いえ。住まい。居住する場所。 おる。いる。住む。居住する。 墓。墓場。墓所。 たく。他人に対して、妻が自分の夫を指していうことば。「お宅」は相手や相手の家族などを指す。 やか。やけ。家。住居。</v>
      </c>
      <c r="I2540">
        <v>10</v>
      </c>
      <c r="J2540">
        <v>40</v>
      </c>
      <c r="K2540">
        <v>75</v>
      </c>
      <c r="L2540">
        <v>1</v>
      </c>
    </row>
    <row r="2541">
      <c r="A2541" t="str">
        <v>憧</v>
      </c>
      <c r="B2541">
        <v>15</v>
      </c>
      <c r="C2541" t="b">
        <v>1</v>
      </c>
      <c r="D2541" t="str">
        <v>ショウ トウ ドウ</v>
      </c>
      <c r="E2541" t="str">
        <v>あこが（れる）</v>
      </c>
      <c r="F2541">
        <v>0</v>
      </c>
      <c r="G2541" t="str">
        <v>心が落ち着かないさま。 おろかなさま。無知なさま。 あこがれる。強く心を引かれる。</v>
      </c>
      <c r="H2541" t="str">
        <v>#心・志 #慈愛</v>
      </c>
      <c r="I2541">
        <v>60</v>
      </c>
      <c r="J2541">
        <v>55</v>
      </c>
      <c r="K2541">
        <v>60</v>
      </c>
      <c r="L2541">
        <v>0</v>
      </c>
      <c r="M2541">
        <f>VLOOKUP(A2541,[1]kanji_data!$A:$N,14,FALSE)</f>
        <v>0</v>
      </c>
    </row>
    <row r="2542">
      <c r="A2542" t="str">
        <v>弐</v>
      </c>
      <c r="B2542">
        <v>6</v>
      </c>
      <c r="C2542" t="b">
        <v>1</v>
      </c>
      <c r="D2542" t="str">
        <v>ニ ジ</v>
      </c>
      <c r="E2542" t="str">
        <v>ふた ふた（つ）</v>
      </c>
      <c r="F2542" t="str">
        <v>すけ</v>
      </c>
      <c r="G2542" t="str">
        <v>ふた。ふたつ。＝二 ふたたび。再度。＝二 そむく。うらぎる。ふたごころがある。 そえる。そばにそえる。加える。 契約書や証書などの文書で数字を表すとき、書き換えを防ぐために「二」の代わりに用いる文字。大字。 すけ。四等官で、大宰府の第二位。</v>
      </c>
      <c r="I2542">
        <v>5</v>
      </c>
      <c r="J2542">
        <v>50</v>
      </c>
      <c r="K2542">
        <v>50</v>
      </c>
      <c r="L2542">
        <v>1</v>
      </c>
    </row>
    <row r="2543">
      <c r="A2543" t="str">
        <v>庄</v>
      </c>
      <c r="B2543">
        <v>6</v>
      </c>
      <c r="C2543" t="b">
        <v>0</v>
      </c>
      <c r="D2543" t="str">
        <v>ショウ ソウ</v>
      </c>
      <c r="E2543" t="str">
        <v>いなか むらざと</v>
      </c>
      <c r="F2543" t="str">
        <v>まさ</v>
      </c>
      <c r="G2543" t="str">
        <v>いなか。むらざと。村落。＝荘 しょう。荘園。また、その名残の土地の名。</v>
      </c>
      <c r="I2543">
        <v>5</v>
      </c>
      <c r="J2543">
        <v>50</v>
      </c>
      <c r="K2543">
        <v>50</v>
      </c>
      <c r="L2543">
        <v>1</v>
      </c>
    </row>
    <row r="2544">
      <c r="A2544" t="str">
        <v>托</v>
      </c>
      <c r="B2544">
        <v>6</v>
      </c>
      <c r="C2544" t="b">
        <v>0</v>
      </c>
      <c r="D2544" t="str">
        <v>タク</v>
      </c>
      <c r="E2544" t="str">
        <v>お（く） お（す） たの（む）</v>
      </c>
      <c r="F2544" t="str">
        <v>ひろ もり</v>
      </c>
      <c r="G2544" t="str">
        <v>おく。のせる。手のひらや台などに物をのせる。 物をのせておく台。 たのむ。たよる。まかせる。あずける。 おす。手でおす。</v>
      </c>
      <c r="I2544">
        <v>5</v>
      </c>
      <c r="J2544">
        <v>50</v>
      </c>
      <c r="K2544">
        <v>55</v>
      </c>
      <c r="L2544">
        <v>1</v>
      </c>
    </row>
    <row r="2545">
      <c r="A2545" t="str">
        <v>辻</v>
      </c>
      <c r="B2545">
        <v>6</v>
      </c>
      <c r="C2545" t="b">
        <v>0</v>
      </c>
      <c r="D2545">
        <v>0</v>
      </c>
      <c r="E2545" t="str">
        <v>つじ</v>
      </c>
      <c r="F2545">
        <v>0</v>
      </c>
      <c r="G2545" t="str">
        <v>つじ。十字路。交差点。道端。</v>
      </c>
      <c r="I2545">
        <v>10</v>
      </c>
      <c r="J2545">
        <v>50</v>
      </c>
      <c r="K2545">
        <v>50</v>
      </c>
      <c r="L2545">
        <v>1</v>
      </c>
    </row>
    <row r="2546">
      <c r="A2546" t="str">
        <v>町</v>
      </c>
      <c r="B2546">
        <v>7</v>
      </c>
      <c r="C2546" t="b">
        <v>1</v>
      </c>
      <c r="D2546" t="str">
        <v>チョウ テイ</v>
      </c>
      <c r="E2546" t="str">
        <v>まち あぜみち</v>
      </c>
      <c r="F2546">
        <v>0</v>
      </c>
      <c r="G2546" t="str">
        <v>あぜみち。あぜ。田畑のうね。 まち。ちょう。地方自治体の一つ。 面積の単位。距離の単位。</v>
      </c>
      <c r="I2546">
        <v>10</v>
      </c>
      <c r="J2546">
        <v>50</v>
      </c>
      <c r="K2546">
        <v>50</v>
      </c>
      <c r="L2546">
        <v>1</v>
      </c>
    </row>
    <row r="2547">
      <c r="A2547" t="str">
        <v>坂</v>
      </c>
      <c r="B2547">
        <v>7</v>
      </c>
      <c r="C2547" t="b">
        <v>1</v>
      </c>
      <c r="D2547" t="str">
        <v>ハン バン</v>
      </c>
      <c r="E2547" t="str">
        <v>さか</v>
      </c>
      <c r="F2547">
        <v>0</v>
      </c>
      <c r="G2547" t="str">
        <v>さか。傾斜した土地。傾斜した道。 つつみ。堤防。土手。</v>
      </c>
      <c r="I2547">
        <v>10</v>
      </c>
      <c r="J2547">
        <v>50</v>
      </c>
      <c r="K2547">
        <v>50</v>
      </c>
      <c r="L2547">
        <v>1</v>
      </c>
    </row>
    <row r="2548">
      <c r="A2548" t="str">
        <v>蔽</v>
      </c>
      <c r="B2548">
        <v>15</v>
      </c>
      <c r="C2548" t="b">
        <v>1</v>
      </c>
      <c r="D2548" t="str">
        <v>ヘイ</v>
      </c>
      <c r="E2548" t="str">
        <v>おお（い） おお（う） くら（い） さだ（める）</v>
      </c>
      <c r="F2548" t="str">
        <v>さだむ</v>
      </c>
      <c r="G2548" t="str">
        <v>おおう。おおい。おおいかくす。つつむ。ひとまとめにする。 さだめる。決める。判断する。 くらい。物事の道理にくらい。 ちいさい。草木が小さい。</v>
      </c>
      <c r="H2548" t="str">
        <v>#知性 #自然</v>
      </c>
      <c r="I2548">
        <v>15</v>
      </c>
      <c r="J2548">
        <v>50</v>
      </c>
      <c r="K2548">
        <v>50</v>
      </c>
      <c r="L2548">
        <v>1</v>
      </c>
    </row>
    <row r="2549">
      <c r="A2549" t="str">
        <v>束</v>
      </c>
      <c r="B2549">
        <v>7</v>
      </c>
      <c r="C2549" t="b">
        <v>1</v>
      </c>
      <c r="D2549" t="str">
        <v>ソク</v>
      </c>
      <c r="E2549" t="str">
        <v>たば つか つか（ねる）</v>
      </c>
      <c r="F2549">
        <v>0</v>
      </c>
      <c r="G2549" t="str">
        <v>つかねる。たばねる。しばってひとつにまとめる。 たば。たばねたもの。ひとつにまとめたもの。また、それを数えることば。 つなぐ。つなぎとめる。自由を制限する。 そく。まとめた物を数える単位。 つか。長さの単位。握った指四本分の長さ。 つか。わずかな時間。短い時間。</v>
      </c>
      <c r="I2549">
        <v>10</v>
      </c>
      <c r="J2549">
        <v>60</v>
      </c>
      <c r="K2549">
        <v>55</v>
      </c>
      <c r="L2549">
        <v>1</v>
      </c>
    </row>
    <row r="2550">
      <c r="A2550" t="str">
        <v>防</v>
      </c>
      <c r="B2550">
        <v>7</v>
      </c>
      <c r="C2550" t="b">
        <v>1</v>
      </c>
      <c r="D2550" t="str">
        <v>ボウ ホウ</v>
      </c>
      <c r="E2550" t="str">
        <v>ふせ（ぐ） まも（る）</v>
      </c>
      <c r="F2550">
        <v>0</v>
      </c>
      <c r="G2550" t="str">
        <v>ふせぐ。まもる。ふせぎとめる。 つつみ。土手。水をせきとめるもの。 ならぶ。匹敵する。比肩する。</v>
      </c>
      <c r="I2550">
        <v>10</v>
      </c>
      <c r="J2550">
        <v>80</v>
      </c>
      <c r="K2550">
        <v>45</v>
      </c>
      <c r="L2550">
        <v>1</v>
      </c>
    </row>
    <row r="2551">
      <c r="A2551" t="str">
        <v>慧</v>
      </c>
      <c r="B2551">
        <v>15</v>
      </c>
      <c r="C2551" t="b">
        <v>0</v>
      </c>
      <c r="D2551" t="str">
        <v>エ ケイ</v>
      </c>
      <c r="E2551" t="str">
        <v>かしこ（い） さと（い）</v>
      </c>
      <c r="F2551" t="str">
        <v>あきら さとし さとる</v>
      </c>
      <c r="G2551" t="str">
        <v>さとい。かしこい。気がきく。 仏教で、物事の道理を正しく見抜く力。</v>
      </c>
      <c r="H2551" t="str">
        <v>#知性</v>
      </c>
      <c r="I2551">
        <v>100</v>
      </c>
      <c r="J2551">
        <v>55</v>
      </c>
      <c r="K2551">
        <v>60</v>
      </c>
      <c r="L2551">
        <v>0</v>
      </c>
      <c r="M2551">
        <f>VLOOKUP(A2551,[1]kanji_data!$A:$N,14,FALSE)</f>
        <v>0</v>
      </c>
    </row>
    <row r="2552">
      <c r="A2552" t="str">
        <v>余</v>
      </c>
      <c r="B2552">
        <v>7</v>
      </c>
      <c r="C2552" t="b">
        <v>1</v>
      </c>
      <c r="D2552" t="str">
        <v>ヨ</v>
      </c>
      <c r="E2552" t="str">
        <v>あま（す） あま（る） ほか われ</v>
      </c>
      <c r="F2552">
        <v>0</v>
      </c>
      <c r="G2552" t="str">
        <v>あます。あまる。残す。残る。 あまり。残り。残ったもの。 ほか。そのほか。それ以外。 われ。自分。自分を指す一人称の代名詞。</v>
      </c>
      <c r="I2552">
        <v>10</v>
      </c>
      <c r="J2552">
        <v>40</v>
      </c>
      <c r="K2552">
        <v>75</v>
      </c>
      <c r="L2552">
        <v>1</v>
      </c>
    </row>
    <row r="2553">
      <c r="A2553" t="str">
        <v>系</v>
      </c>
      <c r="B2553">
        <v>7</v>
      </c>
      <c r="C2553" t="b">
        <v>1</v>
      </c>
      <c r="D2553" t="str">
        <v>ケイ</v>
      </c>
      <c r="E2553" t="str">
        <v>すじ つな（ぐ）</v>
      </c>
      <c r="F2553">
        <v>0</v>
      </c>
      <c r="G2553" t="str">
        <v>かける。かかる。つなぐ。継ぐ。続く。つながり。 すじ。ちすじ。血統。</v>
      </c>
      <c r="I2553">
        <v>10</v>
      </c>
      <c r="J2553">
        <v>55</v>
      </c>
      <c r="K2553">
        <v>55</v>
      </c>
      <c r="L2553">
        <v>1</v>
      </c>
    </row>
    <row r="2554">
      <c r="A2554" t="str">
        <v>嬉</v>
      </c>
      <c r="B2554">
        <v>15</v>
      </c>
      <c r="C2554" t="b">
        <v>0</v>
      </c>
      <c r="D2554" t="str">
        <v>キ</v>
      </c>
      <c r="E2554" t="str">
        <v>あそ（ぶ） うれ（しい） たの（しむ）</v>
      </c>
      <c r="F2554" t="str">
        <v>よし</v>
      </c>
      <c r="G2554" t="str">
        <v>たのしむ。あそぶ。よろこぶ。 うれしい。喜ばしい。満足。</v>
      </c>
      <c r="H2554" t="str">
        <v>#幸福</v>
      </c>
      <c r="I2554">
        <v>10</v>
      </c>
      <c r="J2554">
        <v>45</v>
      </c>
      <c r="K2554">
        <v>65</v>
      </c>
      <c r="L2554">
        <v>1</v>
      </c>
    </row>
    <row r="2555">
      <c r="A2555" t="str">
        <v>槻</v>
      </c>
      <c r="B2555">
        <v>15</v>
      </c>
      <c r="C2555" t="b">
        <v>0</v>
      </c>
      <c r="D2555" t="str">
        <v>キ</v>
      </c>
      <c r="E2555" t="str">
        <v>つき</v>
      </c>
      <c r="F2555">
        <v>0</v>
      </c>
      <c r="G2555" t="str">
        <v>「樊槻（はんき）」は、とねりこ。モクセイ科の落葉高木。 つき。ニレ科の落葉高木。けやきの古名。</v>
      </c>
      <c r="H2555" t="str">
        <v>#自然</v>
      </c>
      <c r="I2555">
        <v>10</v>
      </c>
      <c r="J2555">
        <v>55</v>
      </c>
      <c r="K2555">
        <v>55</v>
      </c>
      <c r="L2555">
        <v>0</v>
      </c>
      <c r="M2555">
        <f>VLOOKUP(A2555,[1]kanji_data!$A:$N,14,FALSE)</f>
        <v>0</v>
      </c>
    </row>
    <row r="2556">
      <c r="A2556" t="str">
        <v>毅</v>
      </c>
      <c r="B2556">
        <v>15</v>
      </c>
      <c r="C2556" t="b">
        <v>0</v>
      </c>
      <c r="D2556" t="str">
        <v>キ</v>
      </c>
      <c r="E2556" t="str">
        <v>たけ（し） つよ（い）</v>
      </c>
      <c r="F2556" t="str">
        <v>たか たけし つよし のり</v>
      </c>
      <c r="G2556" t="str">
        <v>つよい。たけし。意志がつよく、しっかりしている。</v>
      </c>
      <c r="H2556" t="str">
        <v>#心・志</v>
      </c>
      <c r="I2556">
        <v>70</v>
      </c>
      <c r="J2556">
        <v>95</v>
      </c>
      <c r="K2556">
        <v>30</v>
      </c>
      <c r="L2556">
        <v>0</v>
      </c>
      <c r="M2556">
        <f>VLOOKUP(A2556,[1]kanji_data!$A:$N,14,FALSE)</f>
        <v>0</v>
      </c>
    </row>
    <row r="2557">
      <c r="A2557" t="str">
        <v>誼</v>
      </c>
      <c r="B2557">
        <v>15</v>
      </c>
      <c r="C2557" t="b">
        <v>0</v>
      </c>
      <c r="D2557" t="str">
        <v>ギ</v>
      </c>
      <c r="E2557" t="str">
        <v>よ（い） よしみ</v>
      </c>
      <c r="F2557" t="str">
        <v>こと みち よし</v>
      </c>
      <c r="G2557" t="str">
        <v>よい。よろしい。正しい。適切である。 よしみ。親しみ。ゆかり。親しい関係。 物事の道理。すじみち。 はかる。論じる。相談する。</v>
      </c>
      <c r="H2557" t="str">
        <v>#品格 #調和</v>
      </c>
      <c r="I2557">
        <v>95</v>
      </c>
      <c r="J2557">
        <v>40</v>
      </c>
      <c r="K2557">
        <v>85</v>
      </c>
      <c r="L2557">
        <v>0</v>
      </c>
      <c r="M2557">
        <f>VLOOKUP(A2557,[1]kanji_data!$A:$N,14,FALSE)</f>
        <v>0</v>
      </c>
    </row>
    <row r="2558">
      <c r="A2558" t="str">
        <v>卵</v>
      </c>
      <c r="B2558">
        <v>7</v>
      </c>
      <c r="C2558" t="b">
        <v>1</v>
      </c>
      <c r="D2558" t="str">
        <v>ラン</v>
      </c>
      <c r="E2558" t="str">
        <v>たまご</v>
      </c>
      <c r="F2558">
        <v>0</v>
      </c>
      <c r="G2558" t="str">
        <v>たまご。鳥や魚などのたまご。 たまご。修行中の身でまだ半人前の人。</v>
      </c>
      <c r="I2558">
        <v>10</v>
      </c>
      <c r="J2558">
        <v>75</v>
      </c>
      <c r="K2558">
        <v>40</v>
      </c>
      <c r="L2558">
        <v>1</v>
      </c>
    </row>
    <row r="2559">
      <c r="A2559" t="str">
        <v>駈</v>
      </c>
      <c r="B2559">
        <v>15</v>
      </c>
      <c r="C2559" t="b">
        <v>0</v>
      </c>
      <c r="D2559" t="str">
        <v>ク</v>
      </c>
      <c r="E2559" t="str">
        <v>か（ける） か（る） お（う）</v>
      </c>
      <c r="F2559" t="str">
        <v>かけ かける</v>
      </c>
      <c r="G2559" t="str">
        <v>かける。走る。馬に乗って走る。 かる。馬にむちを打って走らせる。 かる。おう。追い立てる。 せまる。しいる。強要する。</v>
      </c>
      <c r="H2559" t="str">
        <v>#天空</v>
      </c>
      <c r="I2559">
        <v>90</v>
      </c>
      <c r="J2559">
        <v>85</v>
      </c>
      <c r="K2559">
        <v>35</v>
      </c>
      <c r="L2559">
        <v>0</v>
      </c>
      <c r="M2559">
        <f>VLOOKUP(A2559,[1]kanji_data!$A:$N,14,FALSE)</f>
        <v>0</v>
      </c>
    </row>
    <row r="2560">
      <c r="A2560" t="str">
        <v>蕨</v>
      </c>
      <c r="B2560">
        <v>15</v>
      </c>
      <c r="C2560" t="b">
        <v>0</v>
      </c>
      <c r="D2560" t="str">
        <v>ケツ</v>
      </c>
      <c r="E2560" t="str">
        <v>わらび</v>
      </c>
      <c r="F2560">
        <v>0</v>
      </c>
      <c r="G2560" t="str">
        <v>わらび。山野に自生するイノモトソウ科のシダ植物。食用。</v>
      </c>
      <c r="H2560" t="str">
        <v>#自然</v>
      </c>
      <c r="I2560">
        <v>10</v>
      </c>
      <c r="J2560">
        <v>50</v>
      </c>
      <c r="K2560">
        <v>50</v>
      </c>
      <c r="L2560">
        <v>1</v>
      </c>
    </row>
    <row r="2561">
      <c r="A2561" t="str">
        <v>尾</v>
      </c>
      <c r="B2561">
        <v>7</v>
      </c>
      <c r="C2561" t="b">
        <v>1</v>
      </c>
      <c r="D2561" t="str">
        <v>ビ</v>
      </c>
      <c r="E2561" t="str">
        <v>お</v>
      </c>
      <c r="F2561">
        <v>0</v>
      </c>
      <c r="G2561" t="str">
        <v>お。しっぽ。 うしろ。おわり。末端。 動物が交尾する。 二十八宿の一つ。あしたれぼし。 魚を数える語。</v>
      </c>
      <c r="I2561">
        <v>10</v>
      </c>
      <c r="J2561">
        <v>50</v>
      </c>
      <c r="K2561">
        <v>50</v>
      </c>
      <c r="L2561">
        <v>1</v>
      </c>
    </row>
    <row r="2562">
      <c r="A2562" t="str">
        <v>岐</v>
      </c>
      <c r="B2562">
        <v>7</v>
      </c>
      <c r="C2562" t="b">
        <v>1</v>
      </c>
      <c r="D2562" t="str">
        <v>キ ギ</v>
      </c>
      <c r="E2562" t="str">
        <v>ちまた わか（れる）</v>
      </c>
      <c r="F2562" t="str">
        <v>みち</v>
      </c>
      <c r="G2562" t="str">
        <v>わかれる。枝分かれする。 分かれ道。枝分かれした道。 ちまた。道の分かれている所。</v>
      </c>
      <c r="I2562">
        <v>5</v>
      </c>
      <c r="J2562">
        <v>50</v>
      </c>
      <c r="K2562">
        <v>50</v>
      </c>
      <c r="L2562">
        <v>1</v>
      </c>
    </row>
    <row r="2563">
      <c r="A2563" t="str">
        <v>呉</v>
      </c>
      <c r="B2563">
        <v>7</v>
      </c>
      <c r="C2563" t="b">
        <v>1</v>
      </c>
      <c r="D2563" t="str">
        <v>ゴ</v>
      </c>
      <c r="E2563" t="str">
        <v>くれ く（れる）</v>
      </c>
      <c r="F2563" t="str">
        <v>くに</v>
      </c>
      <c r="G2563" t="str">
        <v>国名。春秋時代の国の名。 国名。三国時代の国の名。 国名。五代十国時代の国の名。 さわがしい。かまびすしい。大きな声でさわぐ。 くれ。古代、中国を指した呼称。 くれる。与える。</v>
      </c>
      <c r="I2563">
        <v>5</v>
      </c>
      <c r="J2563">
        <v>35</v>
      </c>
      <c r="K2563">
        <v>70</v>
      </c>
      <c r="L2563">
        <v>1</v>
      </c>
    </row>
    <row r="2564">
      <c r="A2564" t="str">
        <v>撞</v>
      </c>
      <c r="B2564">
        <v>15</v>
      </c>
      <c r="C2564" t="b">
        <v>0</v>
      </c>
      <c r="D2564" t="str">
        <v>シュ トウ ドウ</v>
      </c>
      <c r="E2564" t="str">
        <v>つ（く）</v>
      </c>
      <c r="F2564">
        <v>0</v>
      </c>
      <c r="G2564" t="str">
        <v>つく。つきあたる。つきあてる。 つく。つきさす。つき通す。 つく。つき鳴らす。鐘を鳴らす。</v>
      </c>
      <c r="H2564" t="str">
        <v>#天空</v>
      </c>
      <c r="I2564">
        <v>10</v>
      </c>
      <c r="J2564">
        <v>50</v>
      </c>
      <c r="K2564">
        <v>50</v>
      </c>
      <c r="L2564">
        <v>1</v>
      </c>
    </row>
    <row r="2565">
      <c r="A2565" t="str">
        <v>肖</v>
      </c>
      <c r="B2565">
        <v>7</v>
      </c>
      <c r="C2565" t="b">
        <v>1</v>
      </c>
      <c r="D2565" t="str">
        <v>ショウ</v>
      </c>
      <c r="E2565" t="str">
        <v>あやか（る） かたど（る） に（る）</v>
      </c>
      <c r="F2565" t="str">
        <v>あえ あゆ あれ すえ たか のり ゆき</v>
      </c>
      <c r="G2565" t="str">
        <v>似る。体つきや形などが似る。 かたどる。のっとる。似せる。あやかる。 小さい。 おとろえる。</v>
      </c>
      <c r="I2565">
        <v>5</v>
      </c>
      <c r="J2565">
        <v>50</v>
      </c>
      <c r="K2565">
        <v>50</v>
      </c>
      <c r="L2565">
        <v>1</v>
      </c>
    </row>
    <row r="2566">
      <c r="A2566" t="str">
        <v>醇</v>
      </c>
      <c r="B2566">
        <v>15</v>
      </c>
      <c r="C2566" t="b">
        <v>0</v>
      </c>
      <c r="D2566" t="str">
        <v>シュン ジュン</v>
      </c>
      <c r="E2566" t="str">
        <v>あつ（い） もっぱ（ら）</v>
      </c>
      <c r="F2566">
        <v>0</v>
      </c>
      <c r="G2566" t="str">
        <v>あつい。手厚い。人情味のある。 もっぱら。ひたすら。 混じりけがない。清らかなさま。 味の濃い酒。こってりと重みのある酒。</v>
      </c>
      <c r="H2566" t="str">
        <v>#海・水</v>
      </c>
      <c r="I2566">
        <v>40</v>
      </c>
      <c r="J2566">
        <v>55</v>
      </c>
      <c r="K2566">
        <v>70</v>
      </c>
      <c r="L2566">
        <v>0</v>
      </c>
      <c r="M2566">
        <f>VLOOKUP(A2566,[1]kanji_data!$A:$N,14,FALSE)</f>
        <v>0</v>
      </c>
    </row>
    <row r="2567">
      <c r="A2567" t="str">
        <v>樟</v>
      </c>
      <c r="B2567">
        <v>15</v>
      </c>
      <c r="C2567" t="b">
        <v>0</v>
      </c>
      <c r="D2567" t="str">
        <v>ショウ</v>
      </c>
      <c r="E2567" t="str">
        <v>くす くすのき</v>
      </c>
      <c r="F2567">
        <v>0</v>
      </c>
      <c r="G2567" t="str">
        <v>くす。くすのき。クスノキ科の常緑高木。</v>
      </c>
      <c r="H2567" t="str">
        <v>#自然</v>
      </c>
      <c r="I2567">
        <v>10</v>
      </c>
      <c r="J2567">
        <v>85</v>
      </c>
      <c r="K2567">
        <v>30</v>
      </c>
      <c r="L2567">
        <v>0</v>
      </c>
      <c r="M2567">
        <f>VLOOKUP(A2567,[1]kanji_data!$A:$N,14,FALSE)</f>
        <v>0</v>
      </c>
    </row>
    <row r="2568">
      <c r="A2568" t="str">
        <v>蕉</v>
      </c>
      <c r="B2568">
        <v>15</v>
      </c>
      <c r="C2568" t="b">
        <v>0</v>
      </c>
      <c r="D2568" t="str">
        <v>ショウ</v>
      </c>
      <c r="E2568">
        <v>0</v>
      </c>
      <c r="F2568">
        <v>0</v>
      </c>
      <c r="G2568" t="str">
        <v>「芭蕉（ばしょう）」はバショウ科の多年草。 たきぎ。 やつれる。やせおとろえる。 江戸時代の俳人「松尾芭蕉（まつおばしょう）」のこと。</v>
      </c>
      <c r="H2568" t="str">
        <v>#海・水 #自然</v>
      </c>
      <c r="I2568">
        <v>10</v>
      </c>
      <c r="J2568">
        <v>50</v>
      </c>
      <c r="K2568">
        <v>50</v>
      </c>
      <c r="L2568">
        <v>1</v>
      </c>
    </row>
    <row r="2569">
      <c r="A2569" t="str">
        <v>把</v>
      </c>
      <c r="B2569">
        <v>7</v>
      </c>
      <c r="C2569" t="b">
        <v>1</v>
      </c>
      <c r="D2569" t="str">
        <v>ハ</v>
      </c>
      <c r="E2569" t="str">
        <v>と（る） にぎ（る）</v>
      </c>
      <c r="F2569">
        <v>0</v>
      </c>
      <c r="G2569" t="str">
        <v>にぎる。とる。手でつかむ。 ひとにぎりのもの。ひとたばのもの。 とって。道具の手で持つところ。</v>
      </c>
      <c r="I2569">
        <v>10</v>
      </c>
      <c r="J2569">
        <v>50</v>
      </c>
      <c r="K2569">
        <v>50</v>
      </c>
      <c r="L2569">
        <v>1</v>
      </c>
    </row>
    <row r="2570">
      <c r="A2570" t="str">
        <v>阪</v>
      </c>
      <c r="B2570">
        <v>7</v>
      </c>
      <c r="C2570" t="b">
        <v>1</v>
      </c>
      <c r="D2570" t="str">
        <v>ハン</v>
      </c>
      <c r="E2570" t="str">
        <v>さか</v>
      </c>
      <c r="F2570">
        <v>0</v>
      </c>
      <c r="G2570" t="str">
        <v>さか。傾斜した土地。傾斜した道。＝坂</v>
      </c>
      <c r="I2570">
        <v>10</v>
      </c>
      <c r="J2570">
        <v>50</v>
      </c>
      <c r="K2570">
        <v>50</v>
      </c>
      <c r="L2570">
        <v>1</v>
      </c>
    </row>
    <row r="2571">
      <c r="A2571" t="str">
        <v>邑</v>
      </c>
      <c r="B2571">
        <v>7</v>
      </c>
      <c r="C2571" t="b">
        <v>0</v>
      </c>
      <c r="D2571" t="str">
        <v>オウ ユウ</v>
      </c>
      <c r="E2571" t="str">
        <v>うれ（える） くに みやこ むら</v>
      </c>
      <c r="F2571" t="str">
        <v>さと さとし すみ</v>
      </c>
      <c r="G2571" t="str">
        <v>みやこ。くに。 むら。さと。まち。 天子・諸侯・大夫の領地。 うれえる。</v>
      </c>
      <c r="H2571" t="str">
        <v>#伝統 #調和</v>
      </c>
      <c r="I2571">
        <v>35</v>
      </c>
      <c r="J2571">
        <v>35</v>
      </c>
      <c r="K2571">
        <v>35</v>
      </c>
      <c r="L2571">
        <v>0</v>
      </c>
    </row>
    <row r="2572">
      <c r="A2572" t="str">
        <v>坐</v>
      </c>
      <c r="B2572">
        <v>7</v>
      </c>
      <c r="C2572" t="b">
        <v>0</v>
      </c>
      <c r="D2572" t="str">
        <v>ザ</v>
      </c>
      <c r="E2572" t="str">
        <v>いなが（ら） いま（す） おわ（す） すわ（る） そぞろ（に） ましま（す）</v>
      </c>
      <c r="F2572">
        <v>0</v>
      </c>
      <c r="G2572" t="str">
        <v>すわる。腰をおろしてすわる。席につく。 腰をおろす場所。座席。 いながら。いながらに。何もせずに。労せずに。 そぞろに。なんとなく。 おわす。まします。います。「ある」「いる」「行く「来る」などの敬語。</v>
      </c>
      <c r="I2572">
        <v>10</v>
      </c>
      <c r="J2572">
        <v>55</v>
      </c>
      <c r="K2572">
        <v>60</v>
      </c>
      <c r="L2572">
        <v>1</v>
      </c>
    </row>
    <row r="2573">
      <c r="A2573" t="str">
        <v>杖</v>
      </c>
      <c r="B2573">
        <v>7</v>
      </c>
      <c r="C2573" t="b">
        <v>0</v>
      </c>
      <c r="D2573" t="str">
        <v>ジョウ</v>
      </c>
      <c r="E2573" t="str">
        <v>つえ</v>
      </c>
      <c r="F2573">
        <v>0</v>
      </c>
      <c r="G2573" t="str">
        <v>つえ。歩行を助けるための道具。 よる。たよる。たのみにする。＝仗 五刑の一つ。つえで背中や尻を打つ刑罰。杖刑（じょうけい）。</v>
      </c>
      <c r="I2573">
        <v>10</v>
      </c>
      <c r="J2573">
        <v>75</v>
      </c>
      <c r="K2573">
        <v>40</v>
      </c>
      <c r="L2573">
        <v>1</v>
      </c>
    </row>
    <row r="2574">
      <c r="A2574" t="str">
        <v>樋</v>
      </c>
      <c r="B2574">
        <v>15</v>
      </c>
      <c r="C2574" t="b">
        <v>0</v>
      </c>
      <c r="D2574" t="str">
        <v>トウ</v>
      </c>
      <c r="E2574" t="str">
        <v>とい ひ</v>
      </c>
      <c r="F2574">
        <v>0</v>
      </c>
      <c r="G2574" t="str">
        <v>木の名。詳細は不明。 ひ。とい。竹や木をかけわたして水を通すもの。</v>
      </c>
      <c r="H2574" t="str">
        <v>#自然</v>
      </c>
      <c r="I2574">
        <v>10</v>
      </c>
      <c r="J2574">
        <v>50</v>
      </c>
      <c r="K2574">
        <v>50</v>
      </c>
      <c r="L2574">
        <v>1</v>
      </c>
    </row>
    <row r="2575">
      <c r="A2575" t="str">
        <v>辿</v>
      </c>
      <c r="B2575">
        <v>7</v>
      </c>
      <c r="C2575" t="b">
        <v>0</v>
      </c>
      <c r="D2575" t="str">
        <v>テン</v>
      </c>
      <c r="E2575" t="str">
        <v>たど（る）</v>
      </c>
      <c r="F2575">
        <v>0</v>
      </c>
      <c r="G2575" t="str">
        <v>ゆっくり歩く。 たどる。さがしながら進む。さぐり求める。</v>
      </c>
      <c r="I2575">
        <v>10</v>
      </c>
      <c r="J2575">
        <v>70</v>
      </c>
      <c r="K2575">
        <v>50</v>
      </c>
      <c r="L2575">
        <v>1</v>
      </c>
    </row>
    <row r="2576">
      <c r="A2576" t="str">
        <v>吞</v>
      </c>
      <c r="B2576">
        <v>7</v>
      </c>
      <c r="C2576" t="b">
        <v>0</v>
      </c>
      <c r="D2576" t="str">
        <v>トン ドン</v>
      </c>
      <c r="E2576" t="str">
        <v>の（む）</v>
      </c>
      <c r="F2576">
        <v>0</v>
      </c>
      <c r="G2576" t="str">
        <v>のむ。のみこむ。丸のみにする。飲み下す。 外に出ないようにする。表にあらわさないようにする。隠す。抑える。我慢する。 かろんじる。相手を軽くみる。 自分のものとする。取り込む。侵略する。併合する。 滅ぼす。</v>
      </c>
      <c r="I2576">
        <v>10</v>
      </c>
      <c r="J2576">
        <v>40</v>
      </c>
      <c r="K2576">
        <v>75</v>
      </c>
      <c r="L2576">
        <v>1</v>
      </c>
    </row>
    <row r="2577">
      <c r="A2577" t="str">
        <v>磐</v>
      </c>
      <c r="B2577">
        <v>15</v>
      </c>
      <c r="C2577" t="b">
        <v>0</v>
      </c>
      <c r="D2577" t="str">
        <v>ハン バン</v>
      </c>
      <c r="E2577" t="str">
        <v>いわ わだかま（る）</v>
      </c>
      <c r="F2577" t="str">
        <v>いわお わ</v>
      </c>
      <c r="G2577" t="str">
        <v>いわ。いわお。大きく厚い岩。平たく大きな岩。 わだかまる。とどこおる。 「磐城（いわき）の国」の略称。</v>
      </c>
      <c r="H2577" t="str">
        <v>#自然</v>
      </c>
      <c r="I2577">
        <v>90</v>
      </c>
      <c r="J2577">
        <v>90</v>
      </c>
      <c r="K2577">
        <v>35</v>
      </c>
      <c r="L2577">
        <v>0</v>
      </c>
      <c r="M2577">
        <f>VLOOKUP(A2577,[1]kanji_data!$A:$N,14,FALSE)</f>
        <v>0</v>
      </c>
    </row>
    <row r="2578">
      <c r="A2578" t="str">
        <v>蕃</v>
      </c>
      <c r="B2578">
        <v>15</v>
      </c>
      <c r="C2578" t="b">
        <v>0</v>
      </c>
      <c r="D2578" t="str">
        <v>ハン バン</v>
      </c>
      <c r="E2578" t="str">
        <v>えびす しげ（る） ふ（える） まがき</v>
      </c>
      <c r="F2578">
        <v>0</v>
      </c>
      <c r="G2578" t="str">
        <v>しげる。草木が生い茂る。草がはびこる。ふえる。 まがき。かきね。おおい。囲い。 えびす。異民族。教化の行き届いていない民族。また、外国人。</v>
      </c>
      <c r="H2578" t="str">
        <v>#自然</v>
      </c>
      <c r="I2578">
        <v>10</v>
      </c>
      <c r="J2578">
        <v>65</v>
      </c>
      <c r="K2578">
        <v>45</v>
      </c>
      <c r="L2578">
        <v>0</v>
      </c>
      <c r="M2578">
        <f>VLOOKUP(A2578,[1]kanji_data!$A:$N,14,FALSE)</f>
        <v>0</v>
      </c>
    </row>
    <row r="2579">
      <c r="A2579" t="str">
        <v>廟</v>
      </c>
      <c r="B2579">
        <v>15</v>
      </c>
      <c r="C2579" t="b">
        <v>0</v>
      </c>
      <c r="D2579" t="str">
        <v>ビョウ</v>
      </c>
      <c r="E2579" t="str">
        <v>たまや みたまや やしろ</v>
      </c>
      <c r="F2579">
        <v>0</v>
      </c>
      <c r="G2579" t="str">
        <v>たまや。みたまや。おたまや。祖先の霊をまつる建物。 やしろ。ほこら。神をまつる建物。 王が住む宮殿の正殿。政治を行う所。</v>
      </c>
      <c r="H2579" t="str">
        <v>#品格</v>
      </c>
      <c r="I2579">
        <v>10</v>
      </c>
      <c r="J2579">
        <v>50</v>
      </c>
      <c r="K2579">
        <v>50</v>
      </c>
      <c r="L2579">
        <v>1</v>
      </c>
    </row>
    <row r="2580">
      <c r="A2580" t="str">
        <v>撫</v>
      </c>
      <c r="B2580">
        <v>15</v>
      </c>
      <c r="C2580" t="b">
        <v>0</v>
      </c>
      <c r="D2580" t="str">
        <v>フ ブ</v>
      </c>
      <c r="E2580" t="str">
        <v>な（でる）</v>
      </c>
      <c r="F2580" t="str">
        <v>やす よし</v>
      </c>
      <c r="G2580" t="str">
        <v>なでる。手のひらでさする。また、なでるようにしてかわいがる。 なでる。なだめる。落ち着かせる。 うつ。たたく。軽くたたく。</v>
      </c>
      <c r="H2580" t="str">
        <v>#慈愛</v>
      </c>
      <c r="I2580">
        <v>15</v>
      </c>
      <c r="J2580">
        <v>50</v>
      </c>
      <c r="K2580">
        <v>50</v>
      </c>
      <c r="L2580">
        <v>1</v>
      </c>
    </row>
    <row r="2581">
      <c r="A2581" t="str">
        <v>蕪</v>
      </c>
      <c r="B2581">
        <v>15</v>
      </c>
      <c r="C2581" t="b">
        <v>0</v>
      </c>
      <c r="D2581" t="str">
        <v>ブ ム</v>
      </c>
      <c r="E2581" t="str">
        <v>あ（れる） かぶ かぶら しげ（る） みだ（れる）</v>
      </c>
      <c r="F2581" t="str">
        <v>しげ しげる</v>
      </c>
      <c r="G2581" t="str">
        <v>荒れる。雑草が生い茂って荒れる。茂る。 乱れる。すさむ。 荒れ地。草むら。草原。 かぶ。かぶら。</v>
      </c>
      <c r="H2581" t="str">
        <v>#自然</v>
      </c>
      <c r="I2581">
        <v>15</v>
      </c>
      <c r="J2581">
        <v>50</v>
      </c>
      <c r="K2581">
        <v>50</v>
      </c>
      <c r="L2581">
        <v>1</v>
      </c>
    </row>
    <row r="2582">
      <c r="A2582" t="str">
        <v>夜</v>
      </c>
      <c r="B2582">
        <v>8</v>
      </c>
      <c r="C2582" t="b">
        <v>1</v>
      </c>
      <c r="D2582" t="str">
        <v>ヤ</v>
      </c>
      <c r="E2582" t="str">
        <v>よ よる</v>
      </c>
      <c r="F2582" t="str">
        <v>やす</v>
      </c>
      <c r="G2582" t="str">
        <v>よ。よる。日没から日の出までの時間。 よわ。やはん。夜中。夜更け。</v>
      </c>
      <c r="I2582">
        <v>5</v>
      </c>
      <c r="J2582">
        <v>50</v>
      </c>
      <c r="K2582">
        <v>50</v>
      </c>
      <c r="L2582">
        <v>1</v>
      </c>
    </row>
    <row r="2583">
      <c r="A2583" t="str">
        <v>鋒</v>
      </c>
      <c r="B2583">
        <v>15</v>
      </c>
      <c r="C2583" t="b">
        <v>0</v>
      </c>
      <c r="D2583" t="str">
        <v>ホウ</v>
      </c>
      <c r="E2583" t="str">
        <v>きっさき ほこ ほこさき</v>
      </c>
      <c r="F2583" t="str">
        <v>さき</v>
      </c>
      <c r="G2583" t="str">
        <v>ほこさき。きっさき。刃の先端部分。 ほこ。先のとがった武器。 さきて。軍隊の最前列の隊。 するどい。勢いがある。</v>
      </c>
      <c r="H2583" t="str">
        <v>#勇気</v>
      </c>
      <c r="I2583">
        <v>15</v>
      </c>
      <c r="J2583">
        <v>50</v>
      </c>
      <c r="K2583">
        <v>50</v>
      </c>
      <c r="L2583">
        <v>1</v>
      </c>
    </row>
    <row r="2584">
      <c r="A2584" t="str">
        <v>岸</v>
      </c>
      <c r="B2584">
        <v>8</v>
      </c>
      <c r="C2584" t="b">
        <v>1</v>
      </c>
      <c r="D2584" t="str">
        <v>ガン</v>
      </c>
      <c r="E2584" t="str">
        <v>きし かどだ（つ）</v>
      </c>
      <c r="F2584">
        <v>0</v>
      </c>
      <c r="G2584" t="str">
        <v>きし。みずぎわの高くきり立った所。 かどだつ。きりたつ。けわしい。 ひとや。牢屋。牢獄。</v>
      </c>
      <c r="I2584">
        <v>10</v>
      </c>
      <c r="J2584">
        <v>50</v>
      </c>
      <c r="K2584">
        <v>50</v>
      </c>
      <c r="L2584">
        <v>1</v>
      </c>
    </row>
    <row r="2585">
      <c r="A2585" t="str">
        <v>諒</v>
      </c>
      <c r="B2585">
        <v>15</v>
      </c>
      <c r="C2585" t="b">
        <v>0</v>
      </c>
      <c r="D2585" t="str">
        <v>リョウ</v>
      </c>
      <c r="E2585" t="str">
        <v>さと（る） まこと</v>
      </c>
      <c r="F2585" t="str">
        <v>あき あきら あさ さとし さとる すけ まさ</v>
      </c>
      <c r="G2585" t="str">
        <v>まこと。真実。誠実。 信じる。おもいやる。 まことに。確かに。実に。 明らかにする。知る。</v>
      </c>
      <c r="H2585" t="str">
        <v>#心・志 #知性</v>
      </c>
      <c r="I2585">
        <v>100</v>
      </c>
      <c r="J2585">
        <v>60</v>
      </c>
      <c r="K2585">
        <v>70</v>
      </c>
      <c r="L2585">
        <v>0</v>
      </c>
      <c r="M2585">
        <f>VLOOKUP(A2585,[1]kanji_data!$A:$N,14,FALSE)</f>
        <v>0</v>
      </c>
    </row>
    <row r="2586">
      <c r="A2586" t="str">
        <v>遼</v>
      </c>
      <c r="B2586">
        <v>15</v>
      </c>
      <c r="C2586" t="b">
        <v>0</v>
      </c>
      <c r="D2586" t="str">
        <v>リョウ</v>
      </c>
      <c r="E2586" t="str">
        <v>はる（か）</v>
      </c>
      <c r="F2586" t="str">
        <v>とお はるか</v>
      </c>
      <c r="G2586" t="str">
        <v>はるか。距離や年月のへだたりが大きい。 ゆるめる。ゆるくする。 川の名。遼河（りょうが）。 王朝の名。</v>
      </c>
      <c r="H2586" t="str">
        <v>#天空 #海・水</v>
      </c>
      <c r="I2586">
        <v>100</v>
      </c>
      <c r="J2586">
        <v>75</v>
      </c>
      <c r="K2586">
        <v>45</v>
      </c>
      <c r="L2586">
        <v>0</v>
      </c>
      <c r="M2586">
        <f>VLOOKUP(A2586,[1]kanji_data!$A:$N,14,FALSE)</f>
        <v>0</v>
      </c>
    </row>
    <row r="2587">
      <c r="A2587" t="str">
        <v>具</v>
      </c>
      <c r="B2587">
        <v>8</v>
      </c>
      <c r="C2587" t="b">
        <v>1</v>
      </c>
      <c r="D2587" t="str">
        <v>グ</v>
      </c>
      <c r="E2587" t="str">
        <v>つぶさ（に） つま そな（える） そな（わる）</v>
      </c>
      <c r="F2587" t="str">
        <v>とも</v>
      </c>
      <c r="G2587" t="str">
        <v>つぶさに。くわしく。こまかく。 そなえる。そなわる。整う。準備する。 そなえ。用意。準備。 うつわ。仕事や生活で用いる道具。 うつわ。器量。 ぐ。料理にきざんで入れる食材。</v>
      </c>
      <c r="I2587">
        <v>5</v>
      </c>
      <c r="J2587">
        <v>50</v>
      </c>
      <c r="K2587">
        <v>50</v>
      </c>
      <c r="L2587">
        <v>1</v>
      </c>
    </row>
    <row r="2588">
      <c r="A2588" t="str">
        <v>凜</v>
      </c>
      <c r="B2588">
        <v>15</v>
      </c>
      <c r="C2588" t="b">
        <v>0</v>
      </c>
      <c r="D2588" t="str">
        <v>リン</v>
      </c>
      <c r="E2588" t="str">
        <v>さむ（い） すさ（まじい）</v>
      </c>
      <c r="F2588" t="str">
        <v>り</v>
      </c>
      <c r="G2588" t="str">
        <v>さむい。きびしく寒い。身がひきしまるような寒さ。 すさまじい。りりしいさま。身がひきしまったさま。</v>
      </c>
      <c r="H2588" t="str">
        <v>#勇気 #品格</v>
      </c>
      <c r="I2588">
        <v>100</v>
      </c>
      <c r="J2588">
        <v>80</v>
      </c>
      <c r="K2588">
        <v>50</v>
      </c>
      <c r="L2588">
        <v>0</v>
      </c>
      <c r="M2588">
        <f>VLOOKUP(A2588,[1]kanji_data!$A:$N,14,FALSE)</f>
        <v>0</v>
      </c>
    </row>
    <row r="2589">
      <c r="A2589" t="str">
        <v>凛</v>
      </c>
      <c r="B2589">
        <v>15</v>
      </c>
      <c r="C2589" t="b">
        <v>0</v>
      </c>
      <c r="D2589" t="str">
        <v>リン</v>
      </c>
      <c r="E2589" t="str">
        <v>さむ（い） すさ（まじい）</v>
      </c>
      <c r="F2589" t="str">
        <v>り</v>
      </c>
      <c r="G2589" t="str">
        <v>さむい。きびしく寒い。身がひきしまるような寒さ。 すさまじい。りりしいさま。身がひきしまったさま。</v>
      </c>
      <c r="H2589" t="str">
        <v>#勇気 #品格</v>
      </c>
      <c r="I2589">
        <v>100</v>
      </c>
      <c r="J2589">
        <v>80</v>
      </c>
      <c r="K2589">
        <v>50</v>
      </c>
      <c r="L2589">
        <v>0</v>
      </c>
      <c r="M2589">
        <f>VLOOKUP(A2589,[1]kanji_data!$A:$N,14,FALSE)</f>
        <v>0</v>
      </c>
    </row>
    <row r="2590">
      <c r="A2590" t="str">
        <v>黎</v>
      </c>
      <c r="B2590">
        <v>15</v>
      </c>
      <c r="C2590" t="b">
        <v>0</v>
      </c>
      <c r="D2590" t="str">
        <v>リ レイ ライ</v>
      </c>
      <c r="E2590" t="str">
        <v>おお（い） くろ（い） もろもろ</v>
      </c>
      <c r="F2590" t="str">
        <v>たみ れ</v>
      </c>
      <c r="G2590" t="str">
        <v>くろい。色がくろい。また、くらい。 おおい。たくさん。もろもろ。 ころあい。しおどき。</v>
      </c>
      <c r="H2590" t="str">
        <v>#繁栄</v>
      </c>
      <c r="I2590">
        <v>70</v>
      </c>
      <c r="J2590">
        <v>55</v>
      </c>
      <c r="K2590">
        <v>60</v>
      </c>
      <c r="L2590">
        <v>0</v>
      </c>
      <c r="M2590">
        <f>VLOOKUP(A2590,[1]kanji_data!$A:$N,14,FALSE)</f>
        <v>0</v>
      </c>
    </row>
    <row r="2591">
      <c r="A2591" t="str">
        <v>熙</v>
      </c>
      <c r="B2591">
        <v>15</v>
      </c>
      <c r="C2591" t="b">
        <v>0</v>
      </c>
      <c r="D2591" t="str">
        <v>キ</v>
      </c>
      <c r="E2591" t="str">
        <v>ああ たの（しむ） ひか（る） ひろ（い） やわ（らぐ） よろこ（ぶ）</v>
      </c>
      <c r="F2591">
        <v>0</v>
      </c>
      <c r="G2591" t="str">
        <v>楽しむ。喜ぶ。 光る。輝く。光が行き渡る。 広い。広まる。広く行き渡る。 やわらぐ。 ああ。感嘆の声。なげく声。</v>
      </c>
      <c r="H2591" t="str">
        <v>#天空 #幸福 #繁栄</v>
      </c>
      <c r="I2591">
        <v>40</v>
      </c>
      <c r="J2591">
        <v>45</v>
      </c>
      <c r="K2591">
        <v>80</v>
      </c>
      <c r="L2591">
        <v>0</v>
      </c>
      <c r="M2591">
        <f>VLOOKUP(A2591,[1]kanji_data!$A:$N,14,FALSE)</f>
        <v>0</v>
      </c>
    </row>
    <row r="2592">
      <c r="A2592" t="str">
        <v>使</v>
      </c>
      <c r="B2592">
        <v>8</v>
      </c>
      <c r="C2592" t="b">
        <v>1</v>
      </c>
      <c r="D2592" t="str">
        <v>シ</v>
      </c>
      <c r="E2592" t="str">
        <v>つか（う） つか（わす）</v>
      </c>
      <c r="F2592">
        <v>0</v>
      </c>
      <c r="G2592" t="str">
        <v>つかう。もちいる。働かせる。 しむ。せしむ。「使ＡＢ」の形で、「ＡをしてＢせしむ」と読み、「ＡにＢをさせる」の意。 しめば。仮定の意。「使ＡＢ～」の形で、「ＡをしてＢせしめば」と読み、「もしＡＢすれば（させれば）」と順接の仮定条件の意を表す。 つかい。つかいの者。例：使者 つかわす。つかいする。</v>
      </c>
      <c r="I2592">
        <v>10</v>
      </c>
      <c r="J2592">
        <v>65</v>
      </c>
      <c r="K2592">
        <v>55</v>
      </c>
      <c r="L2592">
        <v>1</v>
      </c>
    </row>
    <row r="2593">
      <c r="A2593" t="str">
        <v>樂</v>
      </c>
      <c r="B2593">
        <v>15</v>
      </c>
      <c r="C2593" t="b">
        <v>0</v>
      </c>
      <c r="D2593" t="str">
        <v>ガク ラク ギョウ ゴウ</v>
      </c>
      <c r="E2593" t="str">
        <v>たの（しい） たの（しむ） かな（でる） この（む）</v>
      </c>
      <c r="F2593" t="str">
        <v>ら</v>
      </c>
      <c r="G2593" t="str">
        <v>おんがく。 かなでる。音をかなでる。演奏する。 たのしい。たのしむ。よろこぶ。 このむ。愛する。ねがう。求める。 らく。たやすい。心身に苦痛がなく、のびのびする。</v>
      </c>
      <c r="H2593" t="str">
        <v>#幸福 #慈愛 #調和</v>
      </c>
      <c r="I2593">
        <v>15</v>
      </c>
      <c r="J2593">
        <v>50</v>
      </c>
      <c r="K2593">
        <v>70</v>
      </c>
      <c r="L2593">
        <v>0</v>
      </c>
      <c r="M2593">
        <f>VLOOKUP(A2593,[1]kanji_data!$A:$N,14,FALSE)</f>
        <v>0</v>
      </c>
    </row>
    <row r="2594">
      <c r="A2594" t="str">
        <v>劍</v>
      </c>
      <c r="B2594">
        <v>15</v>
      </c>
      <c r="C2594" t="b">
        <v>0</v>
      </c>
      <c r="D2594" t="str">
        <v>ケン</v>
      </c>
      <c r="E2594" t="str">
        <v>つるぎ</v>
      </c>
      <c r="F2594">
        <v>0</v>
      </c>
      <c r="G2594" t="str">
        <v>つるぎ。両側に刃のついたかたな。 つるぎや刀を用いる武術。</v>
      </c>
      <c r="H2594" t="str">
        <v>#勇気</v>
      </c>
      <c r="I2594">
        <v>10</v>
      </c>
      <c r="J2594">
        <v>50</v>
      </c>
      <c r="K2594">
        <v>50</v>
      </c>
      <c r="L2594">
        <v>1</v>
      </c>
    </row>
    <row r="2595">
      <c r="A2595" t="str">
        <v>者</v>
      </c>
      <c r="B2595">
        <v>8</v>
      </c>
      <c r="C2595" t="b">
        <v>1</v>
      </c>
      <c r="D2595" t="str">
        <v>シャ</v>
      </c>
      <c r="E2595" t="str">
        <v>もの</v>
      </c>
      <c r="F2595">
        <v>0</v>
      </c>
      <c r="G2595" t="str">
        <v>特定の人やものを指し示すことば。 「は」「ものは」「とは」と読み、主語を強調することば。 時を示す語に添える助字。発音はしない。例：今者（いま） 昔者（むかし）</v>
      </c>
      <c r="I2595">
        <v>10</v>
      </c>
      <c r="J2595">
        <v>85</v>
      </c>
      <c r="K2595">
        <v>35</v>
      </c>
      <c r="L2595">
        <v>1</v>
      </c>
    </row>
    <row r="2596">
      <c r="A2596" t="str">
        <v>昔</v>
      </c>
      <c r="B2596">
        <v>8</v>
      </c>
      <c r="C2596" t="b">
        <v>1</v>
      </c>
      <c r="D2596" t="str">
        <v>シャク セキ</v>
      </c>
      <c r="E2596" t="str">
        <v>むかし</v>
      </c>
      <c r="F2596">
        <v>0</v>
      </c>
      <c r="G2596" t="str">
        <v>むかし。いにしえ。過去。</v>
      </c>
      <c r="I2596">
        <v>10</v>
      </c>
      <c r="J2596">
        <v>55</v>
      </c>
      <c r="K2596">
        <v>55</v>
      </c>
      <c r="L2596">
        <v>1</v>
      </c>
    </row>
    <row r="2597">
      <c r="A2597" t="str">
        <v>所</v>
      </c>
      <c r="B2597">
        <v>8</v>
      </c>
      <c r="C2597" t="b">
        <v>1</v>
      </c>
      <c r="D2597" t="str">
        <v>ショ ソ</v>
      </c>
      <c r="E2597" t="str">
        <v>ところ</v>
      </c>
      <c r="F2597">
        <v>0</v>
      </c>
      <c r="G2597" t="str">
        <v>ところ。場所。所在。 ところ。立場。地位。 ばかり。～ほど。～くらい。おおよその数量を表す。 「～ところ」「～するところ」と読み、動詞の前に置かれて、行為の対象となる場所や理由などを示す。 「為～所・・・」の形で、「～の・・・するところとなる」と読み、「～に・・・される」と受け身の意を表す。 「る」「らる」と読み、「～される」と受け身の意を表す。</v>
      </c>
      <c r="I2597">
        <v>10</v>
      </c>
      <c r="J2597">
        <v>60</v>
      </c>
      <c r="K2597">
        <v>60</v>
      </c>
      <c r="L2597">
        <v>1</v>
      </c>
    </row>
    <row r="2598">
      <c r="A2598" t="str">
        <v>服</v>
      </c>
      <c r="B2598">
        <v>8</v>
      </c>
      <c r="C2598" t="b">
        <v>1</v>
      </c>
      <c r="D2598" t="str">
        <v>フク</v>
      </c>
      <c r="E2598" t="str">
        <v>きもの き（る） したが（う） の（む）</v>
      </c>
      <c r="F2598">
        <v>0</v>
      </c>
      <c r="G2598" t="str">
        <v>きもの。からだに着るもの。 きる。身につける。着用する。 したがう。つきしたがう。 したがう。おそれしたがう。 のむ。薬などを飲む。 一回に飲む薬の量をいうことば。</v>
      </c>
      <c r="I2598">
        <v>10</v>
      </c>
      <c r="J2598">
        <v>60</v>
      </c>
      <c r="K2598">
        <v>50</v>
      </c>
      <c r="L2598">
        <v>1</v>
      </c>
    </row>
    <row r="2599">
      <c r="A2599" t="str">
        <v>官</v>
      </c>
      <c r="B2599">
        <v>8</v>
      </c>
      <c r="C2599" t="b">
        <v>1</v>
      </c>
      <c r="D2599" t="str">
        <v>カン</v>
      </c>
      <c r="E2599" t="str">
        <v>おおやけ つかさ</v>
      </c>
      <c r="F2599">
        <v>0</v>
      </c>
      <c r="G2599" t="str">
        <v>つかさ。役人。役目。 おおやけ。政府。朝廷。 役人に任用する。また、役人になる。 鼻、耳、目、口など、人体でいろいろな働きをする部分。</v>
      </c>
      <c r="I2599">
        <v>10</v>
      </c>
      <c r="J2599">
        <v>65</v>
      </c>
      <c r="K2599">
        <v>55</v>
      </c>
      <c r="L2599">
        <v>1</v>
      </c>
    </row>
    <row r="2600">
      <c r="A2600" t="str">
        <v>稻</v>
      </c>
      <c r="B2600">
        <v>15</v>
      </c>
      <c r="C2600" t="b">
        <v>0</v>
      </c>
      <c r="D2600" t="str">
        <v>トウ</v>
      </c>
      <c r="E2600" t="str">
        <v>いな いね</v>
      </c>
      <c r="F2600">
        <v>0</v>
      </c>
      <c r="G2600" t="str">
        <v>いな。いね。五穀の一つ。</v>
      </c>
      <c r="H2600" t="str">
        <v>#自然</v>
      </c>
      <c r="I2600">
        <v>10</v>
      </c>
      <c r="J2600">
        <v>50</v>
      </c>
      <c r="K2600">
        <v>55</v>
      </c>
      <c r="L2600">
        <v>0</v>
      </c>
      <c r="M2600">
        <f>VLOOKUP(A2600,[1]kanji_data!$A:$N,14,FALSE)</f>
        <v>0</v>
      </c>
    </row>
    <row r="2601">
      <c r="A2601" t="str">
        <v>廣</v>
      </c>
      <c r="B2601">
        <v>15</v>
      </c>
      <c r="C2601" t="b">
        <v>0</v>
      </c>
      <c r="D2601" t="str">
        <v>コウ</v>
      </c>
      <c r="E2601" t="str">
        <v>ひろ（い） ひろ（がる） ひろ（げる） ひろ（まる） ひろ（める）</v>
      </c>
      <c r="F2601">
        <v>0</v>
      </c>
      <c r="G2601" t="str">
        <v>ひろい。面積や空間などがひろい。 ひろがる。ひろまる。広くなる。大きくなる。 ひろげる。ひろめる。広くする。大きくする。 長さ。東西の長さ。「袤」は南北の長さ。</v>
      </c>
      <c r="H2601" t="str">
        <v>#天空 #繁栄</v>
      </c>
      <c r="I2601">
        <v>10</v>
      </c>
      <c r="J2601">
        <v>75</v>
      </c>
      <c r="K2601">
        <v>40</v>
      </c>
      <c r="L2601">
        <v>0</v>
      </c>
      <c r="M2601">
        <f>VLOOKUP(A2601,[1]kanji_data!$A:$N,14,FALSE)</f>
        <v>0</v>
      </c>
    </row>
    <row r="2602">
      <c r="A2602" t="str">
        <v>妻</v>
      </c>
      <c r="B2602">
        <v>8</v>
      </c>
      <c r="C2602" t="b">
        <v>1</v>
      </c>
      <c r="D2602" t="str">
        <v>サイ セイ</v>
      </c>
      <c r="E2602" t="str">
        <v>つま めあ（わす）</v>
      </c>
      <c r="F2602">
        <v>0</v>
      </c>
      <c r="G2602" t="str">
        <v>つま。夫の配偶者。女性配偶者。 めあわす。めあわせる。嫁にやる。 つま。刺身などのつけあわせ。</v>
      </c>
      <c r="I2602">
        <v>10</v>
      </c>
      <c r="J2602">
        <v>35</v>
      </c>
      <c r="K2602">
        <v>70</v>
      </c>
      <c r="L2602">
        <v>1</v>
      </c>
    </row>
    <row r="2603">
      <c r="A2603" t="str">
        <v>沿</v>
      </c>
      <c r="B2603">
        <v>8</v>
      </c>
      <c r="C2603" t="b">
        <v>1</v>
      </c>
      <c r="D2603" t="str">
        <v>エン</v>
      </c>
      <c r="E2603" t="str">
        <v>そ（う） ふち</v>
      </c>
      <c r="F2603">
        <v>0</v>
      </c>
      <c r="G2603" t="str">
        <v>そう。水の流れや道にしたがって進む。 そう。形式や習慣にしたがう。 ふち。へり。もののはし。</v>
      </c>
      <c r="I2603">
        <v>10</v>
      </c>
      <c r="J2603">
        <v>65</v>
      </c>
      <c r="K2603">
        <v>55</v>
      </c>
      <c r="L2603">
        <v>1</v>
      </c>
    </row>
    <row r="2604">
      <c r="A2604" t="str">
        <v>呼</v>
      </c>
      <c r="B2604">
        <v>8</v>
      </c>
      <c r="C2604" t="b">
        <v>1</v>
      </c>
      <c r="D2604" t="str">
        <v>コ</v>
      </c>
      <c r="E2604" t="str">
        <v>よ（ぶ）</v>
      </c>
      <c r="F2604">
        <v>0</v>
      </c>
      <c r="G2604" t="str">
        <v>よぶ。よびかける。声をかける。よびよせる。 よぶ。大声を出す。叫ぶ。 よぶ。名付ける。命名する。 息を吐く。息を出す。また、吐く息。 ああ。ため息の声。疲れて出す声。</v>
      </c>
      <c r="I2604">
        <v>10</v>
      </c>
      <c r="J2604">
        <v>100</v>
      </c>
      <c r="K2604">
        <v>20</v>
      </c>
      <c r="L2604">
        <v>1</v>
      </c>
    </row>
    <row r="2605">
      <c r="A2605" t="str">
        <v>担</v>
      </c>
      <c r="B2605">
        <v>8</v>
      </c>
      <c r="C2605" t="b">
        <v>1</v>
      </c>
      <c r="D2605" t="str">
        <v>タン ケツ</v>
      </c>
      <c r="E2605" t="str">
        <v>かつ（ぐ） にな（う）</v>
      </c>
      <c r="F2605">
        <v>0</v>
      </c>
      <c r="G2605" t="str">
        <v>になう。かつぐ。物を肩にかつぐ。 になう。引き受ける。 荷物。かつぐ荷物。 重さの単位。一担は百斤。 容積の単位。一担は一石。 あげる。かかげる。高くあげる。</v>
      </c>
      <c r="I2605">
        <v>10</v>
      </c>
      <c r="J2605">
        <v>60</v>
      </c>
      <c r="K2605">
        <v>50</v>
      </c>
      <c r="L2605">
        <v>1</v>
      </c>
    </row>
    <row r="2606">
      <c r="A2606" t="str">
        <v>依</v>
      </c>
      <c r="B2606">
        <v>8</v>
      </c>
      <c r="C2606" t="b">
        <v>1</v>
      </c>
      <c r="D2606" t="str">
        <v>イ エ</v>
      </c>
      <c r="E2606" t="str">
        <v>よ（る）</v>
      </c>
      <c r="F2606" t="str">
        <v>より</v>
      </c>
      <c r="G2606" t="str">
        <v>よる。よりかかる。もたれかかる。 よる。たよる。たよりにする。 よる。したがう。 そのまま。元のまま。以前のまま。</v>
      </c>
      <c r="I2606">
        <v>5</v>
      </c>
      <c r="J2606">
        <v>60</v>
      </c>
      <c r="K2606">
        <v>50</v>
      </c>
      <c r="L2606">
        <v>1</v>
      </c>
    </row>
    <row r="2607">
      <c r="A2607" t="str">
        <v>憎</v>
      </c>
      <c r="B2607">
        <v>15</v>
      </c>
      <c r="C2607" t="b">
        <v>0</v>
      </c>
      <c r="D2607" t="str">
        <v>ゾウ ソウ</v>
      </c>
      <c r="E2607" t="str">
        <v>にく（い） にく（しみ） にく（む） にく（らしい）</v>
      </c>
      <c r="F2607">
        <v>0</v>
      </c>
      <c r="G2607" t="str">
        <v>にくむ。きらう。不快に思い嫌がる。 にくしみ。にくみ嫌う気持ち。 にくい。にくらしい。ねたましいほどすぐれている。</v>
      </c>
      <c r="H2607" t="str">
        <v>#心・志</v>
      </c>
      <c r="I2607">
        <v>10</v>
      </c>
      <c r="J2607">
        <v>50</v>
      </c>
      <c r="K2607">
        <v>50</v>
      </c>
      <c r="L2607">
        <v>1</v>
      </c>
    </row>
    <row r="2608">
      <c r="A2608" t="str">
        <v>穀</v>
      </c>
      <c r="B2608">
        <v>15</v>
      </c>
      <c r="C2608" t="b">
        <v>0</v>
      </c>
      <c r="D2608" t="str">
        <v>コク</v>
      </c>
      <c r="E2608">
        <v>0</v>
      </c>
      <c r="F2608">
        <v>0</v>
      </c>
      <c r="G2608" t="str">
        <v>こくもつ。人の主食となる、米・麦など。五穀。 よい。よくする。めでたい。 生きる。物を食べて生きる。生きながらえる。 養う。食べ物を与える。</v>
      </c>
      <c r="H2608" t="str">
        <v>#幸福</v>
      </c>
      <c r="I2608">
        <v>10</v>
      </c>
      <c r="J2608">
        <v>55</v>
      </c>
      <c r="K2608">
        <v>55</v>
      </c>
      <c r="L2608">
        <v>1</v>
      </c>
    </row>
    <row r="2609">
      <c r="A2609" t="str">
        <v>節</v>
      </c>
      <c r="B2609">
        <v>15</v>
      </c>
      <c r="C2609" t="b">
        <v>0</v>
      </c>
      <c r="D2609" t="str">
        <v>セツ セチ</v>
      </c>
      <c r="E2609" t="str">
        <v>ふし ノット みさお</v>
      </c>
      <c r="F2609">
        <v>0</v>
      </c>
      <c r="G2609" t="str">
        <v>ふし。よ。竹のふし。草木のふし。体のふし。つなぎめ。結合している部分。 くぎり。きりめ。詩歌・文章の一区切り。 きまり。さだめ。のり。みさお。例：礼節 ほどよい。ほどよくする。ひかえめにする。適度を保つ。 とき。おり。ころ。時期。時候の区分。 しるし。割り符。手形。 かぎる。はぶく。倹約する。 祝いの日。祝日。 楽器の名。 易（エキ）の六十四卦の一つ。 ノット。舟の速度の単位。</v>
      </c>
      <c r="H2609" t="str">
        <v>#品格 #幸福 #自然</v>
      </c>
      <c r="I2609">
        <v>10</v>
      </c>
      <c r="J2609">
        <v>45</v>
      </c>
      <c r="K2609">
        <v>65</v>
      </c>
      <c r="L2609">
        <v>1</v>
      </c>
    </row>
    <row r="2610">
      <c r="A2610" t="str">
        <v>練</v>
      </c>
      <c r="B2610">
        <v>15</v>
      </c>
      <c r="C2610" t="b">
        <v>0</v>
      </c>
      <c r="D2610" t="str">
        <v>レン</v>
      </c>
      <c r="E2610" t="str">
        <v>ね（る） ねりぎぬ</v>
      </c>
      <c r="F2610">
        <v>0</v>
      </c>
      <c r="G2610" t="str">
        <v>ねる。工夫する。 ねりぎぬ。精練して柔らかくした絹。 なれる。ねれる。習熟する。反復してなれる。 喪服。一周忌のときに着る白い喪服。</v>
      </c>
      <c r="H2610" t="str">
        <v>#花・彩</v>
      </c>
      <c r="I2610">
        <v>10</v>
      </c>
      <c r="J2610">
        <v>100</v>
      </c>
      <c r="K2610">
        <v>25</v>
      </c>
      <c r="L2610">
        <v>1</v>
      </c>
    </row>
    <row r="2611">
      <c r="A2611" t="str">
        <v>拠</v>
      </c>
      <c r="B2611">
        <v>8</v>
      </c>
      <c r="C2611" t="b">
        <v>1</v>
      </c>
      <c r="D2611" t="str">
        <v>キョ コ</v>
      </c>
      <c r="E2611" t="str">
        <v>よりどころ よ（る）</v>
      </c>
      <c r="F2611">
        <v>0</v>
      </c>
      <c r="G2611" t="str">
        <v>よる。たよる。たよりにする。すがる。 よりどころ。あかし。たよりとする所。</v>
      </c>
      <c r="I2611">
        <v>10</v>
      </c>
      <c r="J2611">
        <v>65</v>
      </c>
      <c r="K2611">
        <v>55</v>
      </c>
      <c r="L2611">
        <v>1</v>
      </c>
    </row>
    <row r="2612">
      <c r="A2612" t="str">
        <v>德</v>
      </c>
      <c r="B2612">
        <v>15</v>
      </c>
      <c r="C2612" t="b">
        <v>0</v>
      </c>
      <c r="D2612" t="str">
        <v>トク</v>
      </c>
      <c r="E2612">
        <v>0</v>
      </c>
      <c r="F2612">
        <v>0</v>
      </c>
      <c r="G2612" t="str">
        <v>人の身にそなわった品性。特に道徳的にすぐれた人格や行い。また、それを有する人。 めぐみ。恩。恩恵。 ありがたく思う。恩義を感じる。 もうけ。もうけたもの。利益。＝得</v>
      </c>
      <c r="H2612" t="str">
        <v>#品格 #心・志 #慈愛</v>
      </c>
      <c r="I2612">
        <v>10</v>
      </c>
      <c r="J2612">
        <v>55</v>
      </c>
      <c r="K2612">
        <v>65</v>
      </c>
      <c r="L2612">
        <v>0</v>
      </c>
      <c r="M2612">
        <f>VLOOKUP(A2612,[1]kanji_data!$A:$N,14,FALSE)</f>
        <v>0</v>
      </c>
    </row>
    <row r="2613">
      <c r="A2613" t="str">
        <v>緖</v>
      </c>
      <c r="B2613">
        <v>15</v>
      </c>
      <c r="C2613" t="b">
        <v>0</v>
      </c>
      <c r="D2613" t="str">
        <v>ショ チョ</v>
      </c>
      <c r="E2613" t="str">
        <v>お いとぐち</v>
      </c>
      <c r="F2613">
        <v>0</v>
      </c>
      <c r="G2613" t="str">
        <v>いとぐち。糸のはし。糸の先端。 物事の起こり。発端。はじめ。 すじ。つづき。つながり。系統。 こころ。 お。ひも。長く続くもの。</v>
      </c>
      <c r="H2613" t="str">
        <v>#健康 #心・志</v>
      </c>
      <c r="I2613">
        <v>10</v>
      </c>
      <c r="J2613">
        <v>50</v>
      </c>
      <c r="K2613">
        <v>55</v>
      </c>
      <c r="L2613">
        <v>0</v>
      </c>
      <c r="M2613">
        <f>VLOOKUP(A2613,[1]kanji_data!$A:$N,14,FALSE)</f>
        <v>0</v>
      </c>
    </row>
    <row r="2614">
      <c r="A2614" t="str">
        <v>徵</v>
      </c>
      <c r="B2614">
        <v>15</v>
      </c>
      <c r="C2614" t="b">
        <v>0</v>
      </c>
      <c r="D2614" t="str">
        <v>チョウ チ</v>
      </c>
      <c r="E2614" t="str">
        <v>しるし め（す）</v>
      </c>
      <c r="F2614">
        <v>0</v>
      </c>
      <c r="G2614" t="str">
        <v>めす。呼び出す。呼びよせる。 もとめる。要求する。取り立てる。 しるし。あかし。証拠。 きざし。兆候。 あらわれる。あらわす。表面にでてくる。あきらかになる。 五音「宮・商・角・徵・羽」のひとつ。</v>
      </c>
      <c r="H2614" t="str">
        <v>#天空</v>
      </c>
      <c r="I2614">
        <v>10</v>
      </c>
      <c r="J2614">
        <v>50</v>
      </c>
      <c r="K2614">
        <v>50</v>
      </c>
      <c r="L2614">
        <v>1</v>
      </c>
    </row>
    <row r="2615">
      <c r="A2615" t="str">
        <v>杯</v>
      </c>
      <c r="B2615">
        <v>8</v>
      </c>
      <c r="C2615" t="b">
        <v>1</v>
      </c>
      <c r="D2615" t="str">
        <v>ハイ</v>
      </c>
      <c r="E2615" t="str">
        <v>さかずき</v>
      </c>
      <c r="F2615">
        <v>0</v>
      </c>
      <c r="G2615" t="str">
        <v>さかずき。酒を飲むためのうつわ。 容器に入れた液体などを数えることば。</v>
      </c>
      <c r="I2615">
        <v>10</v>
      </c>
      <c r="J2615">
        <v>20</v>
      </c>
      <c r="K2615">
        <v>100</v>
      </c>
      <c r="L2615">
        <v>1</v>
      </c>
    </row>
    <row r="2616">
      <c r="A2616" t="str">
        <v>緣</v>
      </c>
      <c r="B2616">
        <v>15</v>
      </c>
      <c r="C2616" t="b">
        <v>0</v>
      </c>
      <c r="D2616" t="str">
        <v>エン</v>
      </c>
      <c r="E2616" t="str">
        <v>ふち えにし へり ゆかり よすが よ（る）</v>
      </c>
      <c r="F2616">
        <v>0</v>
      </c>
      <c r="G2616" t="str">
        <v>ふち。衣服のへり。物のへり・まわり。 よる。すがる。たどる。たどる。よじのぼる。 えにし。ゆかり。つながり。 めぐりあわせ。仏教で用いる。 えん。えんがわ。</v>
      </c>
      <c r="H2616" t="str">
        <v>#繁栄</v>
      </c>
      <c r="I2616">
        <v>10</v>
      </c>
      <c r="J2616">
        <v>35</v>
      </c>
      <c r="K2616">
        <v>70</v>
      </c>
      <c r="L2616">
        <v>1</v>
      </c>
    </row>
    <row r="2617">
      <c r="A2617" t="str">
        <v>親</v>
      </c>
      <c r="B2617">
        <v>16</v>
      </c>
      <c r="C2617" t="b">
        <v>1</v>
      </c>
      <c r="D2617" t="str">
        <v>シン</v>
      </c>
      <c r="E2617" t="str">
        <v>おや した（しい） した（しむ） みずか（ら）</v>
      </c>
      <c r="F2617" t="str">
        <v>いたる ちか ちかし なる ひと ひとし み みる むつ もと よしみ より</v>
      </c>
      <c r="G2617" t="str">
        <v>おや。両親。父母。 したしい。したしむ。身近。仲がよい。 みずから。したしく。自分で直接に。 結婚によってできた身内。 おや。ゲームなどを中心となって進行させる人。</v>
      </c>
      <c r="H2617" t="str">
        <v>#心・志 #慈愛</v>
      </c>
      <c r="I2617">
        <v>40</v>
      </c>
      <c r="J2617">
        <v>45</v>
      </c>
      <c r="K2617">
        <v>70</v>
      </c>
      <c r="L2617">
        <v>0</v>
      </c>
      <c r="M2617">
        <f>VLOOKUP(A2617,[1]kanji_data!$A:$N,14,FALSE)</f>
        <v>0</v>
      </c>
    </row>
    <row r="2618">
      <c r="A2618" t="str">
        <v>頭</v>
      </c>
      <c r="B2618">
        <v>16</v>
      </c>
      <c r="C2618" t="b">
        <v>1</v>
      </c>
      <c r="D2618" t="str">
        <v>ズ トウ ト ジュウ</v>
      </c>
      <c r="E2618" t="str">
        <v>あたま かしら かぶり かみ こうべ ほとり</v>
      </c>
      <c r="F2618" t="str">
        <v>あき あきら はじめ</v>
      </c>
      <c r="G2618" t="str">
        <v>あたま。かしら。こうべ。人や動物などの、身体の首から上の部分。 あたま。髪の毛。また、髪の生えた部分。 あたま。いただき。頂上。最先端。 はじめ。はじまり。最初。 かしら。おさ。ひきいる者。 牛などの動物を数えることば。 かみ。四等官で、寮の第一位。 かしら。親方。</v>
      </c>
      <c r="H2618" t="str">
        <v>#品格</v>
      </c>
      <c r="I2618">
        <v>30</v>
      </c>
      <c r="J2618">
        <v>50</v>
      </c>
      <c r="K2618">
        <v>50</v>
      </c>
      <c r="L2618">
        <v>1</v>
      </c>
    </row>
    <row r="2619">
      <c r="A2619" t="str">
        <v>橋</v>
      </c>
      <c r="B2619">
        <v>16</v>
      </c>
      <c r="C2619" t="b">
        <v>1</v>
      </c>
      <c r="D2619" t="str">
        <v>キョウ</v>
      </c>
      <c r="E2619" t="str">
        <v>はし</v>
      </c>
      <c r="F2619" t="str">
        <v>たか</v>
      </c>
      <c r="G2619" t="str">
        <v>川や谷などにかけわたすはし。 たかい。そそり立つ。＝喬 はねつるべ。また、はねつるべの横木。 かご。やまかご。山道を行く際に人を乗せて運ぶかご。＝轎 ためる。ただす。＝矯</v>
      </c>
      <c r="H2619" t="str">
        <v>#海・水</v>
      </c>
      <c r="I2619">
        <v>85</v>
      </c>
      <c r="J2619">
        <v>60</v>
      </c>
      <c r="K2619">
        <v>60</v>
      </c>
      <c r="L2619">
        <v>0</v>
      </c>
      <c r="M2619">
        <f>VLOOKUP(A2619,[1]kanji_data!$A:$N,14,FALSE)</f>
        <v>0</v>
      </c>
    </row>
    <row r="2620">
      <c r="A2620" t="str">
        <v>整</v>
      </c>
      <c r="B2620">
        <v>16</v>
      </c>
      <c r="C2620" t="b">
        <v>1</v>
      </c>
      <c r="D2620" t="str">
        <v>セイ</v>
      </c>
      <c r="E2620" t="str">
        <v>ととの（う） ととの（える）</v>
      </c>
      <c r="F2620" t="str">
        <v>おさむ なり のぶ ひとし まさ よし</v>
      </c>
      <c r="G2620" t="str">
        <v>ととのえる。ととのう。きちんとそろえる。きちんとそろう。 そろっている。きちんとしている。</v>
      </c>
      <c r="H2620" t="str">
        <v>#品格</v>
      </c>
      <c r="I2620">
        <v>95</v>
      </c>
      <c r="J2620">
        <v>60</v>
      </c>
      <c r="K2620">
        <v>70</v>
      </c>
      <c r="L2620">
        <v>1</v>
      </c>
    </row>
    <row r="2621">
      <c r="A2621" t="str">
        <v>肯</v>
      </c>
      <c r="B2621">
        <v>8</v>
      </c>
      <c r="C2621" t="b">
        <v>1</v>
      </c>
      <c r="D2621" t="str">
        <v>コウ</v>
      </c>
      <c r="E2621" t="str">
        <v>あ（えて） うなず（く） うべな（う） がえん（じる）</v>
      </c>
      <c r="F2621" t="str">
        <v>さき むね</v>
      </c>
      <c r="G2621" t="str">
        <v>あえて。すすんで。 うべなう。がえんじる。うなずく。よしとする。承知する。 骨のついた肉。</v>
      </c>
      <c r="I2621">
        <v>5</v>
      </c>
      <c r="J2621">
        <v>65</v>
      </c>
      <c r="K2621">
        <v>55</v>
      </c>
      <c r="L2621">
        <v>1</v>
      </c>
    </row>
    <row r="2622">
      <c r="A2622" t="str">
        <v>機</v>
      </c>
      <c r="B2622">
        <v>16</v>
      </c>
      <c r="C2622" t="b">
        <v>1</v>
      </c>
      <c r="D2622" t="str">
        <v>キ</v>
      </c>
      <c r="E2622" t="str">
        <v>はた おり からくり きざ（し） はずみ</v>
      </c>
      <c r="F2622">
        <v>0</v>
      </c>
      <c r="G2622" t="str">
        <v>はた。はた織り。はたを織る道具。 弩（はじき弓）の矢を発射する仕掛け。 からくり。しかけ。しくみ。 きざし。きっかけ。はずみ。おり。 はたらき。心のはたらき。 知られていないこと。秘密。</v>
      </c>
      <c r="H2622" t="str">
        <v>#知性 #繁栄</v>
      </c>
      <c r="I2622">
        <v>50</v>
      </c>
      <c r="J2622">
        <v>70</v>
      </c>
      <c r="K2622">
        <v>50</v>
      </c>
      <c r="L2622">
        <v>0</v>
      </c>
      <c r="M2622">
        <f>VLOOKUP(A2622,[1]kanji_data!$A:$N,14,FALSE)</f>
        <v>0</v>
      </c>
    </row>
    <row r="2623">
      <c r="A2623" t="str">
        <v>積</v>
      </c>
      <c r="B2623">
        <v>16</v>
      </c>
      <c r="C2623" t="b">
        <v>1</v>
      </c>
      <c r="D2623" t="str">
        <v>セキ シ シャク</v>
      </c>
      <c r="E2623" t="str">
        <v>つ（む） つ（もる） たくわ（える）</v>
      </c>
      <c r="F2623" t="str">
        <v>あつ かず かつ さ さね つね つみ もち もり</v>
      </c>
      <c r="G2623" t="str">
        <v>つむ。つもる。つみ重なる。あつめる。あつめ重ねる。 ためておく。たくわえる。たくわえ。 とどこおる。 数学で、二つ以上の数や式を掛け合わせた数値。 たくわえ。 つもり。心組み。もくろみ。みつもり。</v>
      </c>
      <c r="H2623" t="str">
        <v>#繁栄</v>
      </c>
      <c r="I2623">
        <v>60</v>
      </c>
      <c r="J2623">
        <v>75</v>
      </c>
      <c r="K2623">
        <v>45</v>
      </c>
      <c r="L2623">
        <v>1</v>
      </c>
    </row>
    <row r="2624">
      <c r="A2624" t="str">
        <v>録</v>
      </c>
      <c r="B2624">
        <v>16</v>
      </c>
      <c r="C2624" t="b">
        <v>1</v>
      </c>
      <c r="D2624" t="str">
        <v>ロク リョ リョク</v>
      </c>
      <c r="E2624" t="str">
        <v>しる（す）</v>
      </c>
      <c r="F2624" t="str">
        <v>とし ふみ</v>
      </c>
      <c r="G2624" t="str">
        <v>しるす。書きしるす。うつしとる。 書きつけ。書きしるしたもの。 うつす。書きうつす。 統べる。治める。とりしまる。 あらわす。明らかにする。 採用する。任用する。 しらべる。罪を調べて記録する。</v>
      </c>
      <c r="H2624" t="str">
        <v>#知性</v>
      </c>
      <c r="I2624">
        <v>15</v>
      </c>
      <c r="J2624">
        <v>50</v>
      </c>
      <c r="K2624">
        <v>50</v>
      </c>
      <c r="L2624">
        <v>1</v>
      </c>
    </row>
    <row r="2625">
      <c r="A2625" t="str">
        <v>録</v>
      </c>
      <c r="B2625">
        <v>16</v>
      </c>
      <c r="C2625" t="b">
        <v>1</v>
      </c>
      <c r="D2625" t="str">
        <v>ロク リョ リョク</v>
      </c>
      <c r="E2625" t="str">
        <v>しる（す）</v>
      </c>
      <c r="F2625" t="str">
        <v>とし ふみ</v>
      </c>
      <c r="G2625" t="str">
        <v>しるす。書きしるす。うつしとる。 書きつけ。書きしるしたもの。 うつす。書きうつす。 統べる。治める。とりしまる。 あらわす。明らかにする。 採用する。任用する。 しらべる。罪を調べて記録する。</v>
      </c>
      <c r="H2625" t="str">
        <v>#知性</v>
      </c>
      <c r="I2625">
        <v>15</v>
      </c>
      <c r="J2625">
        <v>50</v>
      </c>
      <c r="K2625">
        <v>50</v>
      </c>
      <c r="L2625">
        <v>1</v>
      </c>
    </row>
    <row r="2626">
      <c r="A2626" t="str">
        <v>衛</v>
      </c>
      <c r="B2626">
        <v>16</v>
      </c>
      <c r="C2626" t="b">
        <v>1</v>
      </c>
      <c r="D2626" t="str">
        <v>エイ エ</v>
      </c>
      <c r="E2626" t="str">
        <v>まも（る）</v>
      </c>
      <c r="F2626" t="str">
        <v>え ひろ ひろし まさ まさる まもる もり よし</v>
      </c>
      <c r="G2626" t="str">
        <v>まもる。ふせぐ。 まもり。まもる人。 営む。 国の果て。国境。辺境。 明代、要所に設けた軍営。 周代の国名。</v>
      </c>
      <c r="H2626" t="str">
        <v>#勇気 #品格</v>
      </c>
      <c r="I2626">
        <v>95</v>
      </c>
      <c r="J2626">
        <v>85</v>
      </c>
      <c r="K2626">
        <v>40</v>
      </c>
      <c r="L2626">
        <v>0</v>
      </c>
      <c r="M2626">
        <f>VLOOKUP(A2626,[1]kanji_data!$A:$N,14,FALSE)</f>
        <v>0</v>
      </c>
    </row>
    <row r="2627">
      <c r="A2627" t="str">
        <v>興</v>
      </c>
      <c r="B2627">
        <v>16</v>
      </c>
      <c r="C2627" t="b">
        <v>1</v>
      </c>
      <c r="D2627" t="str">
        <v>キョウ コウ</v>
      </c>
      <c r="E2627" t="str">
        <v>おこ（す） おこ（る）</v>
      </c>
      <c r="F2627" t="str">
        <v>おき き とも ふさ</v>
      </c>
      <c r="G2627" t="str">
        <v>おこす。盛んにする。新たに始める。挙げ用いる。 おこる。たつ。盛んになる。立ち上がる。 楽しみ。喜び。おもむき。 楽しむ。喜ぶ。 「詩経」の六義の一つ。</v>
      </c>
      <c r="H2627" t="str">
        <v>#幸福 #繁栄</v>
      </c>
      <c r="I2627">
        <v>90</v>
      </c>
      <c r="J2627">
        <v>100</v>
      </c>
      <c r="K2627">
        <v>25</v>
      </c>
      <c r="L2627">
        <v>0</v>
      </c>
      <c r="M2627">
        <f>VLOOKUP(A2627,[1]kanji_data!$A:$N,14,FALSE)</f>
        <v>0</v>
      </c>
    </row>
    <row r="2628">
      <c r="A2628" t="str">
        <v>築</v>
      </c>
      <c r="B2628">
        <v>16</v>
      </c>
      <c r="C2628" t="b">
        <v>1</v>
      </c>
      <c r="D2628" t="str">
        <v>チク</v>
      </c>
      <c r="E2628" t="str">
        <v>きず（く） つ（く）</v>
      </c>
      <c r="F2628">
        <v>0</v>
      </c>
      <c r="G2628" t="str">
        <v>きずく。つく。建てる。建物を造る。 きね。土をついて固める道具。</v>
      </c>
      <c r="H2628" t="str">
        <v>#天空</v>
      </c>
      <c r="I2628">
        <v>10</v>
      </c>
      <c r="J2628">
        <v>50</v>
      </c>
      <c r="K2628">
        <v>50</v>
      </c>
      <c r="L2628">
        <v>1</v>
      </c>
    </row>
    <row r="2629">
      <c r="A2629" t="str">
        <v>昆</v>
      </c>
      <c r="B2629">
        <v>8</v>
      </c>
      <c r="C2629" t="b">
        <v>1</v>
      </c>
      <c r="D2629" t="str">
        <v>コン</v>
      </c>
      <c r="E2629" t="str">
        <v>あに</v>
      </c>
      <c r="F2629">
        <v>0</v>
      </c>
      <c r="G2629" t="str">
        <v>なかま。たぐい。群れ。群がる虫。 あに。兄。</v>
      </c>
      <c r="I2629">
        <v>10</v>
      </c>
      <c r="J2629">
        <v>55</v>
      </c>
      <c r="K2629">
        <v>55</v>
      </c>
      <c r="L2629">
        <v>1</v>
      </c>
    </row>
    <row r="2630">
      <c r="A2630" t="str">
        <v>叔</v>
      </c>
      <c r="B2630">
        <v>8</v>
      </c>
      <c r="C2630" t="b">
        <v>1</v>
      </c>
      <c r="D2630" t="str">
        <v>シュク</v>
      </c>
      <c r="E2630" t="str">
        <v>わか（い）</v>
      </c>
      <c r="F2630" t="str">
        <v>すえ はじめ よし</v>
      </c>
      <c r="G2630" t="str">
        <v>おじ。父の弟（日本では母の弟のこともいう）。また、父（母）の兄には「伯」を用いる。 兄弟の三番目。年齢の順に上から「伯・仲・叔・季」という。 わかい。年が若い人。 妻から見た夫の弟。 すえ。末の世。</v>
      </c>
      <c r="I2630">
        <v>5</v>
      </c>
      <c r="J2630">
        <v>35</v>
      </c>
      <c r="K2630">
        <v>70</v>
      </c>
      <c r="L2630">
        <v>1</v>
      </c>
    </row>
    <row r="2631">
      <c r="A2631" t="str">
        <v>激</v>
      </c>
      <c r="B2631">
        <v>16</v>
      </c>
      <c r="C2631" t="b">
        <v>1</v>
      </c>
      <c r="D2631" t="str">
        <v>ゲキ</v>
      </c>
      <c r="E2631" t="str">
        <v>はげ（しい） はげ（ます）</v>
      </c>
      <c r="F2631">
        <v>0</v>
      </c>
      <c r="G2631" t="str">
        <v>はげしい。きびしい。勢いが速く、強い。はなはだしい。 はげます。勢いをつける。感情をつき動かす。 たかぶる。気が立つ。心が激しく動く。奮い立つ。</v>
      </c>
      <c r="H2631" t="str">
        <v>#勇気</v>
      </c>
      <c r="I2631">
        <v>10</v>
      </c>
      <c r="J2631">
        <v>50</v>
      </c>
      <c r="K2631">
        <v>50</v>
      </c>
      <c r="L2631">
        <v>1</v>
      </c>
    </row>
    <row r="2632">
      <c r="A2632" t="str">
        <v>憲</v>
      </c>
      <c r="B2632">
        <v>16</v>
      </c>
      <c r="C2632" t="b">
        <v>1</v>
      </c>
      <c r="D2632" t="str">
        <v>ケン</v>
      </c>
      <c r="E2632" t="str">
        <v>のっと（る） のり</v>
      </c>
      <c r="F2632" t="str">
        <v>あき あきら かず さだ ただし とし</v>
      </c>
      <c r="G2632" t="str">
        <v>のり。おきて。決まり。法則。規則。 のっとる。手本にする。手本として従う。 役人。上級の役人。</v>
      </c>
      <c r="H2632" t="str">
        <v>#品格 #心・志 #知性</v>
      </c>
      <c r="I2632">
        <v>100</v>
      </c>
      <c r="J2632">
        <v>55</v>
      </c>
      <c r="K2632">
        <v>75</v>
      </c>
      <c r="L2632">
        <v>0</v>
      </c>
      <c r="M2632">
        <f>VLOOKUP(A2632,[1]kanji_data!$A:$N,14,FALSE)</f>
        <v>0</v>
      </c>
    </row>
    <row r="2633">
      <c r="A2633" t="str">
        <v>鋼</v>
      </c>
      <c r="B2633">
        <v>16</v>
      </c>
      <c r="C2633" t="b">
        <v>1</v>
      </c>
      <c r="D2633" t="str">
        <v>コウ</v>
      </c>
      <c r="E2633" t="str">
        <v>はがね</v>
      </c>
      <c r="F2633" t="str">
        <v>かた たけ たけし</v>
      </c>
      <c r="G2633" t="str">
        <v>はがね。かたい鉄。鍛えた鉄。</v>
      </c>
      <c r="H2633" t="str">
        <v>#勇気</v>
      </c>
      <c r="I2633">
        <v>95</v>
      </c>
      <c r="J2633">
        <v>85</v>
      </c>
      <c r="K2633">
        <v>30</v>
      </c>
      <c r="L2633">
        <v>0</v>
      </c>
      <c r="M2633">
        <f>VLOOKUP(A2633,[1]kanji_data!$A:$N,14,FALSE)</f>
        <v>0</v>
      </c>
    </row>
    <row r="2634">
      <c r="A2634" t="str">
        <v>樹</v>
      </c>
      <c r="B2634">
        <v>16</v>
      </c>
      <c r="C2634" t="b">
        <v>1</v>
      </c>
      <c r="D2634" t="str">
        <v>ジュ</v>
      </c>
      <c r="E2634" t="str">
        <v>う（える） き た（てる）</v>
      </c>
      <c r="F2634" t="str">
        <v>いつき しげ たつ たつき な みき むら</v>
      </c>
      <c r="G2634" t="str">
        <v>き。立ち木。立って生えている木。 うえる。木をうえる。 たてる。うち立てる。しっかりと立てる。</v>
      </c>
      <c r="H2634" t="str">
        <v>#天空</v>
      </c>
      <c r="I2634">
        <v>100</v>
      </c>
      <c r="J2634">
        <v>65</v>
      </c>
      <c r="K2634">
        <v>55</v>
      </c>
      <c r="L2634">
        <v>0</v>
      </c>
      <c r="M2634">
        <f>VLOOKUP(A2634,[1]kanji_data!$A:$N,14,FALSE)</f>
        <v>0</v>
      </c>
    </row>
    <row r="2635">
      <c r="A2635" t="str">
        <v>披</v>
      </c>
      <c r="B2635">
        <v>8</v>
      </c>
      <c r="C2635" t="b">
        <v>1</v>
      </c>
      <c r="D2635" t="str">
        <v>ヒ</v>
      </c>
      <c r="E2635" t="str">
        <v>ひら（く）</v>
      </c>
      <c r="F2635">
        <v>0</v>
      </c>
      <c r="G2635" t="str">
        <v>ひらく。ひろげる。あけひろげる。 ひらく。うちあける。 ひらく。わける。わかれる。ばらばらになる。 きる。かぶる。身につける。</v>
      </c>
      <c r="I2635">
        <v>10</v>
      </c>
      <c r="J2635">
        <v>65</v>
      </c>
      <c r="K2635">
        <v>55</v>
      </c>
      <c r="L2635">
        <v>1</v>
      </c>
    </row>
    <row r="2636">
      <c r="A2636" t="str">
        <v>操</v>
      </c>
      <c r="B2636">
        <v>16</v>
      </c>
      <c r="C2636" t="b">
        <v>1</v>
      </c>
      <c r="D2636" t="str">
        <v>ソウ</v>
      </c>
      <c r="E2636" t="str">
        <v>あやつ（る） みさお と（る）</v>
      </c>
      <c r="F2636" t="str">
        <v>あや さお みさ もち</v>
      </c>
      <c r="G2636" t="str">
        <v>あやつる。上手く動かす。思い通りに扱う。 とる。手にとる。手に持つ。 みさお。志をかたく守ること。また、そのような心の持ち方。</v>
      </c>
      <c r="H2636" t="str">
        <v>#心・志</v>
      </c>
      <c r="I2636">
        <v>85</v>
      </c>
      <c r="J2636">
        <v>90</v>
      </c>
      <c r="K2636">
        <v>45</v>
      </c>
      <c r="L2636">
        <v>0</v>
      </c>
      <c r="M2636">
        <f>VLOOKUP(A2636,[1]kanji_data!$A:$N,14,FALSE)</f>
        <v>0</v>
      </c>
    </row>
    <row r="2637">
      <c r="A2637" t="str">
        <v>附</v>
      </c>
      <c r="B2637">
        <v>8</v>
      </c>
      <c r="C2637" t="b">
        <v>1</v>
      </c>
      <c r="D2637" t="str">
        <v>フ ブ</v>
      </c>
      <c r="E2637" t="str">
        <v>つ（く） つ（ける）</v>
      </c>
      <c r="F2637">
        <v>0</v>
      </c>
      <c r="G2637" t="str">
        <v>つく。つける。くっつく。くっつける。 あずける。ことづける。たくする。 たよる。したがう。つきしたがう。</v>
      </c>
      <c r="I2637">
        <v>10</v>
      </c>
      <c r="J2637">
        <v>35</v>
      </c>
      <c r="K2637">
        <v>70</v>
      </c>
      <c r="L2637">
        <v>1</v>
      </c>
    </row>
    <row r="2638">
      <c r="A2638" t="str">
        <v>奮</v>
      </c>
      <c r="B2638">
        <v>16</v>
      </c>
      <c r="C2638" t="b">
        <v>1</v>
      </c>
      <c r="D2638" t="str">
        <v>フン</v>
      </c>
      <c r="E2638" t="str">
        <v>ふる（う）</v>
      </c>
      <c r="F2638">
        <v>0</v>
      </c>
      <c r="G2638" t="str">
        <v>ふるう。鳥が飛び立つ。鳥がはばたく。 ふるう。ふるい立つ。勇み立つ。 ふるう。ふるえる。うごく。揺れる。</v>
      </c>
      <c r="H2638" t="str">
        <v>#勇気</v>
      </c>
      <c r="I2638">
        <v>10</v>
      </c>
      <c r="J2638">
        <v>50</v>
      </c>
      <c r="K2638">
        <v>50</v>
      </c>
      <c r="L2638">
        <v>1</v>
      </c>
    </row>
    <row r="2639">
      <c r="A2639" t="str">
        <v>玩</v>
      </c>
      <c r="B2639">
        <v>8</v>
      </c>
      <c r="C2639" t="b">
        <v>1</v>
      </c>
      <c r="D2639" t="str">
        <v>ガン</v>
      </c>
      <c r="E2639" t="str">
        <v>あじ（わう） もてあそ（ぶ）</v>
      </c>
      <c r="F2639">
        <v>0</v>
      </c>
      <c r="G2639" t="str">
        <v>もてあそぶ。おもちゃにする。なぐさみものにする。めでる。からかう。 味わう。じっくり味わう。深く味わう。</v>
      </c>
      <c r="I2639">
        <v>10</v>
      </c>
      <c r="J2639">
        <v>25</v>
      </c>
      <c r="K2639">
        <v>100</v>
      </c>
      <c r="L2639">
        <v>1</v>
      </c>
    </row>
    <row r="2640">
      <c r="A2640" t="str">
        <v>憶</v>
      </c>
      <c r="B2640">
        <v>16</v>
      </c>
      <c r="C2640" t="b">
        <v>1</v>
      </c>
      <c r="D2640" t="str">
        <v>オク</v>
      </c>
      <c r="E2640" t="str">
        <v>おぼ（える） おも（う）</v>
      </c>
      <c r="F2640" t="str">
        <v>しめ ぞう</v>
      </c>
      <c r="G2640" t="str">
        <v>おもう。思い出す。思い起こす。 おぼえる。忘れないようにする。心にとめる。</v>
      </c>
      <c r="H2640" t="str">
        <v>#心・志</v>
      </c>
      <c r="I2640">
        <v>30</v>
      </c>
      <c r="J2640">
        <v>50</v>
      </c>
      <c r="K2640">
        <v>50</v>
      </c>
      <c r="L2640">
        <v>1</v>
      </c>
    </row>
    <row r="2641">
      <c r="A2641" t="str">
        <v>股</v>
      </c>
      <c r="B2641">
        <v>8</v>
      </c>
      <c r="C2641" t="b">
        <v>1</v>
      </c>
      <c r="D2641" t="str">
        <v>コ</v>
      </c>
      <c r="E2641" t="str">
        <v>また もも</v>
      </c>
      <c r="F2641">
        <v>0</v>
      </c>
      <c r="G2641" t="str">
        <v>また。もも。太もも。足のつけね。またぐら。 直角三角形で、直角をはさむ二辺のうち、長いほうの辺。 ものごとのある一部分。</v>
      </c>
      <c r="I2641">
        <v>10</v>
      </c>
      <c r="J2641">
        <v>45</v>
      </c>
      <c r="K2641">
        <v>70</v>
      </c>
      <c r="L2641">
        <v>1</v>
      </c>
    </row>
    <row r="2642">
      <c r="A2642" t="str">
        <v>函</v>
      </c>
      <c r="B2642">
        <v>8</v>
      </c>
      <c r="C2642" t="b">
        <v>0</v>
      </c>
      <c r="D2642" t="str">
        <v>カン</v>
      </c>
      <c r="E2642" t="str">
        <v>い（れる） はこ よろい</v>
      </c>
      <c r="F2642">
        <v>0</v>
      </c>
      <c r="G2642" t="str">
        <v>いれる。中にいれる。包み込む。 はこ。ものをいれる箱。 ふばこ。手紙などの書物をいれる箱。 よろい。身体を包む鎧。</v>
      </c>
      <c r="I2642">
        <v>10</v>
      </c>
      <c r="J2642">
        <v>55</v>
      </c>
      <c r="K2642">
        <v>55</v>
      </c>
      <c r="L2642">
        <v>1</v>
      </c>
    </row>
    <row r="2643">
      <c r="A2643" t="str">
        <v>獣</v>
      </c>
      <c r="B2643">
        <v>16</v>
      </c>
      <c r="C2643" t="b">
        <v>1</v>
      </c>
      <c r="D2643" t="str">
        <v>ジュウ</v>
      </c>
      <c r="E2643" t="str">
        <v>けもの けだもの しし</v>
      </c>
      <c r="F2643">
        <v>0</v>
      </c>
      <c r="G2643" t="str">
        <v>けもの。けだもの。動物の総称。特に、野生の動物。 ほじし。干し肉。</v>
      </c>
      <c r="H2643" t="str">
        <v>#自然</v>
      </c>
      <c r="I2643">
        <v>10</v>
      </c>
      <c r="J2643">
        <v>50</v>
      </c>
      <c r="K2643">
        <v>50</v>
      </c>
      <c r="L2643">
        <v>1</v>
      </c>
    </row>
    <row r="2644">
      <c r="A2644" t="str">
        <v>庚</v>
      </c>
      <c r="B2644">
        <v>8</v>
      </c>
      <c r="C2644" t="b">
        <v>0</v>
      </c>
      <c r="D2644" t="str">
        <v>コウ</v>
      </c>
      <c r="E2644" t="str">
        <v>かのえ とし</v>
      </c>
      <c r="F2644" t="str">
        <v>か つぐ みちる やす</v>
      </c>
      <c r="G2644" t="str">
        <v>十干の七番目。かのえ。五行では金。方位では西。 よわい。とし。年齢。</v>
      </c>
      <c r="I2644">
        <v>5</v>
      </c>
      <c r="J2644">
        <v>50</v>
      </c>
      <c r="K2644">
        <v>50</v>
      </c>
      <c r="L2644">
        <v>1</v>
      </c>
    </row>
    <row r="2645">
      <c r="A2645" t="str">
        <v>陀</v>
      </c>
      <c r="B2645">
        <v>8</v>
      </c>
      <c r="C2645" t="b">
        <v>0</v>
      </c>
      <c r="D2645" t="str">
        <v>タ ダ</v>
      </c>
      <c r="E2645">
        <v>0</v>
      </c>
      <c r="F2645">
        <v>0</v>
      </c>
      <c r="G2645" t="str">
        <v>ななめ。平らでないさま。傾いたさま。 くずれる。くずれおちる。 梵語（ボンゴ）の音訳に用いる字。</v>
      </c>
      <c r="I2645">
        <v>10</v>
      </c>
      <c r="J2645">
        <v>45</v>
      </c>
      <c r="K2645">
        <v>70</v>
      </c>
      <c r="L2645">
        <v>1</v>
      </c>
    </row>
    <row r="2646">
      <c r="A2646" t="str">
        <v>曇</v>
      </c>
      <c r="B2646">
        <v>16</v>
      </c>
      <c r="C2646" t="b">
        <v>1</v>
      </c>
      <c r="D2646" t="str">
        <v>ドン タン</v>
      </c>
      <c r="E2646" t="str">
        <v>くも（る）</v>
      </c>
      <c r="F2646">
        <v>0</v>
      </c>
      <c r="G2646" t="str">
        <v>くもる。くもり。空に雲がおおい。 くもる。光っていた物からつやがなくなる。 くもる。表情が暗くなる。</v>
      </c>
      <c r="H2646" t="str">
        <v>#天空</v>
      </c>
      <c r="I2646">
        <v>10</v>
      </c>
      <c r="J2646">
        <v>50</v>
      </c>
      <c r="K2646">
        <v>50</v>
      </c>
      <c r="L2646">
        <v>1</v>
      </c>
    </row>
    <row r="2647">
      <c r="A2647" t="str">
        <v>後</v>
      </c>
      <c r="B2647">
        <v>9</v>
      </c>
      <c r="C2647" t="b">
        <v>1</v>
      </c>
      <c r="D2647" t="str">
        <v>ゴ コウ</v>
      </c>
      <c r="E2647" t="str">
        <v>あと うし（ろ） のち おく（れる） しり</v>
      </c>
      <c r="F2647">
        <v>0</v>
      </c>
      <c r="G2647" t="str">
        <v>あと。のち。時間でのあと。将来。未来。 あと。のち。あととり。あとつぎ。子孫。 あと。うしろ。場所・位置でのあと。 おくれる。おそくなる。あとになる。 しり。しりえ。うしろの方。</v>
      </c>
      <c r="I2647">
        <v>10</v>
      </c>
      <c r="J2647">
        <v>55</v>
      </c>
      <c r="K2647">
        <v>60</v>
      </c>
      <c r="L2647">
        <v>1</v>
      </c>
    </row>
    <row r="2648">
      <c r="A2648" t="str">
        <v>室</v>
      </c>
      <c r="B2648">
        <v>9</v>
      </c>
      <c r="C2648" t="b">
        <v>1</v>
      </c>
      <c r="D2648" t="str">
        <v>シツ</v>
      </c>
      <c r="E2648" t="str">
        <v>むろ いえ つま へや</v>
      </c>
      <c r="F2648">
        <v>0</v>
      </c>
      <c r="G2648" t="str">
        <v>へや。建物の奥にある部屋。 いえ。住まい。建物。 つま。夫人。 むろ。物を蓄えておく穴。 墓。墓の穴。 二十八宿の一つ。はついぼし。</v>
      </c>
      <c r="I2648">
        <v>10</v>
      </c>
      <c r="J2648">
        <v>55</v>
      </c>
      <c r="K2648">
        <v>55</v>
      </c>
      <c r="L2648">
        <v>1</v>
      </c>
    </row>
    <row r="2649">
      <c r="A2649" t="str">
        <v>繁</v>
      </c>
      <c r="B2649">
        <v>16</v>
      </c>
      <c r="C2649" t="b">
        <v>1</v>
      </c>
      <c r="D2649" t="str">
        <v>ハン</v>
      </c>
      <c r="E2649" t="str">
        <v>しげ（る） わずら（わしい）</v>
      </c>
      <c r="F2649" t="str">
        <v>えだ しげる とし</v>
      </c>
      <c r="G2649" t="str">
        <v>しげる。ふえる。草木がしげる。 さかんになる。さかんである。さかえる。 わずらわしい。しきりに。忙しい。 馬の腹帯。</v>
      </c>
      <c r="H2649" t="str">
        <v>#繁栄 #自然</v>
      </c>
      <c r="I2649">
        <v>95</v>
      </c>
      <c r="J2649">
        <v>65</v>
      </c>
      <c r="K2649">
        <v>45</v>
      </c>
      <c r="L2649">
        <v>0</v>
      </c>
      <c r="M2649">
        <f>VLOOKUP(A2649,[1]kanji_data!$A:$N,14,FALSE)</f>
        <v>0</v>
      </c>
    </row>
    <row r="2650">
      <c r="A2650" t="str">
        <v>屋</v>
      </c>
      <c r="B2650">
        <v>9</v>
      </c>
      <c r="C2650" t="b">
        <v>1</v>
      </c>
      <c r="D2650" t="str">
        <v>オク</v>
      </c>
      <c r="E2650" t="str">
        <v>や いえ やね</v>
      </c>
      <c r="F2650">
        <v>0</v>
      </c>
      <c r="G2650" t="str">
        <v>や。いえ。人のすまい。 やね。家をおおうやね。 おおい。やねのように物におおいかぶせるもの。 や。職業の名や商店の名の下にそえる語。</v>
      </c>
      <c r="I2650">
        <v>10</v>
      </c>
      <c r="J2650">
        <v>55</v>
      </c>
      <c r="K2650">
        <v>55</v>
      </c>
      <c r="L2650">
        <v>1</v>
      </c>
    </row>
    <row r="2651">
      <c r="A2651" t="str">
        <v>客</v>
      </c>
      <c r="B2651">
        <v>9</v>
      </c>
      <c r="C2651" t="b">
        <v>1</v>
      </c>
      <c r="D2651" t="str">
        <v>キャク カク</v>
      </c>
      <c r="E2651" t="str">
        <v>まろうど</v>
      </c>
      <c r="F2651">
        <v>0</v>
      </c>
      <c r="G2651" t="str">
        <v>まろうど。別の所から訪れてきた人。招かれてきた人。 商売の相手となる、お金を払う人。 旅。旅をする人。 過去の。過ぎ去った。</v>
      </c>
      <c r="I2651">
        <v>10</v>
      </c>
      <c r="J2651">
        <v>75</v>
      </c>
      <c r="K2651">
        <v>40</v>
      </c>
      <c r="L2651">
        <v>1</v>
      </c>
    </row>
    <row r="2652">
      <c r="A2652" t="str">
        <v>待</v>
      </c>
      <c r="B2652">
        <v>9</v>
      </c>
      <c r="C2652" t="b">
        <v>1</v>
      </c>
      <c r="D2652" t="str">
        <v>タイ</v>
      </c>
      <c r="E2652" t="str">
        <v>ま（つ）</v>
      </c>
      <c r="F2652">
        <v>0</v>
      </c>
      <c r="G2652" t="str">
        <v>まつ。まちうける。人、機会などが来るのをまつ。 まつ。もてなす。あしらう。準備をして人をもてなす。</v>
      </c>
      <c r="I2652">
        <v>10</v>
      </c>
      <c r="J2652">
        <v>65</v>
      </c>
      <c r="K2652">
        <v>55</v>
      </c>
      <c r="L2652">
        <v>1</v>
      </c>
    </row>
    <row r="2653">
      <c r="A2653" t="str">
        <v>頼</v>
      </c>
      <c r="B2653">
        <v>16</v>
      </c>
      <c r="C2653" t="b">
        <v>1</v>
      </c>
      <c r="D2653" t="str">
        <v>ライ</v>
      </c>
      <c r="E2653" t="str">
        <v>たの（む） たの（もしい） たよ（る） たよ（り）</v>
      </c>
      <c r="F2653" t="str">
        <v>のり よし より</v>
      </c>
      <c r="G2653" t="str">
        <v>たよる。たのむ。たのみにする。 たより。たのみにする人や物。 もうけ。もうける。利益。利益を得る。 さいわいに。おかげで。 たのむ。願う。請う。求める。 たのもしい。たよりになる。</v>
      </c>
      <c r="H2653" t="str">
        <v>#幸福</v>
      </c>
      <c r="I2653">
        <v>90</v>
      </c>
      <c r="J2653">
        <v>60</v>
      </c>
      <c r="K2653">
        <v>50</v>
      </c>
      <c r="L2653">
        <v>0</v>
      </c>
      <c r="M2653">
        <f>VLOOKUP(A2653,[1]kanji_data!$A:$N,14,FALSE)</f>
        <v>0</v>
      </c>
    </row>
    <row r="2654">
      <c r="A2654" t="str">
        <v>負</v>
      </c>
      <c r="B2654">
        <v>9</v>
      </c>
      <c r="C2654" t="b">
        <v>1</v>
      </c>
      <c r="D2654" t="str">
        <v>フ ブ フウ</v>
      </c>
      <c r="E2654" t="str">
        <v>お（う） ま（かす） ま（ける） そむ（く） たの（む）</v>
      </c>
      <c r="F2654">
        <v>0</v>
      </c>
      <c r="G2654" t="str">
        <v>おう。せおう。になう。引き受ける。受ける。 まける。まけ。戦いにまける。やぶれる。 たのむ。たよりにする。たのみとする。 そむく。うらぎる。したがわない。 負数。ゼロよりも小さい数。マイナス。 まける。値引きする。安くする。</v>
      </c>
      <c r="I2654">
        <v>10</v>
      </c>
      <c r="J2654">
        <v>95</v>
      </c>
      <c r="K2654">
        <v>30</v>
      </c>
      <c r="L2654">
        <v>1</v>
      </c>
    </row>
    <row r="2655">
      <c r="A2655" t="str">
        <v>面</v>
      </c>
      <c r="B2655">
        <v>9</v>
      </c>
      <c r="C2655" t="b">
        <v>1</v>
      </c>
      <c r="D2655" t="str">
        <v>メン ベン</v>
      </c>
      <c r="E2655" t="str">
        <v>おも おもて つら そむ（く） も</v>
      </c>
      <c r="F2655">
        <v>0</v>
      </c>
      <c r="G2655" t="str">
        <v>おも。おもて。つら。顔。顔の形をしたもの。顔につけるもの。 おも。おもて。つら。うわべ。表向き。 おもて。むき。がわ。方向。 そむく。顔をそむける。 まみえる。対面|たいめん}}する。向かい合う。 まのあたり。目の前。また、現在。今。 平たいものを数えることば。 めん。剣道で用いる、頭部をおおう防具。 も。おもて。表面。</v>
      </c>
      <c r="I2655">
        <v>10</v>
      </c>
      <c r="J2655">
        <v>50</v>
      </c>
      <c r="K2655">
        <v>50</v>
      </c>
      <c r="L2655">
        <v>1</v>
      </c>
    </row>
    <row r="2656">
      <c r="A2656" t="str">
        <v>穏</v>
      </c>
      <c r="B2656">
        <v>16</v>
      </c>
      <c r="C2656" t="b">
        <v>1</v>
      </c>
      <c r="D2656" t="str">
        <v>オン</v>
      </c>
      <c r="E2656" t="str">
        <v>おだ（やか） やす（らか）</v>
      </c>
      <c r="F2656" t="str">
        <v>しず とし やす やすき</v>
      </c>
      <c r="G2656" t="str">
        <v>おだやか。やすらか。落ち着いているさま。</v>
      </c>
      <c r="H2656" t="str">
        <v>#慈愛 #調和</v>
      </c>
      <c r="I2656">
        <v>70</v>
      </c>
      <c r="J2656">
        <v>35</v>
      </c>
      <c r="K2656">
        <v>90</v>
      </c>
      <c r="L2656">
        <v>0</v>
      </c>
      <c r="M2656">
        <f>VLOOKUP(A2656,[1]kanji_data!$A:$N,14,FALSE)</f>
        <v>0</v>
      </c>
    </row>
    <row r="2657">
      <c r="A2657" t="str">
        <v>凝</v>
      </c>
      <c r="B2657">
        <v>16</v>
      </c>
      <c r="C2657" t="b">
        <v>1</v>
      </c>
      <c r="D2657" t="str">
        <v>ギョウ</v>
      </c>
      <c r="E2657" t="str">
        <v>こ（らす） こ（る） こご（る） しこ（り）</v>
      </c>
      <c r="F2657">
        <v>0</v>
      </c>
      <c r="G2657" t="str">
        <v>こらす。かためる。集中する。集める。 こる。こごる。かたまる。 とどまる。動かない。停滞する。 こる。筋肉がこり固まる。また、何かに集中したり熱中したりする。 しこり。わだかまり。もやもやと残る気持ち。</v>
      </c>
      <c r="H2657" t="str">
        <v>#心・志</v>
      </c>
      <c r="I2657">
        <v>10</v>
      </c>
      <c r="J2657">
        <v>50</v>
      </c>
      <c r="K2657">
        <v>50</v>
      </c>
      <c r="L2657">
        <v>1</v>
      </c>
    </row>
    <row r="2658">
      <c r="A2658" t="str">
        <v>軍</v>
      </c>
      <c r="B2658">
        <v>9</v>
      </c>
      <c r="C2658" t="b">
        <v>1</v>
      </c>
      <c r="D2658" t="str">
        <v>グン クン</v>
      </c>
      <c r="E2658" t="str">
        <v>いくさ つわもの</v>
      </c>
      <c r="F2658">
        <v>0</v>
      </c>
      <c r="G2658" t="str">
        <v>兵士の集団。 陣どる。たむろする。駐屯する。 軍隊を編成する単位。 いくさ。戦い。戦争。</v>
      </c>
      <c r="I2658">
        <v>10</v>
      </c>
      <c r="J2658">
        <v>85</v>
      </c>
      <c r="K2658">
        <v>30</v>
      </c>
      <c r="L2658">
        <v>1</v>
      </c>
    </row>
    <row r="2659">
      <c r="A2659" t="str">
        <v>賢</v>
      </c>
      <c r="B2659">
        <v>16</v>
      </c>
      <c r="C2659" t="b">
        <v>1</v>
      </c>
      <c r="D2659" t="str">
        <v>ケン</v>
      </c>
      <c r="E2659" t="str">
        <v>かしこ（い） さか（しい） まさ（る）</v>
      </c>
      <c r="F2659" t="str">
        <v>かた さか さかし さと さとし さとる すぐる たか ただ ただし とし のり まさ ます やす よし</v>
      </c>
      <c r="G2659" t="str">
        <v>かしこい。さかしい。利口である。才知がすぐれている。 かしこい人。才徳がすぐれた人物。 まさる。すぐれる。すぐれている。 敬う。たっとぶ。賢人として敬う。 苦労する。骨をおる。 相手に関する語につけて、敬意をあらわす。例：賢弟 どぶろく。濁り酒。</v>
      </c>
      <c r="H2659" t="str">
        <v>#品格 #心・志 #知性 #繁栄</v>
      </c>
      <c r="I2659">
        <v>100</v>
      </c>
      <c r="J2659">
        <v>70</v>
      </c>
      <c r="K2659">
        <v>50</v>
      </c>
      <c r="L2659">
        <v>0</v>
      </c>
      <c r="M2659">
        <f>VLOOKUP(A2659,[1]kanji_data!$A:$N,14,FALSE)</f>
        <v>0</v>
      </c>
    </row>
    <row r="2660">
      <c r="A2660" t="str">
        <v>約</v>
      </c>
      <c r="B2660">
        <v>9</v>
      </c>
      <c r="C2660" t="b">
        <v>1</v>
      </c>
      <c r="D2660" t="str">
        <v>ヤク</v>
      </c>
      <c r="E2660" t="str">
        <v>ちか（う） つづま（やか） つづ（める） つま（しい）</v>
      </c>
      <c r="F2660">
        <v>0</v>
      </c>
      <c r="G2660" t="str">
        <v>ちかう。ちぎる。約束する。また、ちかい。ちぎり。約束。 つづまやか。ひかえめ。手軽。きりつめる。 つづめる。つづまやかにする。簡単にする。節約する。 短くまとめる。しめくくる。ちぢめる。 苦しむ。苦しみ。困窮。 おおよそ。おおむね。ほぼ。</v>
      </c>
      <c r="I2660">
        <v>10</v>
      </c>
      <c r="J2660">
        <v>65</v>
      </c>
      <c r="K2660">
        <v>55</v>
      </c>
      <c r="L2660">
        <v>1</v>
      </c>
    </row>
    <row r="2661">
      <c r="A2661" t="str">
        <v>錯</v>
      </c>
      <c r="B2661">
        <v>16</v>
      </c>
      <c r="C2661" t="b">
        <v>1</v>
      </c>
      <c r="D2661" t="str">
        <v>サク ソ シャク</v>
      </c>
      <c r="E2661" t="str">
        <v>あやま（る） お（く） ま（じる）</v>
      </c>
      <c r="F2661">
        <v>0</v>
      </c>
      <c r="G2661" t="str">
        <v>まじる。まじわる。入りまじる。入り乱れる。 あやまる。間違える。 たがう。そむく。 やすり。やすりでみがく。 めっきする。金属をうすくしたものを上から塗る。 おく。すえる。また、はからう。＝措 きめが粗い。</v>
      </c>
      <c r="H2661" t="str">
        <v>#繁栄</v>
      </c>
      <c r="I2661">
        <v>10</v>
      </c>
      <c r="J2661">
        <v>50</v>
      </c>
      <c r="K2661">
        <v>50</v>
      </c>
      <c r="L2661">
        <v>1</v>
      </c>
    </row>
    <row r="2662">
      <c r="A2662" t="str">
        <v>要</v>
      </c>
      <c r="B2662">
        <v>9</v>
      </c>
      <c r="C2662" t="b">
        <v>1</v>
      </c>
      <c r="D2662" t="str">
        <v>ヨウ</v>
      </c>
      <c r="E2662" t="str">
        <v>かなめ い（る） もと（める）</v>
      </c>
      <c r="F2662" t="str">
        <v>しの とし め もとむ やす</v>
      </c>
      <c r="G2662" t="str">
        <v>腰。腰にまとう。腰にする。 すべる。まとめる。しめくくる。 もとめる。いる。ねがう。 待ち伏せする。むかえる。まつ。 結ぶ。誓う。約束する。契る。 おどかす。おびやかす。しいる。 かなめ。大切なところ。しめくくり。 要約する。簡略にする。ようするに。しめくくる。 きっと。かならず。 会計。会計簿。帳簿。証券。手形。 いる。必要とする。</v>
      </c>
      <c r="I2662">
        <v>5</v>
      </c>
      <c r="J2662">
        <v>80</v>
      </c>
      <c r="K2662">
        <v>45</v>
      </c>
      <c r="L2662">
        <v>1</v>
      </c>
    </row>
    <row r="2663">
      <c r="A2663" t="str">
        <v>故</v>
      </c>
      <c r="B2663">
        <v>9</v>
      </c>
      <c r="C2663" t="b">
        <v>1</v>
      </c>
      <c r="D2663" t="str">
        <v>コ</v>
      </c>
      <c r="E2663" t="str">
        <v>ゆえ ことさら（に） ふる（い） もと</v>
      </c>
      <c r="F2663">
        <v>0</v>
      </c>
      <c r="G2663" t="str">
        <v>ふるい。むかしの。以前の。 ふるい。ふるくからの。以前からの。 もと。もとより。もともと。 ゆえ。理由。原因。 ゆえに。そのような理由で。したがって。 ことさらに。わざと。わざわざ。 死ぬ。死んだ。亡くなった。</v>
      </c>
      <c r="I2663">
        <v>10</v>
      </c>
      <c r="J2663">
        <v>55</v>
      </c>
      <c r="K2663">
        <v>55</v>
      </c>
      <c r="L2663">
        <v>1</v>
      </c>
    </row>
    <row r="2664">
      <c r="A2664" t="str">
        <v>祖</v>
      </c>
      <c r="B2664">
        <v>9</v>
      </c>
      <c r="C2664" t="b">
        <v>1</v>
      </c>
      <c r="D2664" t="str">
        <v>ソ</v>
      </c>
      <c r="E2664" t="str">
        <v>おや じじ はじ（め）</v>
      </c>
      <c r="F2664">
        <v>0</v>
      </c>
      <c r="G2664" t="str">
        <v>じじ。父の父母。親の親。 その家系の初代の人。または引き継いできた人。先祖。とおつおや。 もと。はじめ。物事を最初に始めた人。もととなった人。例：教祖 もととする。もとにする。手本とする。のっとる。 道中の安全を守るといわれる神。道祖神（どうそじん）。</v>
      </c>
      <c r="I2664">
        <v>10</v>
      </c>
      <c r="J2664">
        <v>50</v>
      </c>
      <c r="K2664">
        <v>55</v>
      </c>
      <c r="L2664">
        <v>1</v>
      </c>
    </row>
    <row r="2665">
      <c r="A2665" t="str">
        <v>壇</v>
      </c>
      <c r="B2665">
        <v>16</v>
      </c>
      <c r="C2665" t="b">
        <v>1</v>
      </c>
      <c r="D2665" t="str">
        <v>タン ダン</v>
      </c>
      <c r="E2665">
        <v>0</v>
      </c>
      <c r="F2665">
        <v>0</v>
      </c>
      <c r="G2665" t="str">
        <v>土を小高く盛り上げて築いた祭場。 他よりも一段高くした所。 同じ分野の専門家たちの集団。</v>
      </c>
      <c r="H2665" t="str">
        <v>#自然</v>
      </c>
      <c r="I2665">
        <v>10</v>
      </c>
      <c r="J2665">
        <v>50</v>
      </c>
      <c r="K2665">
        <v>50</v>
      </c>
      <c r="L2665">
        <v>1</v>
      </c>
    </row>
    <row r="2666">
      <c r="A2666" t="str">
        <v>篤</v>
      </c>
      <c r="B2666">
        <v>16</v>
      </c>
      <c r="C2666" t="b">
        <v>1</v>
      </c>
      <c r="D2666" t="str">
        <v>トク</v>
      </c>
      <c r="E2666" t="str">
        <v>あつ（い）</v>
      </c>
      <c r="F2666" t="str">
        <v>あつ あつし あつみ あつむ しげ すみ たか たかし ひろ</v>
      </c>
      <c r="G2666" t="str">
        <v>あつい。手厚い。人情が厚い。 あつくする。手厚くする。 物事に熱心である。もっぱらである。 病気が重い。</v>
      </c>
      <c r="H2666" t="str">
        <v>#心・志 #慈愛</v>
      </c>
      <c r="I2666">
        <v>80</v>
      </c>
      <c r="J2666">
        <v>40</v>
      </c>
      <c r="K2666">
        <v>85</v>
      </c>
      <c r="L2666">
        <v>0</v>
      </c>
      <c r="M2666">
        <f>VLOOKUP(A2666,[1]kanji_data!$A:$N,14,FALSE)</f>
        <v>0</v>
      </c>
    </row>
    <row r="2667">
      <c r="A2667" t="str">
        <v>独</v>
      </c>
      <c r="B2667">
        <v>9</v>
      </c>
      <c r="C2667" t="b">
        <v>1</v>
      </c>
      <c r="D2667" t="str">
        <v>ドク トク</v>
      </c>
      <c r="E2667" t="str">
        <v>ひと（り）</v>
      </c>
      <c r="F2667">
        <v>0</v>
      </c>
      <c r="G2667" t="str">
        <v>ひとり。ひとりで。相手がいない。ひとつ。 老いて子がいないもの。子孫のいないもの。 それひとつだけ。自分だけ。 国名「独逸（ドイツ）」の略。</v>
      </c>
      <c r="I2667">
        <v>10</v>
      </c>
      <c r="J2667">
        <v>85</v>
      </c>
      <c r="K2667">
        <v>30</v>
      </c>
      <c r="L2667">
        <v>1</v>
      </c>
    </row>
    <row r="2668">
      <c r="A2668" t="str">
        <v>看</v>
      </c>
      <c r="B2668">
        <v>9</v>
      </c>
      <c r="C2668" t="b">
        <v>1</v>
      </c>
      <c r="D2668" t="str">
        <v>カン</v>
      </c>
      <c r="E2668" t="str">
        <v>み（る）</v>
      </c>
      <c r="F2668">
        <v>0</v>
      </c>
      <c r="G2668" t="str">
        <v>みる。よく見る。手をかざしてみる。注意してみる。のぞみみる。 みすみす。みるみるうちに。やがて。 みる。見守る。番をする。世話をする。</v>
      </c>
      <c r="I2668">
        <v>10</v>
      </c>
      <c r="J2668">
        <v>60</v>
      </c>
      <c r="K2668">
        <v>60</v>
      </c>
      <c r="L2668">
        <v>1</v>
      </c>
    </row>
    <row r="2669">
      <c r="A2669" t="str">
        <v>謀</v>
      </c>
      <c r="B2669">
        <v>16</v>
      </c>
      <c r="C2669" t="b">
        <v>1</v>
      </c>
      <c r="D2669" t="str">
        <v>ボウ ム</v>
      </c>
      <c r="E2669" t="str">
        <v>はか（る） はかりごと</v>
      </c>
      <c r="F2669" t="str">
        <v>こと のぶ</v>
      </c>
      <c r="G2669" t="str">
        <v>はかる。くわだてる。計画をねる。 はかる。考えをめぐらす。 はかる。話し合う。相談する。 はかりごと。くわだて。たくらみ。計略。</v>
      </c>
      <c r="H2669" t="str">
        <v>#天空</v>
      </c>
      <c r="I2669">
        <v>15</v>
      </c>
      <c r="J2669">
        <v>50</v>
      </c>
      <c r="K2669">
        <v>50</v>
      </c>
      <c r="L2669">
        <v>1</v>
      </c>
    </row>
    <row r="2670">
      <c r="A2670" t="str">
        <v>砂</v>
      </c>
      <c r="B2670">
        <v>9</v>
      </c>
      <c r="C2670" t="b">
        <v>1</v>
      </c>
      <c r="D2670" t="str">
        <v>サ シャ</v>
      </c>
      <c r="E2670" t="str">
        <v>すな いさご</v>
      </c>
      <c r="F2670">
        <v>0</v>
      </c>
      <c r="G2670" t="str">
        <v>すな。いさご。細かく砕けた石の粒。 転じて、細かい粒状のもののこと。</v>
      </c>
      <c r="I2670">
        <v>10</v>
      </c>
      <c r="J2670">
        <v>50</v>
      </c>
      <c r="K2670">
        <v>50</v>
      </c>
      <c r="L2670">
        <v>1</v>
      </c>
    </row>
    <row r="2671">
      <c r="A2671" t="str">
        <v>擁</v>
      </c>
      <c r="B2671">
        <v>16</v>
      </c>
      <c r="C2671" t="b">
        <v>1</v>
      </c>
      <c r="D2671" t="str">
        <v>ヨウ</v>
      </c>
      <c r="E2671" t="str">
        <v>いだ（く） だ（く） まも（る）</v>
      </c>
      <c r="F2671">
        <v>0</v>
      </c>
      <c r="G2671" t="str">
        <v>いだく。だく。両手でだきかかえる。 まもる。かばいまもる。たすける。</v>
      </c>
      <c r="H2671" t="str">
        <v>#慈愛</v>
      </c>
      <c r="I2671">
        <v>10</v>
      </c>
      <c r="J2671">
        <v>50</v>
      </c>
      <c r="K2671">
        <v>50</v>
      </c>
      <c r="L2671">
        <v>0</v>
      </c>
      <c r="M2671">
        <f>VLOOKUP(A2671,[1]kanji_data!$A:$N,14,FALSE)</f>
        <v>0</v>
      </c>
    </row>
    <row r="2672">
      <c r="A2672" t="str">
        <v>錬</v>
      </c>
      <c r="B2672">
        <v>16</v>
      </c>
      <c r="C2672" t="b">
        <v>1</v>
      </c>
      <c r="D2672" t="str">
        <v>レン</v>
      </c>
      <c r="E2672" t="str">
        <v>ね（る）</v>
      </c>
      <c r="F2672" t="str">
        <v>れ</v>
      </c>
      <c r="G2672" t="str">
        <v>ねる。鉱石を熱して不純物を取り除く。質を高める。＝煉 ねる。薬をねり合わせる。＝煉 ねる。ねりあげる。ねりきたえる。</v>
      </c>
      <c r="H2672" t="str">
        <v>#勇気 #知性</v>
      </c>
      <c r="I2672">
        <v>60</v>
      </c>
      <c r="J2672">
        <v>100</v>
      </c>
      <c r="K2672">
        <v>25</v>
      </c>
      <c r="L2672">
        <v>0</v>
      </c>
      <c r="M2672">
        <f>VLOOKUP(A2672,[1]kanji_data!$A:$N,14,FALSE)</f>
        <v>0</v>
      </c>
    </row>
    <row r="2673">
      <c r="A2673" t="str">
        <v>懐</v>
      </c>
      <c r="B2673">
        <v>16</v>
      </c>
      <c r="C2673" t="b">
        <v>1</v>
      </c>
      <c r="D2673" t="str">
        <v>カイ</v>
      </c>
      <c r="E2673" t="str">
        <v>なつ（かしい） なつ（かしむ） なつ（く） なつ（ける） ふところ いだ（く） おも（う）</v>
      </c>
      <c r="F2673">
        <v>0</v>
      </c>
      <c r="G2673" t="str">
        <v>いだく。心にいだく。思いをいだく。 おもう。おもい。心の中で大切にあたためる。また、心の中にある思いや考え。 ふところ。胸のあたりの部分。 なつく。なつける。大切にかわいがって、なれ親しませる。 なつかしい。なつかしむ。慕わしく思う。</v>
      </c>
      <c r="H2673" t="str">
        <v>#心・志 #慈愛</v>
      </c>
      <c r="I2673">
        <v>10</v>
      </c>
      <c r="J2673">
        <v>35</v>
      </c>
      <c r="K2673">
        <v>75</v>
      </c>
      <c r="L2673">
        <v>0</v>
      </c>
      <c r="M2673">
        <f>VLOOKUP(A2673,[1]kanji_data!$A:$N,14,FALSE)</f>
        <v>0</v>
      </c>
    </row>
    <row r="2674">
      <c r="A2674" t="str">
        <v>還</v>
      </c>
      <c r="B2674">
        <v>16</v>
      </c>
      <c r="C2674" t="b">
        <v>1</v>
      </c>
      <c r="D2674" t="str">
        <v>カン ゲン</v>
      </c>
      <c r="E2674" t="str">
        <v>かえ（す） かえ（る） また</v>
      </c>
      <c r="F2674">
        <v>0</v>
      </c>
      <c r="G2674" t="str">
        <v>かえす。元へ戻る。 かえる。元に戻る。 かえりみる。ふりかえる。 かえって。逆に。 また。ふたたび。 めぐる。めぐらす。まわる。向きを変える。 すぐに。すみやかに。すなわち。</v>
      </c>
      <c r="H2674" t="str">
        <v>#心・志</v>
      </c>
      <c r="I2674">
        <v>10</v>
      </c>
      <c r="J2674">
        <v>50</v>
      </c>
      <c r="K2674">
        <v>50</v>
      </c>
      <c r="L2674">
        <v>0</v>
      </c>
      <c r="M2674">
        <f>VLOOKUP(A2674,[1]kanji_data!$A:$N,14,FALSE)</f>
        <v>0</v>
      </c>
    </row>
    <row r="2675">
      <c r="A2675" t="str">
        <v>憾</v>
      </c>
      <c r="B2675">
        <v>16</v>
      </c>
      <c r="C2675" t="b">
        <v>1</v>
      </c>
      <c r="D2675" t="str">
        <v>カン</v>
      </c>
      <c r="E2675" t="str">
        <v>うら（む）</v>
      </c>
      <c r="F2675">
        <v>0</v>
      </c>
      <c r="G2675" t="str">
        <v>うらむ。心残りに思う。残念に思う。 うらみ。心残りに思う気持ち。</v>
      </c>
      <c r="H2675" t="str">
        <v>#心・志</v>
      </c>
      <c r="I2675">
        <v>10</v>
      </c>
      <c r="J2675">
        <v>50</v>
      </c>
      <c r="K2675">
        <v>50</v>
      </c>
      <c r="L2675">
        <v>1</v>
      </c>
    </row>
    <row r="2676">
      <c r="A2676" t="str">
        <v>薫</v>
      </c>
      <c r="B2676">
        <v>16</v>
      </c>
      <c r="C2676" t="b">
        <v>1</v>
      </c>
      <c r="D2676" t="str">
        <v>クン</v>
      </c>
      <c r="E2676" t="str">
        <v>かお（る） かおりぐさ た（く）</v>
      </c>
      <c r="F2676" t="str">
        <v>かお しげ ただ だい つとむ にお のぶ ひで ふさ まさ ゆき</v>
      </c>
      <c r="G2676" t="str">
        <v>かおる。よいかおり。よいにおいがする。 かおりぐさ。香草の一種。特有の香りをもつ。 たく。くすべる。いぶす。 人を感化する。良い感化を与える。</v>
      </c>
      <c r="H2676" t="str">
        <v>#花・彩</v>
      </c>
      <c r="I2676">
        <v>100</v>
      </c>
      <c r="J2676">
        <v>30</v>
      </c>
      <c r="K2676">
        <v>85</v>
      </c>
      <c r="L2676">
        <v>0</v>
      </c>
      <c r="M2676">
        <f>VLOOKUP(A2676,[1]kanji_data!$A:$N,14,FALSE)</f>
        <v>0</v>
      </c>
    </row>
    <row r="2677">
      <c r="A2677" t="str">
        <v>衡</v>
      </c>
      <c r="B2677">
        <v>16</v>
      </c>
      <c r="C2677" t="b">
        <v>1</v>
      </c>
      <c r="D2677" t="str">
        <v>コウ</v>
      </c>
      <c r="E2677" t="str">
        <v>くびき はかり はか（る）</v>
      </c>
      <c r="F2677" t="str">
        <v>たいら ちか ひで ひとし ひら ひろ まもる</v>
      </c>
      <c r="G2677" t="str">
        <v>はかり。はかり竿。はかりのさお。 はかる。重さをはかる。 たいらか。釣り合いがとれていること。 つのぎ。牛の角にしばりつけた横木。 よこぎ。くびき。馬車の横木。 手すり。 北斗七星の第五星。 横。</v>
      </c>
      <c r="H2677" t="str">
        <v>#天空</v>
      </c>
      <c r="I2677">
        <v>90</v>
      </c>
      <c r="J2677">
        <v>70</v>
      </c>
      <c r="K2677">
        <v>60</v>
      </c>
      <c r="L2677">
        <v>0</v>
      </c>
      <c r="M2677">
        <f>VLOOKUP(A2677,[1]kanji_data!$A:$N,14,FALSE)</f>
        <v>0</v>
      </c>
    </row>
    <row r="2678">
      <c r="A2678" t="str">
        <v>儒</v>
      </c>
      <c r="B2678">
        <v>16</v>
      </c>
      <c r="C2678" t="b">
        <v>1</v>
      </c>
      <c r="D2678" t="str">
        <v>ジュ</v>
      </c>
      <c r="E2678">
        <v>0</v>
      </c>
      <c r="F2678">
        <v>0</v>
      </c>
      <c r="G2678" t="str">
        <v>学者。先生。教養がある人。 孔子の思想を受け継ぐ学問。また、それを学ぶ人。儒教。儒学。 弱い。臆病。 やさしい。やわらか。おだやか。 みじかい。背が低い。</v>
      </c>
      <c r="H2678" t="str">
        <v>#慈愛 #知性</v>
      </c>
      <c r="I2678">
        <v>10</v>
      </c>
      <c r="J2678">
        <v>50</v>
      </c>
      <c r="K2678">
        <v>70</v>
      </c>
      <c r="L2678">
        <v>0</v>
      </c>
      <c r="M2678">
        <f>VLOOKUP(A2678,[1]kanji_data!$A:$N,14,FALSE)</f>
        <v>0</v>
      </c>
    </row>
    <row r="2679">
      <c r="A2679" t="str">
        <v>壌</v>
      </c>
      <c r="B2679">
        <v>16</v>
      </c>
      <c r="C2679" t="b">
        <v>1</v>
      </c>
      <c r="D2679" t="str">
        <v>ジョウ</v>
      </c>
      <c r="E2679" t="str">
        <v>つち</v>
      </c>
      <c r="F2679">
        <v>0</v>
      </c>
      <c r="G2679" t="str">
        <v>つち。やわらかい土。農業に適している肥えた土地。 つち。地。大地。 みのる。ゆたか。農作物が豊かに実る。＝穣</v>
      </c>
      <c r="H2679" t="str">
        <v>#慈愛 #繁栄 #自然</v>
      </c>
      <c r="I2679">
        <v>10</v>
      </c>
      <c r="J2679">
        <v>55</v>
      </c>
      <c r="K2679">
        <v>55</v>
      </c>
      <c r="L2679">
        <v>0</v>
      </c>
      <c r="M2679">
        <f>VLOOKUP(A2679,[1]kanji_data!$A:$N,14,FALSE)</f>
        <v>0</v>
      </c>
    </row>
    <row r="2680">
      <c r="A2680" t="str">
        <v>専</v>
      </c>
      <c r="B2680">
        <v>9</v>
      </c>
      <c r="C2680" t="b">
        <v>1</v>
      </c>
      <c r="D2680" t="str">
        <v>セン</v>
      </c>
      <c r="E2680" t="str">
        <v>もっぱ（ら） ほしいまま</v>
      </c>
      <c r="F2680">
        <v>0</v>
      </c>
      <c r="G2680" t="str">
        <v>もっぱら。ひたすら。いちずに。 ほしいまま。ほしいままにする。もっぱらにする。また、ひとりじめにする。</v>
      </c>
      <c r="I2680">
        <v>10</v>
      </c>
      <c r="J2680">
        <v>95</v>
      </c>
      <c r="K2680">
        <v>30</v>
      </c>
      <c r="L2680">
        <v>1</v>
      </c>
    </row>
    <row r="2681">
      <c r="A2681" t="str">
        <v>磨</v>
      </c>
      <c r="B2681">
        <v>16</v>
      </c>
      <c r="C2681" t="b">
        <v>1</v>
      </c>
      <c r="D2681" t="str">
        <v>マ バ</v>
      </c>
      <c r="E2681" t="str">
        <v>みが（く） す（る） と（ぐ）</v>
      </c>
      <c r="F2681" t="str">
        <v>おさむ きよ</v>
      </c>
      <c r="G2681" t="str">
        <v>うす。ひきうす。石うす。 ひく。うすをひく。うすですりつぶす。 する。すりへる。こする。摩擦する。 みがく。とぐ。 つとむ。物事に励む。</v>
      </c>
      <c r="H2681" t="str">
        <v>#知性 #繁栄</v>
      </c>
      <c r="I2681">
        <v>100</v>
      </c>
      <c r="J2681">
        <v>70</v>
      </c>
      <c r="K2681">
        <v>50</v>
      </c>
      <c r="L2681">
        <v>0</v>
      </c>
      <c r="M2681">
        <f>VLOOKUP(A2681,[1]kanji_data!$A:$N,14,FALSE)</f>
        <v>0</v>
      </c>
    </row>
    <row r="2682">
      <c r="A2682" t="str">
        <v>諭</v>
      </c>
      <c r="B2682">
        <v>16</v>
      </c>
      <c r="C2682" t="b">
        <v>1</v>
      </c>
      <c r="D2682" t="str">
        <v>ユ</v>
      </c>
      <c r="E2682" t="str">
        <v>さと（す）</v>
      </c>
      <c r="F2682" t="str">
        <v>あき いさむ さと さとし さとす さとる つぐ</v>
      </c>
      <c r="G2682" t="str">
        <v>さとす。言いきかせる。教える。教えさとす。 さとる。理解する。よくのみこむ。 たとえる。たとえ。</v>
      </c>
      <c r="H2682" t="str">
        <v>#知性</v>
      </c>
      <c r="I2682">
        <v>95</v>
      </c>
      <c r="J2682">
        <v>90</v>
      </c>
      <c r="K2682">
        <v>45</v>
      </c>
      <c r="L2682">
        <v>0</v>
      </c>
      <c r="M2682">
        <f>VLOOKUP(A2682,[1]kanji_data!$A:$N,14,FALSE)</f>
        <v>0</v>
      </c>
    </row>
    <row r="2683">
      <c r="A2683" t="str">
        <v>染</v>
      </c>
      <c r="B2683">
        <v>9</v>
      </c>
      <c r="C2683" t="b">
        <v>1</v>
      </c>
      <c r="D2683" t="str">
        <v>セン ゼン</v>
      </c>
      <c r="E2683" t="str">
        <v>そ（まる） そ（める） し（み） し（みる）</v>
      </c>
      <c r="F2683">
        <v>0</v>
      </c>
      <c r="G2683" t="str">
        <v>そめる。そまる。布などに色をしみこませる。 そめる。そまる。感化される。影響を受けて性質が変わる。また、病気がうつる。 しみる。しみじみと感じる。深く感じ入る。</v>
      </c>
      <c r="I2683">
        <v>10</v>
      </c>
      <c r="J2683">
        <v>20</v>
      </c>
      <c r="K2683">
        <v>100</v>
      </c>
      <c r="L2683">
        <v>1</v>
      </c>
    </row>
    <row r="2684">
      <c r="A2684" t="str">
        <v>諧</v>
      </c>
      <c r="B2684">
        <v>16</v>
      </c>
      <c r="C2684" t="b">
        <v>1</v>
      </c>
      <c r="D2684" t="str">
        <v>カイ</v>
      </c>
      <c r="E2684" t="str">
        <v>かな（う） たわむ（れ） ととの（う） やわ（らぐ）</v>
      </c>
      <c r="F2684" t="str">
        <v>かのう ゆき</v>
      </c>
      <c r="G2684" t="str">
        <v>うちとける。やわらぐ。 かなう。ととのう。ぴったり合う。調和する。 たいらにする。物価を安定させる。 たわむれ。冗談。おどけ。ユーモア。</v>
      </c>
      <c r="H2684" t="str">
        <v>#調和</v>
      </c>
      <c r="I2684">
        <v>20</v>
      </c>
      <c r="J2684">
        <v>60</v>
      </c>
      <c r="K2684">
        <v>60</v>
      </c>
      <c r="L2684">
        <v>0</v>
      </c>
      <c r="M2684">
        <f>VLOOKUP(A2684,[1]kanji_data!$A:$N,14,FALSE)</f>
        <v>0</v>
      </c>
    </row>
    <row r="2685">
      <c r="A2685" t="str">
        <v>洗</v>
      </c>
      <c r="B2685">
        <v>9</v>
      </c>
      <c r="C2685" t="b">
        <v>1</v>
      </c>
      <c r="D2685" t="str">
        <v>セン セイ</v>
      </c>
      <c r="E2685" t="str">
        <v>あら（う）</v>
      </c>
      <c r="F2685">
        <v>0</v>
      </c>
      <c r="G2685" t="str">
        <v>あらう。すすぐ。あらい清める。きれいにする。 あらい流す。すっかりなくなる。 さっぱりしたさま。うやうやしくつつしむさま。 あらう。よく調べる。疑わしいものを調べあげる。 あらい。魚の切り身を冷水や氷にひたして縮ませた料理。</v>
      </c>
      <c r="I2685">
        <v>10</v>
      </c>
      <c r="J2685">
        <v>60</v>
      </c>
      <c r="K2685">
        <v>50</v>
      </c>
      <c r="L2685">
        <v>1</v>
      </c>
    </row>
    <row r="2686">
      <c r="A2686" t="str">
        <v>錦</v>
      </c>
      <c r="B2686">
        <v>16</v>
      </c>
      <c r="C2686" t="b">
        <v>1</v>
      </c>
      <c r="D2686" t="str">
        <v>キン</v>
      </c>
      <c r="E2686" t="str">
        <v>にしき</v>
      </c>
      <c r="F2686" t="str">
        <v>かね</v>
      </c>
      <c r="G2686" t="str">
        <v>にしき。金糸、銀糸、色糸などで美しい模様を織り出した絹織物。 美しい。にしきのように美しい。</v>
      </c>
      <c r="H2686" t="str">
        <v>#花・彩</v>
      </c>
      <c r="I2686">
        <v>50</v>
      </c>
      <c r="J2686">
        <v>40</v>
      </c>
      <c r="K2686">
        <v>80</v>
      </c>
      <c r="L2686">
        <v>0</v>
      </c>
      <c r="M2686">
        <f>VLOOKUP(A2686,[1]kanji_data!$A:$N,14,FALSE)</f>
        <v>0</v>
      </c>
    </row>
    <row r="2687">
      <c r="A2687" t="str">
        <v>錮</v>
      </c>
      <c r="B2687">
        <v>16</v>
      </c>
      <c r="C2687" t="b">
        <v>1</v>
      </c>
      <c r="D2687" t="str">
        <v>コ</v>
      </c>
      <c r="E2687" t="str">
        <v>かた（い） ながわずら（い） ふさ（ぐ）</v>
      </c>
      <c r="F2687">
        <v>0</v>
      </c>
      <c r="G2687" t="str">
        <v>ふさぐ。溶かした金属ですきまをふさぐ。 とじこめる。出られないようにする。 かたい。しっかりしている。＝固 ながわずらい。長い間治らない病気。</v>
      </c>
      <c r="H2687" t="str">
        <v>#勇気</v>
      </c>
      <c r="I2687">
        <v>10</v>
      </c>
      <c r="J2687">
        <v>50</v>
      </c>
      <c r="K2687">
        <v>50</v>
      </c>
      <c r="L2687">
        <v>1</v>
      </c>
    </row>
    <row r="2688">
      <c r="A2688" t="str">
        <v>冒</v>
      </c>
      <c r="B2688">
        <v>9</v>
      </c>
      <c r="C2688" t="b">
        <v>1</v>
      </c>
      <c r="D2688" t="str">
        <v>ボウ モウ ボク モク</v>
      </c>
      <c r="E2688" t="str">
        <v>おか（す） おお（う） ねた（む） むさぼ（る）</v>
      </c>
      <c r="F2688">
        <v>0</v>
      </c>
      <c r="G2688" t="str">
        <v>おかす。無理にする。強引にする。 おおう。かぶせる。また、おおい。かぶりもの。 むさぼる。 ねたむ。ねたましく思う。 「冒頓」は、匈奴の単于の名。</v>
      </c>
      <c r="I2688">
        <v>10</v>
      </c>
      <c r="J2688">
        <v>85</v>
      </c>
      <c r="K2688">
        <v>30</v>
      </c>
      <c r="L2688">
        <v>1</v>
      </c>
    </row>
    <row r="2689">
      <c r="A2689" t="str">
        <v>峡</v>
      </c>
      <c r="B2689">
        <v>9</v>
      </c>
      <c r="C2689" t="b">
        <v>1</v>
      </c>
      <c r="D2689" t="str">
        <v>キョウ</v>
      </c>
      <c r="E2689" t="str">
        <v>はざま</v>
      </c>
      <c r="F2689">
        <v>0</v>
      </c>
      <c r="G2689" t="str">
        <v>はざま。谷あい。山と山との間の谷。 山と山にはさまれた谷のように細くせまい所。</v>
      </c>
      <c r="I2689">
        <v>10</v>
      </c>
      <c r="J2689">
        <v>50</v>
      </c>
      <c r="K2689">
        <v>50</v>
      </c>
      <c r="L2689">
        <v>1</v>
      </c>
    </row>
    <row r="2690">
      <c r="A2690" t="str">
        <v>緻</v>
      </c>
      <c r="B2690">
        <v>16</v>
      </c>
      <c r="C2690" t="b">
        <v>1</v>
      </c>
      <c r="D2690" t="str">
        <v>チ</v>
      </c>
      <c r="E2690" t="str">
        <v>こま（かい）</v>
      </c>
      <c r="F2690">
        <v>0</v>
      </c>
      <c r="G2690" t="str">
        <v>こまかい。きめこまかい。くわしい。</v>
      </c>
      <c r="H2690" t="str">
        <v>#知性</v>
      </c>
      <c r="I2690">
        <v>10</v>
      </c>
      <c r="J2690">
        <v>55</v>
      </c>
      <c r="K2690">
        <v>55</v>
      </c>
      <c r="L2690">
        <v>0</v>
      </c>
      <c r="M2690">
        <f>VLOOKUP(A2690,[1]kanji_data!$A:$N,14,FALSE)</f>
        <v>0</v>
      </c>
    </row>
    <row r="2691">
      <c r="A2691" t="str">
        <v>諦</v>
      </c>
      <c r="B2691">
        <v>16</v>
      </c>
      <c r="C2691" t="b">
        <v>1</v>
      </c>
      <c r="D2691" t="str">
        <v>テイ タイ</v>
      </c>
      <c r="E2691" t="str">
        <v>あきら（める） つまび（らか） まこと</v>
      </c>
      <c r="F2691">
        <v>0</v>
      </c>
      <c r="G2691" t="str">
        <v>つまびらか。明らか。明らかにする。 まこと。真理。さとり。 さけぶ。なく。 あきらめる。</v>
      </c>
      <c r="H2691" t="str">
        <v>#知性</v>
      </c>
      <c r="I2691">
        <v>10</v>
      </c>
      <c r="J2691">
        <v>50</v>
      </c>
      <c r="K2691">
        <v>50</v>
      </c>
      <c r="L2691">
        <v>1</v>
      </c>
    </row>
    <row r="2692">
      <c r="A2692" t="str">
        <v>弧</v>
      </c>
      <c r="B2692">
        <v>9</v>
      </c>
      <c r="C2692" t="b">
        <v>1</v>
      </c>
      <c r="D2692" t="str">
        <v>コ</v>
      </c>
      <c r="E2692" t="str">
        <v>きゆみ</v>
      </c>
      <c r="F2692">
        <v>0</v>
      </c>
      <c r="G2692" t="str">
        <v>きゆみ。ゆみ。木でできた弓。 弓なりにまがった線。 数学における、円周や曲線の一部。</v>
      </c>
      <c r="I2692">
        <v>10</v>
      </c>
      <c r="J2692">
        <v>55</v>
      </c>
      <c r="K2692">
        <v>55</v>
      </c>
      <c r="L2692">
        <v>1</v>
      </c>
    </row>
    <row r="2693">
      <c r="A2693" t="str">
        <v>訂</v>
      </c>
      <c r="B2693">
        <v>9</v>
      </c>
      <c r="C2693" t="b">
        <v>1</v>
      </c>
      <c r="D2693" t="str">
        <v>テイ</v>
      </c>
      <c r="E2693" t="str">
        <v>さだ（める） ただ（す）</v>
      </c>
      <c r="F2693">
        <v>0</v>
      </c>
      <c r="G2693" t="str">
        <v>ただす。間違いをなおす。あらためる。 さだめる。決める。制定する。</v>
      </c>
      <c r="I2693">
        <v>10</v>
      </c>
      <c r="J2693">
        <v>65</v>
      </c>
      <c r="K2693">
        <v>55</v>
      </c>
      <c r="L2693">
        <v>1</v>
      </c>
    </row>
    <row r="2694">
      <c r="A2694" t="str">
        <v>赴</v>
      </c>
      <c r="B2694">
        <v>9</v>
      </c>
      <c r="C2694" t="b">
        <v>1</v>
      </c>
      <c r="D2694" t="str">
        <v>フ</v>
      </c>
      <c r="E2694" t="str">
        <v>おもむ（く） つ（げる）</v>
      </c>
      <c r="F2694" t="str">
        <v>はや ゆき</v>
      </c>
      <c r="G2694" t="str">
        <v>おもむく。行く。急いでいく。 告げる。人の死を知らせる。</v>
      </c>
      <c r="I2694">
        <v>5</v>
      </c>
      <c r="J2694">
        <v>85</v>
      </c>
      <c r="K2694">
        <v>30</v>
      </c>
      <c r="L2694">
        <v>1</v>
      </c>
    </row>
    <row r="2695">
      <c r="A2695" t="str">
        <v>叡</v>
      </c>
      <c r="B2695">
        <v>16</v>
      </c>
      <c r="C2695" t="b">
        <v>0</v>
      </c>
      <c r="D2695" t="str">
        <v>エイ</v>
      </c>
      <c r="E2695" t="str">
        <v>あき（らか） かしこ（い） さと（い）</v>
      </c>
      <c r="F2695" t="str">
        <v>え さとし とし まさ</v>
      </c>
      <c r="G2695" t="str">
        <v>あきらか。かしこい。さとい。道理に明るい。物事を奥深くまで見通す。 天子の考えや行動を敬っていう語。</v>
      </c>
      <c r="H2695" t="str">
        <v>#天空 #知性</v>
      </c>
      <c r="I2695">
        <v>80</v>
      </c>
      <c r="J2695">
        <v>65</v>
      </c>
      <c r="K2695">
        <v>65</v>
      </c>
      <c r="L2695">
        <v>0</v>
      </c>
      <c r="M2695">
        <f>VLOOKUP(A2695,[1]kanji_data!$A:$N,14,FALSE)</f>
        <v>0</v>
      </c>
    </row>
    <row r="2696">
      <c r="A2696" t="str">
        <v>燕</v>
      </c>
      <c r="B2696">
        <v>16</v>
      </c>
      <c r="C2696" t="b">
        <v>0</v>
      </c>
      <c r="D2696" t="str">
        <v>エン</v>
      </c>
      <c r="E2696" t="str">
        <v>くつろ（ぐ） さかもり つばめ</v>
      </c>
      <c r="F2696">
        <v>0</v>
      </c>
      <c r="G2696" t="str">
        <v>くつろぐ。安んずる。安息する。 さかもり。酒を飲む。酒を酌み交わす。 つばめ。鳥の名。ツバメ科の鳥。渡り鳥の一種。 古代中国の国名。戦国時代の七雄の一つ。また、古代中国の地名。</v>
      </c>
      <c r="H2696" t="str">
        <v>#勇気</v>
      </c>
      <c r="I2696">
        <v>10</v>
      </c>
      <c r="J2696">
        <v>50</v>
      </c>
      <c r="K2696">
        <v>55</v>
      </c>
      <c r="L2696">
        <v>0</v>
      </c>
      <c r="M2696">
        <f>VLOOKUP(A2696,[1]kanji_data!$A:$N,14,FALSE)</f>
        <v>0</v>
      </c>
    </row>
    <row r="2697">
      <c r="A2697" t="str">
        <v>胞</v>
      </c>
      <c r="B2697">
        <v>9</v>
      </c>
      <c r="C2697" t="b">
        <v>1</v>
      </c>
      <c r="D2697" t="str">
        <v>ホウ</v>
      </c>
      <c r="E2697" t="str">
        <v>はら</v>
      </c>
      <c r="F2697">
        <v>0</v>
      </c>
      <c r="G2697" t="str">
        <v>えな。胎児を包む膜。 はら。母親の体内。 同一の父母から生まれた兄弟姉妹。 くりや。台所。料理場。また、料理人。</v>
      </c>
      <c r="I2697">
        <v>10</v>
      </c>
      <c r="J2697">
        <v>45</v>
      </c>
      <c r="K2697">
        <v>70</v>
      </c>
      <c r="L2697">
        <v>1</v>
      </c>
    </row>
    <row r="2698">
      <c r="A2698" t="str">
        <v>厘</v>
      </c>
      <c r="B2698">
        <v>9</v>
      </c>
      <c r="C2698" t="b">
        <v>1</v>
      </c>
      <c r="D2698" t="str">
        <v>リン テン デン リ</v>
      </c>
      <c r="E2698">
        <v>0</v>
      </c>
      <c r="F2698">
        <v>0</v>
      </c>
      <c r="G2698" t="str">
        <v>りん。長さの単位で、一尺の千分の一。 りん。重さの単位で、一両の千分の一。 りん。面積の単位で、一畝の百分の一。 りん。割合の単位で、一割の百分の一。 店。屋敷。＝廛（俗字や略字とされることもある。） りん。貨幣・重さなどの単位。 貨幣の単位で、一銭の十分の一。 重さの単位で、一匁の百分の一。</v>
      </c>
      <c r="I2698">
        <v>10</v>
      </c>
      <c r="J2698">
        <v>70</v>
      </c>
      <c r="K2698">
        <v>50</v>
      </c>
      <c r="L2698">
        <v>1</v>
      </c>
    </row>
    <row r="2699">
      <c r="A2699" t="str">
        <v>姻</v>
      </c>
      <c r="B2699">
        <v>9</v>
      </c>
      <c r="C2699" t="b">
        <v>1</v>
      </c>
      <c r="D2699" t="str">
        <v>イン</v>
      </c>
      <c r="E2699" t="str">
        <v>とつ（ぐ）</v>
      </c>
      <c r="F2699">
        <v>0</v>
      </c>
      <c r="G2699" t="str">
        <v>とつぐ。嫁にいく。結婚する。 結婚によって発生した親族関係。</v>
      </c>
      <c r="I2699">
        <v>10</v>
      </c>
      <c r="J2699">
        <v>35</v>
      </c>
      <c r="K2699">
        <v>70</v>
      </c>
      <c r="L2699">
        <v>1</v>
      </c>
    </row>
    <row r="2700">
      <c r="A2700" t="str">
        <v>甚</v>
      </c>
      <c r="B2700">
        <v>9</v>
      </c>
      <c r="C2700" t="b">
        <v>1</v>
      </c>
      <c r="D2700" t="str">
        <v>ジン</v>
      </c>
      <c r="E2700" t="str">
        <v>はなは（だ） はなは（だしい） いた（く）</v>
      </c>
      <c r="F2700" t="str">
        <v>おもし しげ たね とう ふか やす</v>
      </c>
      <c r="G2700" t="str">
        <v>はなはだ。はなはだしい。度を越えている。ひどい。いたく。非常に。 なに。なんぞ。どれ。どんな。</v>
      </c>
      <c r="I2700">
        <v>5</v>
      </c>
      <c r="J2700">
        <v>50</v>
      </c>
      <c r="K2700">
        <v>50</v>
      </c>
      <c r="L2700">
        <v>0</v>
      </c>
      <c r="M2700">
        <f>VLOOKUP(A2700,[1]kanji_data!$A:$N,14,FALSE)</f>
        <v>0</v>
      </c>
    </row>
    <row r="2701">
      <c r="A2701" t="str">
        <v>橘</v>
      </c>
      <c r="B2701">
        <v>16</v>
      </c>
      <c r="C2701" t="b">
        <v>0</v>
      </c>
      <c r="D2701" t="str">
        <v>キツ</v>
      </c>
      <c r="E2701" t="str">
        <v>たちばな</v>
      </c>
      <c r="F2701" t="str">
        <v>き</v>
      </c>
      <c r="G2701" t="str">
        <v>くねんぼ。みかんの一種。 たちばな。やまとたちばな。にっぽんたちばな。ミカン科の常緑小高木。 たちばな。みかんの類の総称。</v>
      </c>
      <c r="H2701" t="str">
        <v>#花・彩</v>
      </c>
      <c r="I2701">
        <v>50</v>
      </c>
      <c r="J2701">
        <v>45</v>
      </c>
      <c r="K2701">
        <v>65</v>
      </c>
      <c r="L2701">
        <v>0</v>
      </c>
      <c r="M2701">
        <f>VLOOKUP(A2701,[1]kanji_data!$A:$N,14,FALSE)</f>
        <v>0</v>
      </c>
    </row>
    <row r="2702">
      <c r="A2702" t="str">
        <v>按</v>
      </c>
      <c r="B2702">
        <v>9</v>
      </c>
      <c r="C2702" t="b">
        <v>0</v>
      </c>
      <c r="D2702" t="str">
        <v>アン</v>
      </c>
      <c r="E2702" t="str">
        <v>おさ（える） かんが（える） しら（べる）</v>
      </c>
      <c r="F2702">
        <v>0</v>
      </c>
      <c r="G2702" t="str">
        <v>おさえる。上からおさえつける。おしとどめる。 しらべる。かんがえる。よく調べて考える。</v>
      </c>
      <c r="I2702">
        <v>10</v>
      </c>
      <c r="J2702">
        <v>65</v>
      </c>
      <c r="K2702">
        <v>55</v>
      </c>
      <c r="L2702">
        <v>1</v>
      </c>
    </row>
    <row r="2703">
      <c r="A2703" t="str">
        <v>迦</v>
      </c>
      <c r="B2703">
        <v>9</v>
      </c>
      <c r="C2703" t="b">
        <v>0</v>
      </c>
      <c r="D2703" t="str">
        <v>カ</v>
      </c>
      <c r="E2703">
        <v>0</v>
      </c>
      <c r="F2703">
        <v>0</v>
      </c>
      <c r="G2703" t="str">
        <v>出会う。めぐりあう。 梵語の音訳に用いる字。</v>
      </c>
      <c r="I2703">
        <v>10</v>
      </c>
      <c r="J2703">
        <v>45</v>
      </c>
      <c r="K2703">
        <v>70</v>
      </c>
      <c r="L2703">
        <v>0</v>
      </c>
      <c r="M2703">
        <f>VLOOKUP(A2703,[1]kanji_data!$A:$N,14,FALSE)</f>
        <v>0</v>
      </c>
    </row>
    <row r="2704">
      <c r="A2704" t="str">
        <v>臥</v>
      </c>
      <c r="B2704">
        <v>9</v>
      </c>
      <c r="C2704" t="b">
        <v>0</v>
      </c>
      <c r="D2704" t="str">
        <v>ガ</v>
      </c>
      <c r="E2704" t="str">
        <v>ふしど ふ（す）</v>
      </c>
      <c r="F2704">
        <v>0</v>
      </c>
      <c r="G2704" t="str">
        <v>ふしど。ねま。寝室。 ふす。ふせる。ねる。</v>
      </c>
      <c r="I2704">
        <v>10</v>
      </c>
      <c r="J2704">
        <v>100</v>
      </c>
      <c r="K2704">
        <v>30</v>
      </c>
      <c r="L2704">
        <v>0</v>
      </c>
      <c r="M2704">
        <f>VLOOKUP(A2704,[1]kanji_data!$A:$N,14,FALSE)</f>
        <v>0</v>
      </c>
    </row>
    <row r="2705">
      <c r="A2705" t="str">
        <v>祇</v>
      </c>
      <c r="B2705">
        <v>9</v>
      </c>
      <c r="C2705" t="b">
        <v>0</v>
      </c>
      <c r="D2705" t="str">
        <v>ギ シ</v>
      </c>
      <c r="E2705" t="str">
        <v>くにつかみ</v>
      </c>
      <c r="F2705" t="str">
        <v>けさ つみ のり まさ もと やす</v>
      </c>
      <c r="G2705" t="str">
        <v>くにつかみ。地の神。土地の神。 「ただ・・・のみ」と読み、限定・強調の意。</v>
      </c>
      <c r="I2705">
        <v>5</v>
      </c>
      <c r="J2705">
        <v>45</v>
      </c>
      <c r="K2705">
        <v>70</v>
      </c>
      <c r="L2705">
        <v>0</v>
      </c>
      <c r="M2705">
        <f>VLOOKUP(A2705,[1]kanji_data!$A:$N,14,FALSE)</f>
        <v>0</v>
      </c>
    </row>
    <row r="2706">
      <c r="A2706" t="str">
        <v>錫</v>
      </c>
      <c r="B2706">
        <v>16</v>
      </c>
      <c r="C2706" t="b">
        <v>0</v>
      </c>
      <c r="D2706" t="str">
        <v>シャク セキ シ</v>
      </c>
      <c r="E2706" t="str">
        <v>すず たま（う） たまもの</v>
      </c>
      <c r="F2706">
        <v>0</v>
      </c>
      <c r="G2706" t="str">
        <v>すず。銀白色の金属の名。 僧侶や道士などが持つ杖。 たまもの。いただきもの。めぐみ。 たまう。与える。ほどこす。 たまう。たまわる。たまもの。＝賜</v>
      </c>
      <c r="H2706" t="str">
        <v>#幸福 #慈愛</v>
      </c>
      <c r="I2706">
        <v>40</v>
      </c>
      <c r="J2706">
        <v>60</v>
      </c>
      <c r="K2706">
        <v>50</v>
      </c>
      <c r="L2706">
        <v>0</v>
      </c>
      <c r="M2706">
        <f>VLOOKUP(A2706,[1]kanji_data!$A:$N,14,FALSE)</f>
        <v>0</v>
      </c>
    </row>
    <row r="2707">
      <c r="A2707" t="str">
        <v>輯</v>
      </c>
      <c r="B2707">
        <v>16</v>
      </c>
      <c r="C2707" t="b">
        <v>0</v>
      </c>
      <c r="D2707" t="str">
        <v>シュウ</v>
      </c>
      <c r="E2707" t="str">
        <v>あつ（める） やわ（らぐ）</v>
      </c>
      <c r="F2707">
        <v>0</v>
      </c>
      <c r="G2707" t="str">
        <v>あつめる。あつまる。＝集 やわらぐ。やわらげる。 おさめる。とりおさめる。 なす。こしらえあげる。</v>
      </c>
      <c r="H2707" t="str">
        <v>#慈愛</v>
      </c>
      <c r="I2707">
        <v>40</v>
      </c>
      <c r="J2707">
        <v>50</v>
      </c>
      <c r="K2707">
        <v>75</v>
      </c>
      <c r="L2707">
        <v>0</v>
      </c>
      <c r="M2707">
        <f>VLOOKUP(A2707,[1]kanji_data!$A:$N,14,FALSE)</f>
        <v>0</v>
      </c>
    </row>
    <row r="2708">
      <c r="A2708" t="str">
        <v>衿</v>
      </c>
      <c r="B2708">
        <v>9</v>
      </c>
      <c r="C2708" t="b">
        <v>0</v>
      </c>
      <c r="D2708" t="str">
        <v>キン</v>
      </c>
      <c r="E2708" t="str">
        <v>えり</v>
      </c>
      <c r="F2708">
        <v>0</v>
      </c>
      <c r="G2708" t="str">
        <v>えり。衣服のえり。着物のえり。えりくび。 結ぶ。帯びる。身にまとう。</v>
      </c>
      <c r="I2708">
        <v>10</v>
      </c>
      <c r="J2708">
        <v>55</v>
      </c>
      <c r="K2708">
        <v>60</v>
      </c>
      <c r="L2708">
        <v>0</v>
      </c>
      <c r="M2708">
        <f>VLOOKUP(A2708,[1]kanji_data!$A:$N,14,FALSE)</f>
        <v>0</v>
      </c>
    </row>
    <row r="2709">
      <c r="A2709" t="str">
        <v>盃</v>
      </c>
      <c r="B2709">
        <v>9</v>
      </c>
      <c r="C2709" t="b">
        <v>0</v>
      </c>
      <c r="D2709" t="str">
        <v>ハイ</v>
      </c>
      <c r="E2709" t="str">
        <v>さかずき</v>
      </c>
      <c r="F2709">
        <v>0</v>
      </c>
      <c r="G2709" t="str">
        <v>さかずき。酒を飲むためのうつわ。 容器に入れた液体などを数えることば。</v>
      </c>
      <c r="I2709">
        <v>10</v>
      </c>
      <c r="J2709">
        <v>20</v>
      </c>
      <c r="K2709">
        <v>100</v>
      </c>
      <c r="L2709">
        <v>1</v>
      </c>
    </row>
    <row r="2710">
      <c r="A2710" t="str">
        <v>者</v>
      </c>
      <c r="B2710">
        <v>8</v>
      </c>
      <c r="C2710" t="b">
        <v>0</v>
      </c>
      <c r="D2710" t="str">
        <v>シャ</v>
      </c>
      <c r="E2710" t="str">
        <v>もの</v>
      </c>
      <c r="F2710">
        <v>0</v>
      </c>
      <c r="G2710" t="str">
        <v>特定の人やものを指し示すことば。 「は」「ものは」「とは」と読み、主語を強調することば。 時を示す語に添える助字。発音はしない。例：今者（いま） 昔者（むかし）</v>
      </c>
      <c r="I2710">
        <v>10</v>
      </c>
      <c r="J2710">
        <v>85</v>
      </c>
      <c r="K2710">
        <v>35</v>
      </c>
      <c r="L2710">
        <v>1</v>
      </c>
    </row>
    <row r="2711">
      <c r="A2711" t="str">
        <v>卽</v>
      </c>
      <c r="B2711">
        <v>9</v>
      </c>
      <c r="C2711" t="b">
        <v>0</v>
      </c>
      <c r="D2711" t="str">
        <v>ソク ショク</v>
      </c>
      <c r="E2711" t="str">
        <v>すなわ（ち） つ（く）</v>
      </c>
      <c r="F2711">
        <v>0</v>
      </c>
      <c r="G2711" t="str">
        <v>つく。位置につく。地位につく。 つく。近づく。くっつく。 「すなわち」と読み、「すぐに」「ただちに」の意を表す。 「すなわち」と読み、「つまり」「ほかでもなく」「とりもなおさず」の意を表す。 「すなわち」と読み、「～であれば～となる」の意を表す。 「もし」と読み、「もし～ならば」と仮定の意を表す。</v>
      </c>
      <c r="I2711">
        <v>10</v>
      </c>
      <c r="J2711">
        <v>50</v>
      </c>
      <c r="K2711">
        <v>50</v>
      </c>
      <c r="L2711">
        <v>1</v>
      </c>
    </row>
    <row r="2712">
      <c r="A2712" t="str">
        <v>校</v>
      </c>
      <c r="B2712">
        <v>10</v>
      </c>
      <c r="C2712" t="b">
        <v>1</v>
      </c>
      <c r="D2712" t="str">
        <v>コウ キョウ</v>
      </c>
      <c r="E2712" t="str">
        <v>あぜ かせ かんが（える） くら（べる）</v>
      </c>
      <c r="F2712">
        <v>0</v>
      </c>
      <c r="G2712" t="str">
        <v>まなびや。学校。学舎。 陣営に設けた柵。転じて、陣営の指揮官。 くらべる。かんがえる。照らし合わせて考える。また、よく調べて誤りを正す。 かせ。罪人の首・手・足などにはめる刑具。</v>
      </c>
      <c r="I2712">
        <v>10</v>
      </c>
      <c r="J2712">
        <v>60</v>
      </c>
      <c r="K2712">
        <v>60</v>
      </c>
      <c r="L2712">
        <v>1</v>
      </c>
    </row>
    <row r="2713">
      <c r="A2713" t="str">
        <v>黛</v>
      </c>
      <c r="B2713">
        <v>16</v>
      </c>
      <c r="C2713" t="b">
        <v>0</v>
      </c>
      <c r="D2713" t="str">
        <v>タイ</v>
      </c>
      <c r="E2713" t="str">
        <v>かきまゆ まゆ まゆずみ</v>
      </c>
      <c r="F2713">
        <v>0</v>
      </c>
      <c r="G2713" t="str">
        <v>まゆずみ。眉をかくための青黒い墨。 かきまゆ。ひきまゆ。まゆずみでかいたまゆ。 まゆ。女性のまゆ。 青黒い色。青々とした山や木々のたとえ。</v>
      </c>
      <c r="H2713" t="str">
        <v>#自然</v>
      </c>
      <c r="I2713">
        <v>10</v>
      </c>
      <c r="J2713">
        <v>25</v>
      </c>
      <c r="K2713">
        <v>85</v>
      </c>
      <c r="L2713">
        <v>1</v>
      </c>
    </row>
    <row r="2714">
      <c r="A2714" t="str">
        <v>酒</v>
      </c>
      <c r="B2714">
        <v>10</v>
      </c>
      <c r="C2714" t="b">
        <v>1</v>
      </c>
      <c r="D2714" t="str">
        <v>シュ シュウ</v>
      </c>
      <c r="E2714" t="str">
        <v>さか さけ</v>
      </c>
      <c r="F2714" t="str">
        <v>み</v>
      </c>
      <c r="G2714" t="str">
        <v>さけ。アルコール分を含む飲み物。 さけを飲む。さかもり。</v>
      </c>
      <c r="I2714">
        <v>5</v>
      </c>
      <c r="J2714">
        <v>20</v>
      </c>
      <c r="K2714">
        <v>100</v>
      </c>
      <c r="L2714">
        <v>1</v>
      </c>
    </row>
    <row r="2715">
      <c r="A2715" t="str">
        <v>息</v>
      </c>
      <c r="B2715">
        <v>10</v>
      </c>
      <c r="C2715" t="b">
        <v>1</v>
      </c>
      <c r="D2715" t="str">
        <v>ソク</v>
      </c>
      <c r="E2715" t="str">
        <v>いき いこ（う） やす（む） や（む）</v>
      </c>
      <c r="F2715">
        <v>0</v>
      </c>
      <c r="G2715" t="str">
        <v>いき。呼吸。口から吸ったり吐いたりするいき。 生きる。生存する。また、生まれ育つ。 いこう。やすむ。休憩する。 子ども。また、息子。 やむ。やめる。終わる。途絶える。 増える。増す。数や量が多くなる。</v>
      </c>
      <c r="I2715">
        <v>10</v>
      </c>
      <c r="J2715">
        <v>95</v>
      </c>
      <c r="K2715">
        <v>30</v>
      </c>
      <c r="L2715">
        <v>1</v>
      </c>
    </row>
    <row r="2716">
      <c r="A2716" t="str">
        <v>案</v>
      </c>
      <c r="B2716">
        <v>10</v>
      </c>
      <c r="C2716" t="b">
        <v>1</v>
      </c>
      <c r="D2716" t="str">
        <v>アン</v>
      </c>
      <c r="E2716" t="str">
        <v>かんが（える） つくえ</v>
      </c>
      <c r="F2716">
        <v>0</v>
      </c>
      <c r="G2716" t="str">
        <v>つくえ。台。 かんがえる。しらべる。 かんがえ。かんがえた内容。 書類。文書。公文書。 あん。予想。また、計画。 あんずる。心配する。</v>
      </c>
      <c r="I2716">
        <v>10</v>
      </c>
      <c r="J2716">
        <v>65</v>
      </c>
      <c r="K2716">
        <v>55</v>
      </c>
      <c r="L2716">
        <v>0</v>
      </c>
      <c r="M2716">
        <f>VLOOKUP(A2716,[1]kanji_data!$A:$N,14,FALSE)</f>
        <v>0</v>
      </c>
    </row>
    <row r="2717">
      <c r="A2717" t="str">
        <v>郡</v>
      </c>
      <c r="B2717">
        <v>10</v>
      </c>
      <c r="C2717" t="b">
        <v>1</v>
      </c>
      <c r="D2717" t="str">
        <v>グン クン</v>
      </c>
      <c r="E2717" t="str">
        <v>こおり</v>
      </c>
      <c r="F2717">
        <v>0</v>
      </c>
      <c r="G2717" t="str">
        <v>こおり。ぐん。周代から宋代までの行政区画の一つ。 ぐん。都道府県の下の行政区画の単位。</v>
      </c>
      <c r="I2717">
        <v>10</v>
      </c>
      <c r="J2717">
        <v>50</v>
      </c>
      <c r="K2717">
        <v>50</v>
      </c>
      <c r="L2717">
        <v>1</v>
      </c>
    </row>
    <row r="2718">
      <c r="A2718" t="str">
        <v>憐</v>
      </c>
      <c r="B2718">
        <v>16</v>
      </c>
      <c r="C2718" t="b">
        <v>0</v>
      </c>
      <c r="D2718" t="str">
        <v>レン</v>
      </c>
      <c r="E2718" t="str">
        <v>あわ（れみ） あわ（れむ）</v>
      </c>
      <c r="F2718" t="str">
        <v>れ</v>
      </c>
      <c r="G2718" t="str">
        <v>あわれむ。あわれみ。気の毒に思う。 いとおしく思う。かわいがって大切にする。</v>
      </c>
      <c r="H2718" t="str">
        <v>#慈愛</v>
      </c>
      <c r="I2718">
        <v>15</v>
      </c>
      <c r="J2718">
        <v>50</v>
      </c>
      <c r="K2718">
        <v>50</v>
      </c>
      <c r="L2718">
        <v>1</v>
      </c>
    </row>
    <row r="2719">
      <c r="A2719" t="str">
        <v>候</v>
      </c>
      <c r="B2719">
        <v>10</v>
      </c>
      <c r="C2719" t="b">
        <v>1</v>
      </c>
      <c r="D2719" t="str">
        <v>コウ</v>
      </c>
      <c r="E2719" t="str">
        <v>そうろう うかが（う） さぶら（う） ま（つ）</v>
      </c>
      <c r="F2719">
        <v>0</v>
      </c>
      <c r="G2719" t="str">
        <v>うかがう。さぐる。様子見。 まつ。待ち受ける。 きざし。例：兆候 身分の高い人のそばに仕える。 そうろう。さぶらう。「あり」「居り」などの謙譲語、または丁寧語。</v>
      </c>
      <c r="I2719">
        <v>10</v>
      </c>
      <c r="J2719">
        <v>20</v>
      </c>
      <c r="K2719">
        <v>100</v>
      </c>
      <c r="L2719">
        <v>0</v>
      </c>
      <c r="M2719">
        <f>VLOOKUP(A2719,[1]kanji_data!$A:$N,14,FALSE)</f>
        <v>0</v>
      </c>
    </row>
    <row r="2720">
      <c r="A2720" t="str">
        <v>橙</v>
      </c>
      <c r="B2720">
        <v>16</v>
      </c>
      <c r="C2720" t="b">
        <v>0</v>
      </c>
      <c r="D2720" t="str">
        <v>トウ</v>
      </c>
      <c r="E2720" t="str">
        <v>だいだい</v>
      </c>
      <c r="F2720" t="str">
        <v>と ゆず</v>
      </c>
      <c r="G2720" t="str">
        <v>だいだい。ミカン科の常緑小高木。 いす。腰かけ。腰をかける台。</v>
      </c>
      <c r="H2720" t="str">
        <v>#自然 #花・彩</v>
      </c>
      <c r="I2720">
        <v>90</v>
      </c>
      <c r="J2720">
        <v>70</v>
      </c>
      <c r="K2720">
        <v>50</v>
      </c>
      <c r="L2720">
        <v>0</v>
      </c>
      <c r="M2720">
        <f>VLOOKUP(A2720,[1]kanji_data!$A:$N,14,FALSE)</f>
        <v>0</v>
      </c>
    </row>
    <row r="2721">
      <c r="A2721" t="str">
        <v>澪</v>
      </c>
      <c r="B2721">
        <v>16</v>
      </c>
      <c r="C2721" t="b">
        <v>0</v>
      </c>
      <c r="D2721" t="str">
        <v>レイ</v>
      </c>
      <c r="E2721" t="str">
        <v>みお</v>
      </c>
      <c r="F2721" t="str">
        <v>れ</v>
      </c>
      <c r="G2721" t="str">
        <v>川の名。 みお（水脈・水緒）。舟が航行するための水路。</v>
      </c>
      <c r="H2721" t="str">
        <v>#海・水</v>
      </c>
      <c r="I2721">
        <v>50</v>
      </c>
      <c r="J2721">
        <v>60</v>
      </c>
      <c r="K2721">
        <v>65</v>
      </c>
      <c r="L2721">
        <v>0</v>
      </c>
      <c r="M2721">
        <f>VLOOKUP(A2721,[1]kanji_data!$A:$N,14,FALSE)</f>
        <v>0</v>
      </c>
    </row>
    <row r="2722">
      <c r="A2722" t="str">
        <v>燎</v>
      </c>
      <c r="B2722">
        <v>16</v>
      </c>
      <c r="C2722" t="b">
        <v>0</v>
      </c>
      <c r="D2722" t="str">
        <v>リョウ</v>
      </c>
      <c r="E2722" t="str">
        <v>かがりび や（く）</v>
      </c>
      <c r="F2722" t="str">
        <v>あき あきら</v>
      </c>
      <c r="G2722" t="str">
        <v>かがりび。夜間に周囲を照らすため、屋外で焚（た）く火。 やく。焼き払う。燃やす。燃える。 明らか。明るい。明るく照らす。 柴を焼いて天を祭る。</v>
      </c>
      <c r="H2722" t="str">
        <v>#天空</v>
      </c>
      <c r="I2722">
        <v>90</v>
      </c>
      <c r="J2722">
        <v>95</v>
      </c>
      <c r="K2722">
        <v>40</v>
      </c>
      <c r="L2722">
        <v>0</v>
      </c>
      <c r="M2722">
        <f>VLOOKUP(A2722,[1]kanji_data!$A:$N,14,FALSE)</f>
        <v>0</v>
      </c>
    </row>
    <row r="2723">
      <c r="A2723" t="str">
        <v>蕾</v>
      </c>
      <c r="B2723">
        <v>16</v>
      </c>
      <c r="C2723" t="b">
        <v>0</v>
      </c>
      <c r="D2723" t="str">
        <v>ライ</v>
      </c>
      <c r="E2723" t="str">
        <v>つぼみ つぼ（む）</v>
      </c>
      <c r="F2723" t="str">
        <v>ら</v>
      </c>
      <c r="G2723" t="str">
        <v>つぼみ。花が開く前の状態。</v>
      </c>
      <c r="H2723" t="str">
        <v>#花・彩</v>
      </c>
      <c r="I2723">
        <v>95</v>
      </c>
      <c r="J2723">
        <v>50</v>
      </c>
      <c r="K2723">
        <v>55</v>
      </c>
      <c r="L2723">
        <v>0</v>
      </c>
      <c r="M2723">
        <f>VLOOKUP(A2723,[1]kanji_data!$A:$N,14,FALSE)</f>
        <v>0</v>
      </c>
    </row>
    <row r="2724">
      <c r="A2724" t="str">
        <v>燈</v>
      </c>
      <c r="B2724">
        <v>16</v>
      </c>
      <c r="C2724" t="b">
        <v>0</v>
      </c>
      <c r="D2724" t="str">
        <v>トウ ドン</v>
      </c>
      <c r="E2724" t="str">
        <v>ひ あかし あかり とぼし とぼ（す） ともし ともしび とも（す） とも（る）</v>
      </c>
      <c r="F2724">
        <v>0</v>
      </c>
      <c r="G2724" t="str">
        <v>ひ。あかり。あかし。ともしび。火をともす道具。 世の闇を照らす仏の教え。</v>
      </c>
      <c r="H2724" t="str">
        <v>#天空</v>
      </c>
      <c r="I2724">
        <v>40</v>
      </c>
      <c r="J2724">
        <v>45</v>
      </c>
      <c r="K2724">
        <v>60</v>
      </c>
      <c r="L2724">
        <v>0</v>
      </c>
      <c r="M2724">
        <f>VLOOKUP(A2724,[1]kanji_data!$A:$N,14,FALSE)</f>
        <v>0</v>
      </c>
    </row>
    <row r="2725">
      <c r="A2725" t="str">
        <v>龍</v>
      </c>
      <c r="B2725">
        <v>16</v>
      </c>
      <c r="C2725" t="b">
        <v>0</v>
      </c>
      <c r="D2725" t="str">
        <v>リュウ リョウ リン</v>
      </c>
      <c r="E2725" t="str">
        <v>たつ</v>
      </c>
      <c r="F2725" t="str">
        <v>かみ きみ しげみ とお とおる めぐむ</v>
      </c>
      <c r="G2725" t="str">
        <v>たつ。りゅう。伝説上の動物。 天子や英雄のたとえ。 高さが八尺以上の馬。優れた馬。</v>
      </c>
      <c r="H2725" t="str">
        <v>#勇気</v>
      </c>
      <c r="I2725">
        <v>70</v>
      </c>
      <c r="J2725">
        <v>100</v>
      </c>
      <c r="K2725">
        <v>25</v>
      </c>
      <c r="L2725">
        <v>0</v>
      </c>
      <c r="M2725">
        <f>VLOOKUP(A2725,[1]kanji_data!$A:$N,14,FALSE)</f>
        <v>0</v>
      </c>
    </row>
    <row r="2726">
      <c r="A2726" t="str">
        <v>曉</v>
      </c>
      <c r="B2726">
        <v>16</v>
      </c>
      <c r="C2726" t="b">
        <v>0</v>
      </c>
      <c r="D2726" t="str">
        <v>ギョウ キョウ</v>
      </c>
      <c r="E2726" t="str">
        <v>あかつき さと（る）</v>
      </c>
      <c r="F2726">
        <v>0</v>
      </c>
      <c r="G2726" t="str">
        <v>あかつき。明け方。夜明け。 さとる。わかる。明らかになる。 さとす。教えさとす。よくわからせる。</v>
      </c>
      <c r="H2726" t="str">
        <v>#知性</v>
      </c>
      <c r="I2726">
        <v>40</v>
      </c>
      <c r="J2726">
        <v>65</v>
      </c>
      <c r="K2726">
        <v>50</v>
      </c>
      <c r="L2726">
        <v>0</v>
      </c>
      <c r="M2726">
        <f>VLOOKUP(A2726,[1]kanji_data!$A:$N,14,FALSE)</f>
        <v>0</v>
      </c>
    </row>
    <row r="2727">
      <c r="A2727" t="str">
        <v>勳</v>
      </c>
      <c r="B2727">
        <v>16</v>
      </c>
      <c r="C2727" t="b">
        <v>0</v>
      </c>
      <c r="D2727" t="str">
        <v>クン</v>
      </c>
      <c r="E2727" t="str">
        <v>いさお いさおし</v>
      </c>
      <c r="F2727">
        <v>0</v>
      </c>
      <c r="G2727" t="str">
        <v>いさお。いさおし。功績。手柄。</v>
      </c>
      <c r="H2727" t="str">
        <v>#繁栄</v>
      </c>
      <c r="I2727">
        <v>10</v>
      </c>
      <c r="J2727">
        <v>100</v>
      </c>
      <c r="K2727">
        <v>30</v>
      </c>
      <c r="L2727">
        <v>0</v>
      </c>
      <c r="M2727">
        <f>VLOOKUP(A2727,[1]kanji_data!$A:$N,14,FALSE)</f>
        <v>0</v>
      </c>
    </row>
    <row r="2728">
      <c r="A2728" t="str">
        <v>帯</v>
      </c>
      <c r="B2728">
        <v>10</v>
      </c>
      <c r="C2728" t="b">
        <v>1</v>
      </c>
      <c r="D2728" t="str">
        <v>タイ</v>
      </c>
      <c r="E2728" t="str">
        <v>おび お（びる）</v>
      </c>
      <c r="F2728">
        <v>0</v>
      </c>
      <c r="G2728" t="str">
        <v>おび。着物の上から腰に巻く細長い布。 おびる。身につける。 ひきいる。引き連れる。</v>
      </c>
      <c r="I2728">
        <v>10</v>
      </c>
      <c r="J2728">
        <v>55</v>
      </c>
      <c r="K2728">
        <v>55</v>
      </c>
      <c r="L2728">
        <v>1</v>
      </c>
    </row>
    <row r="2729">
      <c r="A2729" t="str">
        <v>戰</v>
      </c>
      <c r="B2729">
        <v>16</v>
      </c>
      <c r="C2729" t="b">
        <v>0</v>
      </c>
      <c r="D2729" t="str">
        <v>セン</v>
      </c>
      <c r="E2729" t="str">
        <v>たたか（う） いくさ おのの（く） そよ（ぐ）</v>
      </c>
      <c r="F2729">
        <v>0</v>
      </c>
      <c r="G2729" t="str">
        <v>たたかう。武器をもってたたかう。 たたかい。いくさ。戦争。 おののく。からだがふるえる。 そよぐ。草木が風に吹かれてゆれ動く。</v>
      </c>
      <c r="H2729" t="str">
        <v>#勇気 #自然</v>
      </c>
      <c r="I2729">
        <v>10</v>
      </c>
      <c r="J2729">
        <v>50</v>
      </c>
      <c r="K2729">
        <v>50</v>
      </c>
      <c r="L2729">
        <v>1</v>
      </c>
    </row>
    <row r="2730">
      <c r="A2730" t="str">
        <v>燒</v>
      </c>
      <c r="B2730">
        <v>16</v>
      </c>
      <c r="C2730" t="b">
        <v>0</v>
      </c>
      <c r="D2730" t="str">
        <v>ショウ</v>
      </c>
      <c r="E2730" t="str">
        <v>や（く） や（ける） く（べる）</v>
      </c>
      <c r="F2730">
        <v>0</v>
      </c>
      <c r="G2730" t="str">
        <v>やく。やける。火で燃やす。たく。 酒の一種。蒸留酒。 野火。野焼き。また、火事。 手をやく。世話をやく。 やく。ねたむ。嫉妬する。</v>
      </c>
      <c r="H2730" t="str">
        <v>#自然</v>
      </c>
      <c r="I2730">
        <v>10</v>
      </c>
      <c r="J2730">
        <v>50</v>
      </c>
      <c r="K2730">
        <v>50</v>
      </c>
      <c r="L2730">
        <v>1</v>
      </c>
    </row>
    <row r="2731">
      <c r="A2731" t="str">
        <v>託</v>
      </c>
      <c r="B2731">
        <v>10</v>
      </c>
      <c r="C2731" t="b">
        <v>1</v>
      </c>
      <c r="D2731" t="str">
        <v>タク</v>
      </c>
      <c r="E2731" t="str">
        <v>かこ（つ） かこつ（ける） ことづ（かる） まか（せる）</v>
      </c>
      <c r="F2731">
        <v>0</v>
      </c>
      <c r="G2731" t="str">
        <v>まかせる。ゆだねる。よる。たよる。 かこつける。ことよせる。口実にする。 かこつ。不平を言う。ぐちを言う。</v>
      </c>
      <c r="I2731">
        <v>10</v>
      </c>
      <c r="J2731">
        <v>60</v>
      </c>
      <c r="K2731">
        <v>50</v>
      </c>
      <c r="L2731">
        <v>1</v>
      </c>
    </row>
    <row r="2732">
      <c r="A2732" t="str">
        <v>衞</v>
      </c>
      <c r="B2732">
        <v>16</v>
      </c>
      <c r="C2732" t="b">
        <v>0</v>
      </c>
      <c r="D2732" t="str">
        <v>エイ エ</v>
      </c>
      <c r="E2732" t="str">
        <v>まも（る）</v>
      </c>
      <c r="F2732">
        <v>0</v>
      </c>
      <c r="G2732" t="str">
        <v>まもる。ふせぐ。 まもり。まもる人。 営む。 国の果て。国境。辺境。 明代、要所に設けた軍営。 周代の国名。</v>
      </c>
      <c r="H2732" t="str">
        <v>#勇気</v>
      </c>
      <c r="I2732">
        <v>10</v>
      </c>
      <c r="J2732">
        <v>85</v>
      </c>
      <c r="K2732">
        <v>40</v>
      </c>
      <c r="L2732">
        <v>0</v>
      </c>
      <c r="M2732">
        <f>VLOOKUP(A2732,[1]kanji_data!$A:$N,14,FALSE)</f>
        <v>0</v>
      </c>
    </row>
    <row r="2733">
      <c r="A2733" t="str">
        <v>畔</v>
      </c>
      <c r="B2733">
        <v>10</v>
      </c>
      <c r="C2733" t="b">
        <v>1</v>
      </c>
      <c r="D2733" t="str">
        <v>ハン</v>
      </c>
      <c r="E2733" t="str">
        <v>あぜ くろ そむ（く） ほとり</v>
      </c>
      <c r="F2733">
        <v>0</v>
      </c>
      <c r="G2733" t="str">
        <v>耕作地のさかい。あぜ。くろ。あぜみち。 水ぎわ。みぎわ。ほとり。 そむく。離反する。敵対する。違反する。</v>
      </c>
      <c r="I2733">
        <v>10</v>
      </c>
      <c r="J2733">
        <v>50</v>
      </c>
      <c r="K2733">
        <v>50</v>
      </c>
      <c r="L2733">
        <v>1</v>
      </c>
    </row>
    <row r="2734">
      <c r="A2734" t="str">
        <v>翁</v>
      </c>
      <c r="B2734">
        <v>10</v>
      </c>
      <c r="C2734" t="b">
        <v>1</v>
      </c>
      <c r="D2734" t="str">
        <v>オウ</v>
      </c>
      <c r="E2734" t="str">
        <v>おきな</v>
      </c>
      <c r="F2734" t="str">
        <v>おい おき とし ひと</v>
      </c>
      <c r="G2734" t="str">
        <v>おきな。年老いた男性の総称。 父。夫の父、妻の父。 鳥の首筋の羽毛。</v>
      </c>
      <c r="I2734">
        <v>5</v>
      </c>
      <c r="J2734">
        <v>85</v>
      </c>
      <c r="K2734">
        <v>30</v>
      </c>
      <c r="L2734">
        <v>1</v>
      </c>
    </row>
    <row r="2735">
      <c r="A2735" t="str">
        <v>索</v>
      </c>
      <c r="B2735">
        <v>10</v>
      </c>
      <c r="C2735" t="b">
        <v>1</v>
      </c>
      <c r="D2735" t="str">
        <v>サク</v>
      </c>
      <c r="E2735" t="str">
        <v>さが（す） つな なわ もと（める）</v>
      </c>
      <c r="F2735">
        <v>0</v>
      </c>
      <c r="G2735" t="str">
        <v>つな。なわ。太いつな。なわをよる。なわをなう。 尽きる。なくなる。 もとめる。さがす。要求する。請求する。 散る。離れる。一人になる。孤立する。ものさびしい。</v>
      </c>
      <c r="I2735">
        <v>10</v>
      </c>
      <c r="J2735">
        <v>55</v>
      </c>
      <c r="K2735">
        <v>55</v>
      </c>
      <c r="L2735">
        <v>1</v>
      </c>
    </row>
    <row r="2736">
      <c r="A2736" t="str">
        <v>器</v>
      </c>
      <c r="B2736">
        <v>16</v>
      </c>
      <c r="C2736" t="b">
        <v>0</v>
      </c>
      <c r="D2736" t="str">
        <v>キ</v>
      </c>
      <c r="E2736" t="str">
        <v>うつわ</v>
      </c>
      <c r="F2736">
        <v>0</v>
      </c>
      <c r="G2736" t="str">
        <v>うつわ。容器。 うつわ。才能。能力。働き。 うつわ。道具。用具。 うつわとす。うつわとする。能力を高く評価し認める。</v>
      </c>
      <c r="H2736" t="str">
        <v>#知性</v>
      </c>
      <c r="I2736">
        <v>10</v>
      </c>
      <c r="J2736">
        <v>50</v>
      </c>
      <c r="K2736">
        <v>70</v>
      </c>
      <c r="L2736">
        <v>1</v>
      </c>
    </row>
    <row r="2737">
      <c r="A2737" t="str">
        <v>酌</v>
      </c>
      <c r="B2737">
        <v>10</v>
      </c>
      <c r="C2737" t="b">
        <v>1</v>
      </c>
      <c r="D2737" t="str">
        <v>シャク</v>
      </c>
      <c r="E2737" t="str">
        <v>く（む）</v>
      </c>
      <c r="F2737">
        <v>0</v>
      </c>
      <c r="G2737" t="str">
        <v>くむ。酒をくむ。酒をつぐ。 酒。 さかもり。 さかずき。 しゃく。酒のしゃくをする女。</v>
      </c>
      <c r="I2737">
        <v>10</v>
      </c>
      <c r="J2737">
        <v>5</v>
      </c>
      <c r="K2737">
        <v>100</v>
      </c>
      <c r="L2737">
        <v>1</v>
      </c>
    </row>
    <row r="2738">
      <c r="A2738" t="str">
        <v>橫</v>
      </c>
      <c r="B2738">
        <v>16</v>
      </c>
      <c r="C2738" t="b">
        <v>0</v>
      </c>
      <c r="D2738" t="str">
        <v>オウ コウ</v>
      </c>
      <c r="E2738" t="str">
        <v>よこ よこ（たわる）</v>
      </c>
      <c r="F2738">
        <v>0</v>
      </c>
      <c r="G2738" t="str">
        <v>よこ。左右。また、東西の方向。 よこたわる。よこたえる。よこにする。よこにねかす。 筆画の一つ。書法「永字八法」での「勒」。 よこしま。道理に従わない。 ほしいまま。心のまま。勝手気まま。 思いがけない。意外。</v>
      </c>
      <c r="H2738" t="str">
        <v>#心・志</v>
      </c>
      <c r="I2738">
        <v>10</v>
      </c>
      <c r="J2738">
        <v>50</v>
      </c>
      <c r="K2738">
        <v>50</v>
      </c>
      <c r="L2738">
        <v>1</v>
      </c>
    </row>
    <row r="2739">
      <c r="A2739" t="str">
        <v>賴</v>
      </c>
      <c r="B2739">
        <v>16</v>
      </c>
      <c r="C2739" t="b">
        <v>0</v>
      </c>
      <c r="D2739" t="str">
        <v>ライ</v>
      </c>
      <c r="E2739" t="str">
        <v>たの（む） たの（もしい） たよ（る） たよ（り）</v>
      </c>
      <c r="F2739">
        <v>0</v>
      </c>
      <c r="G2739" t="str">
        <v>たよる。たのむ。たのみにする。 たより。たのみにする人や物。 もうけ。もうける。利益。利益を得る。 さいわいに。おかげで。 たのむ。願う。請う。求める。 たのもしい。たよりになる。</v>
      </c>
      <c r="H2739" t="str">
        <v>#幸福</v>
      </c>
      <c r="I2739">
        <v>10</v>
      </c>
      <c r="J2739">
        <v>60</v>
      </c>
      <c r="K2739">
        <v>50</v>
      </c>
      <c r="L2739">
        <v>0</v>
      </c>
      <c r="M2739">
        <f>VLOOKUP(A2739,[1]kanji_data!$A:$N,14,FALSE)</f>
        <v>0</v>
      </c>
    </row>
    <row r="2740">
      <c r="A2740" t="str">
        <v>曆</v>
      </c>
      <c r="B2740">
        <v>16</v>
      </c>
      <c r="C2740" t="b">
        <v>0</v>
      </c>
      <c r="D2740" t="str">
        <v>レキ リャク</v>
      </c>
      <c r="E2740" t="str">
        <v>こよみ</v>
      </c>
      <c r="F2740">
        <v>0</v>
      </c>
      <c r="G2740" t="str">
        <v>こよみ。天体の運行をもとに、季節や月日などを定める方法。また、それを記したもの。 めぐりあわせ。まわりあわせ。運命。</v>
      </c>
      <c r="H2740" t="str">
        <v>#天空</v>
      </c>
      <c r="I2740">
        <v>10</v>
      </c>
      <c r="J2740">
        <v>55</v>
      </c>
      <c r="K2740">
        <v>55</v>
      </c>
      <c r="L2740">
        <v>0</v>
      </c>
      <c r="M2740">
        <f>VLOOKUP(A2740,[1]kanji_data!$A:$N,14,FALSE)</f>
        <v>0</v>
      </c>
    </row>
    <row r="2741">
      <c r="A2741" t="str">
        <v>秩</v>
      </c>
      <c r="B2741">
        <v>10</v>
      </c>
      <c r="C2741" t="b">
        <v>1</v>
      </c>
      <c r="D2741" t="str">
        <v>チツ</v>
      </c>
      <c r="E2741" t="str">
        <v>つい（で） ふち</v>
      </c>
      <c r="F2741">
        <v>0</v>
      </c>
      <c r="G2741" t="str">
        <v>ついで。順序。次第。 くらい。つかさ。官職。 扶持。俸給。 一秩は十年のこと。</v>
      </c>
      <c r="I2741">
        <v>10</v>
      </c>
      <c r="J2741">
        <v>65</v>
      </c>
      <c r="K2741">
        <v>55</v>
      </c>
      <c r="L2741">
        <v>1</v>
      </c>
    </row>
    <row r="2742">
      <c r="A2742" t="str">
        <v>錄</v>
      </c>
      <c r="B2742">
        <v>16</v>
      </c>
      <c r="C2742" t="b">
        <v>0</v>
      </c>
      <c r="D2742" t="str">
        <v>ロク リョ リョク</v>
      </c>
      <c r="E2742" t="str">
        <v>しる（す）</v>
      </c>
      <c r="F2742">
        <v>0</v>
      </c>
      <c r="G2742" t="str">
        <v>しるす。書きしるす。うつしとる。 書きつけ。書きしるしたもの。 うつす。書きうつす。 統べる。治める。とりしまる。 あらわす。明らかにする。 採用する。任用する。 しらべる。罪を調べて記録する。</v>
      </c>
      <c r="H2742" t="str">
        <v>#知性</v>
      </c>
      <c r="I2742">
        <v>10</v>
      </c>
      <c r="J2742">
        <v>50</v>
      </c>
      <c r="K2742">
        <v>50</v>
      </c>
      <c r="L2742">
        <v>1</v>
      </c>
    </row>
    <row r="2743">
      <c r="A2743" t="str">
        <v>頰</v>
      </c>
      <c r="B2743">
        <v>16</v>
      </c>
      <c r="C2743" t="b">
        <v>1</v>
      </c>
      <c r="D2743" t="str">
        <v>キョウ</v>
      </c>
      <c r="E2743" t="str">
        <v>ほお</v>
      </c>
      <c r="F2743">
        <v>0</v>
      </c>
      <c r="G2743" t="str">
        <v>ほお。ほほ。ほっぺ。ほっぺた。顔の両横のやわらかい部分。</v>
      </c>
      <c r="H2743" t="str">
        <v>#慈愛</v>
      </c>
      <c r="I2743">
        <v>10</v>
      </c>
      <c r="J2743">
        <v>50</v>
      </c>
      <c r="K2743">
        <v>50</v>
      </c>
      <c r="L2743">
        <v>1</v>
      </c>
    </row>
    <row r="2744">
      <c r="A2744" t="str">
        <v>講</v>
      </c>
      <c r="B2744">
        <v>17</v>
      </c>
      <c r="C2744" t="b">
        <v>1</v>
      </c>
      <c r="D2744" t="str">
        <v>コウ</v>
      </c>
      <c r="E2744">
        <v>0</v>
      </c>
      <c r="F2744">
        <v>0</v>
      </c>
      <c r="G2744" t="str">
        <v>仲直りする。和解する。 とく。ときあかす。明らかにする。 学習する。ならう。 議論する。 はかる。もくろむ。 こう。神仏の信仰者の団体。 金銭を融通しあう集まり。</v>
      </c>
      <c r="H2744" t="str">
        <v>#知性</v>
      </c>
      <c r="I2744">
        <v>10</v>
      </c>
      <c r="J2744">
        <v>50</v>
      </c>
      <c r="K2744">
        <v>50</v>
      </c>
      <c r="L2744">
        <v>1</v>
      </c>
    </row>
    <row r="2745">
      <c r="A2745" t="str">
        <v>謝</v>
      </c>
      <c r="B2745">
        <v>17</v>
      </c>
      <c r="C2745" t="b">
        <v>1</v>
      </c>
      <c r="D2745" t="str">
        <v>シャ</v>
      </c>
      <c r="E2745" t="str">
        <v>あやま（る） ことわ（る） さ（る）</v>
      </c>
      <c r="F2745">
        <v>0</v>
      </c>
      <c r="G2745" t="str">
        <v>あやまる。わびる。わびを入れる。 礼をいう。お礼をする。 告げる。述べる。話す。 ことわる。辞退する。しりぞける。 去る。やめる。しぼむ。おとろえる。</v>
      </c>
      <c r="H2745" t="str">
        <v>#品格</v>
      </c>
      <c r="I2745">
        <v>10</v>
      </c>
      <c r="J2745">
        <v>50</v>
      </c>
      <c r="K2745">
        <v>50</v>
      </c>
      <c r="L2745">
        <v>1</v>
      </c>
    </row>
    <row r="2746">
      <c r="A2746" t="str">
        <v>績</v>
      </c>
      <c r="B2746">
        <v>17</v>
      </c>
      <c r="C2746" t="b">
        <v>1</v>
      </c>
      <c r="D2746" t="str">
        <v>セキ</v>
      </c>
      <c r="E2746" t="str">
        <v>いさお う（む） つむ（ぐ）</v>
      </c>
      <c r="F2746" t="str">
        <v>なり のり</v>
      </c>
      <c r="G2746" t="str">
        <v>うむ。つむぐ。糸をつむぐ。 仕事。技。また、仕事の良い結果。てがら。いさお。例：功績</v>
      </c>
      <c r="H2746" t="str">
        <v>#勇気 #繁栄</v>
      </c>
      <c r="I2746">
        <v>60</v>
      </c>
      <c r="J2746">
        <v>75</v>
      </c>
      <c r="K2746">
        <v>45</v>
      </c>
      <c r="L2746">
        <v>0</v>
      </c>
      <c r="M2746">
        <f>VLOOKUP(A2746,[1]kanji_data!$A:$N,14,FALSE)</f>
        <v>0</v>
      </c>
    </row>
    <row r="2747">
      <c r="A2747" t="str">
        <v>厳</v>
      </c>
      <c r="B2747">
        <v>17</v>
      </c>
      <c r="C2747" t="b">
        <v>1</v>
      </c>
      <c r="D2747" t="str">
        <v>ゲン ゴン</v>
      </c>
      <c r="E2747" t="str">
        <v>きび（しい） おごそ（か） いか（つい） いかめ（しい）</v>
      </c>
      <c r="F2747" t="str">
        <v>いず いつ いつき たか つよ</v>
      </c>
      <c r="G2747" t="str">
        <v>きびしい。きつい。程度がはげしい。一瞬の気のゆるみも許されない。 おごそか。いかめしい。いかつい。 父。父親。母のことは「慈」という。</v>
      </c>
      <c r="H2747" t="str">
        <v>#品格 #慈愛</v>
      </c>
      <c r="I2747">
        <v>70</v>
      </c>
      <c r="J2747">
        <v>80</v>
      </c>
      <c r="K2747">
        <v>45</v>
      </c>
      <c r="L2747">
        <v>0</v>
      </c>
      <c r="M2747">
        <f>VLOOKUP(A2747,[1]kanji_data!$A:$N,14,FALSE)</f>
        <v>0</v>
      </c>
    </row>
    <row r="2748">
      <c r="A2748" t="str">
        <v>捗</v>
      </c>
      <c r="B2748">
        <v>10</v>
      </c>
      <c r="C2748" t="b">
        <v>1</v>
      </c>
      <c r="D2748" t="str">
        <v>チョク</v>
      </c>
      <c r="E2748" t="str">
        <v>はかど（る）</v>
      </c>
      <c r="F2748">
        <v>0</v>
      </c>
      <c r="G2748" t="str">
        <v>たたく。うつ。 はかどる。仕事がはやく進む。</v>
      </c>
      <c r="I2748">
        <v>10</v>
      </c>
      <c r="J2748">
        <v>65</v>
      </c>
      <c r="K2748">
        <v>45</v>
      </c>
      <c r="L2748">
        <v>0</v>
      </c>
      <c r="M2748">
        <f>VLOOKUP(A2748,[1]kanji_data!$A:$N,14,FALSE)</f>
        <v>0</v>
      </c>
    </row>
    <row r="2749">
      <c r="A2749" t="str">
        <v>優</v>
      </c>
      <c r="B2749">
        <v>17</v>
      </c>
      <c r="C2749" t="b">
        <v>1</v>
      </c>
      <c r="D2749" t="str">
        <v>ユウ ウ</v>
      </c>
      <c r="E2749" t="str">
        <v>すぐ（れる） やさ（しい） まさ（る） やわ（らぐ） ゆた（か） わざおぎ</v>
      </c>
      <c r="F2749" t="str">
        <v>かつ すぐる ひろ まさる ゆ ゆたか</v>
      </c>
      <c r="G2749" t="str">
        <v>すぐれる。まさる。他よりもすぐれている。 やさしい。上品でうつくしい。 やさしい。やわらぐ。なごやか。 ゆたか。ゆったりとしている。余裕がある。 わざおぎ。芸者。芸人。 ゆう。成績などの評価の順序で最も上。</v>
      </c>
      <c r="H2749" t="str">
        <v>#品格 #慈愛 #繁栄 #花・彩</v>
      </c>
      <c r="I2749">
        <v>100</v>
      </c>
      <c r="J2749">
        <v>55</v>
      </c>
      <c r="K2749">
        <v>70</v>
      </c>
      <c r="L2749">
        <v>0</v>
      </c>
      <c r="M2749">
        <f>VLOOKUP(A2749,[1]kanji_data!$A:$N,14,FALSE)</f>
        <v>0</v>
      </c>
    </row>
    <row r="2750">
      <c r="A2750" t="str">
        <v>笈</v>
      </c>
      <c r="B2750">
        <v>10</v>
      </c>
      <c r="C2750" t="b">
        <v>0</v>
      </c>
      <c r="D2750" t="str">
        <v>キュウ</v>
      </c>
      <c r="E2750" t="str">
        <v>おい</v>
      </c>
      <c r="F2750">
        <v>0</v>
      </c>
      <c r="G2750" t="str">
        <v>おいばこ。おい。書物を入れて背負うための箱。</v>
      </c>
      <c r="I2750">
        <v>10</v>
      </c>
      <c r="J2750">
        <v>55</v>
      </c>
      <c r="K2750">
        <v>55</v>
      </c>
      <c r="L2750">
        <v>1</v>
      </c>
    </row>
    <row r="2751">
      <c r="A2751" t="str">
        <v>環</v>
      </c>
      <c r="B2751">
        <v>17</v>
      </c>
      <c r="C2751" t="b">
        <v>1</v>
      </c>
      <c r="D2751" t="str">
        <v>カン</v>
      </c>
      <c r="E2751" t="str">
        <v>たまき めぐ（る） わ</v>
      </c>
      <c r="F2751" t="str">
        <v>たま めぐる</v>
      </c>
      <c r="G2751" t="str">
        <v>たまき。輪の形をした玉。 わ。かん。輪の形をしたもの。 めぐらす。めぐる。とりかこむ。とりまく。まわる。</v>
      </c>
      <c r="H2751" t="str">
        <v>#調和</v>
      </c>
      <c r="I2751">
        <v>90</v>
      </c>
      <c r="J2751">
        <v>40</v>
      </c>
      <c r="K2751">
        <v>75</v>
      </c>
      <c r="L2751">
        <v>0</v>
      </c>
      <c r="M2751">
        <f>VLOOKUP(A2751,[1]kanji_data!$A:$N,14,FALSE)</f>
        <v>0</v>
      </c>
    </row>
    <row r="2752">
      <c r="A2752" t="str">
        <v>鮮</v>
      </c>
      <c r="B2752">
        <v>17</v>
      </c>
      <c r="C2752" t="b">
        <v>1</v>
      </c>
      <c r="D2752" t="str">
        <v>セン</v>
      </c>
      <c r="E2752" t="str">
        <v>あざ（やか） あたら（しい） すく（ない）</v>
      </c>
      <c r="F2752" t="str">
        <v>あき あきら あらた き まれ よし</v>
      </c>
      <c r="G2752" t="str">
        <v>さかな。生きている魚。生魚。 魚のなます。 あたらしい。生き生きとしている。 あざやか。はっきりしている。明らか。 よい。美しい。みめよい。あでやか。 すくない。まれである。</v>
      </c>
      <c r="H2752" t="str">
        <v>#花・彩</v>
      </c>
      <c r="I2752">
        <v>85</v>
      </c>
      <c r="J2752">
        <v>60</v>
      </c>
      <c r="K2752">
        <v>55</v>
      </c>
      <c r="L2752">
        <v>0</v>
      </c>
      <c r="M2752">
        <f>VLOOKUP(A2752,[1]kanji_data!$A:$N,14,FALSE)</f>
        <v>0</v>
      </c>
    </row>
    <row r="2753">
      <c r="A2753" t="str">
        <v>紐</v>
      </c>
      <c r="B2753">
        <v>10</v>
      </c>
      <c r="C2753" t="b">
        <v>0</v>
      </c>
      <c r="D2753" t="str">
        <v>ジュウ チュウ</v>
      </c>
      <c r="E2753" t="str">
        <v>ひも</v>
      </c>
      <c r="F2753">
        <v>0</v>
      </c>
      <c r="G2753" t="str">
        <v>ひも。 結ぶ。結び目。 基づく。</v>
      </c>
      <c r="I2753">
        <v>10</v>
      </c>
      <c r="J2753">
        <v>40</v>
      </c>
      <c r="K2753">
        <v>75</v>
      </c>
      <c r="L2753">
        <v>1</v>
      </c>
    </row>
    <row r="2754">
      <c r="A2754" t="str">
        <v>翼</v>
      </c>
      <c r="B2754">
        <v>17</v>
      </c>
      <c r="C2754" t="b">
        <v>1</v>
      </c>
      <c r="D2754" t="str">
        <v>ヨク イキ</v>
      </c>
      <c r="E2754" t="str">
        <v>つばさ たす（ける）</v>
      </c>
      <c r="F2754" t="str">
        <v>しげ しげし しげる すけ すすむ たすく よし</v>
      </c>
      <c r="G2754" t="str">
        <v>つばさ。鳥や虫の左右の羽。 たすける。補佐する。かばう。 明日。あくる日。 二十八宿の一つ。たすきぼし。</v>
      </c>
      <c r="H2754" t="str">
        <v>#慈愛</v>
      </c>
      <c r="I2754">
        <v>100</v>
      </c>
      <c r="J2754">
        <v>75</v>
      </c>
      <c r="K2754">
        <v>45</v>
      </c>
      <c r="L2754">
        <v>0</v>
      </c>
      <c r="M2754">
        <f>VLOOKUP(A2754,[1]kanji_data!$A:$N,14,FALSE)</f>
        <v>0</v>
      </c>
    </row>
    <row r="2755">
      <c r="A2755" t="str">
        <v>秤</v>
      </c>
      <c r="B2755">
        <v>10</v>
      </c>
      <c r="C2755" t="b">
        <v>0</v>
      </c>
      <c r="D2755" t="str">
        <v>ショウ ビン</v>
      </c>
      <c r="E2755" t="str">
        <v>はかり</v>
      </c>
      <c r="F2755">
        <v>0</v>
      </c>
      <c r="G2755" t="str">
        <v>はかり。物の重さをはかる道具。例：天秤（てんびん） はかる。物の重さをはかる。はかりではかる。</v>
      </c>
      <c r="I2755">
        <v>10</v>
      </c>
      <c r="J2755">
        <v>65</v>
      </c>
      <c r="K2755">
        <v>55</v>
      </c>
      <c r="L2755">
        <v>1</v>
      </c>
    </row>
    <row r="2756">
      <c r="A2756" t="str">
        <v>砧</v>
      </c>
      <c r="B2756">
        <v>10</v>
      </c>
      <c r="C2756" t="b">
        <v>0</v>
      </c>
      <c r="D2756" t="str">
        <v>チン</v>
      </c>
      <c r="E2756" t="str">
        <v>きぬた</v>
      </c>
      <c r="F2756">
        <v>0</v>
      </c>
      <c r="G2756" t="str">
        <v>きぬた。布を打ってつやを出すときに用いる台。 木などを切るための台。</v>
      </c>
      <c r="I2756">
        <v>10</v>
      </c>
      <c r="J2756">
        <v>20</v>
      </c>
      <c r="K2756">
        <v>100</v>
      </c>
      <c r="L2756">
        <v>1</v>
      </c>
    </row>
    <row r="2757">
      <c r="A2757" t="str">
        <v>豹</v>
      </c>
      <c r="B2757">
        <v>10</v>
      </c>
      <c r="C2757" t="b">
        <v>0</v>
      </c>
      <c r="D2757" t="str">
        <v>ヒョウ ホウ</v>
      </c>
      <c r="E2757">
        <v>0</v>
      </c>
      <c r="F2757" t="str">
        <v>はだら</v>
      </c>
      <c r="G2757" t="str">
        <v>ヒョウ。ネコ科の肉食動物。 姓の一つ。</v>
      </c>
      <c r="I2757">
        <v>5</v>
      </c>
      <c r="J2757">
        <v>85</v>
      </c>
      <c r="K2757">
        <v>30</v>
      </c>
      <c r="L2757">
        <v>1</v>
      </c>
    </row>
    <row r="2758">
      <c r="A2758" t="str">
        <v>祖</v>
      </c>
      <c r="B2758">
        <v>10</v>
      </c>
      <c r="C2758" t="b">
        <v>0</v>
      </c>
      <c r="D2758" t="str">
        <v>ソ</v>
      </c>
      <c r="E2758" t="str">
        <v>おや じじ はじ（め）</v>
      </c>
      <c r="F2758">
        <v>0</v>
      </c>
      <c r="G2758" t="str">
        <v>じじ。父の父母。親の親。 その家系の初代の人。または引き継いできた人。先祖。とおつおや。 もと。はじめ。物事を最初に始めた人。もととなった人。例：教祖 もととする。もとにする。手本とする。のっとる。 道中の安全を守るといわれる神。道祖神（どうそじん）。</v>
      </c>
      <c r="I2758">
        <v>10</v>
      </c>
      <c r="J2758">
        <v>50</v>
      </c>
      <c r="K2758">
        <v>55</v>
      </c>
      <c r="L2758">
        <v>1</v>
      </c>
    </row>
    <row r="2759">
      <c r="A2759" t="str">
        <v>鍛</v>
      </c>
      <c r="B2759">
        <v>17</v>
      </c>
      <c r="C2759" t="b">
        <v>1</v>
      </c>
      <c r="D2759" t="str">
        <v>タン</v>
      </c>
      <c r="E2759" t="str">
        <v>きた（える）</v>
      </c>
      <c r="F2759" t="str">
        <v>かじ きたう きたえ</v>
      </c>
      <c r="G2759" t="str">
        <v>きたえる。金属をたたいて質を高める。 きたえる。技術の質を高める。 きたえる。からだや心を強くする。</v>
      </c>
      <c r="H2759" t="str">
        <v>#知性</v>
      </c>
      <c r="I2759">
        <v>100</v>
      </c>
      <c r="J2759">
        <v>100</v>
      </c>
      <c r="K2759">
        <v>25</v>
      </c>
      <c r="L2759">
        <v>0</v>
      </c>
      <c r="M2759">
        <f>VLOOKUP(A2759,[1]kanji_data!$A:$N,14,FALSE)</f>
        <v>0</v>
      </c>
    </row>
    <row r="2760">
      <c r="A2760" t="str">
        <v>聴</v>
      </c>
      <c r="B2760">
        <v>17</v>
      </c>
      <c r="C2760" t="b">
        <v>1</v>
      </c>
      <c r="D2760" t="str">
        <v>チョウ テイ</v>
      </c>
      <c r="E2760" t="str">
        <v>き（く） ゆる（す）</v>
      </c>
      <c r="F2760">
        <v>0</v>
      </c>
      <c r="G2760" t="str">
        <v>聞く。聞き入れる。 治める。 まかせる。従う。 聞く。詳しく聞く。注意して聞く。 しのび。まわしもの。 ゆるす。 役所。</v>
      </c>
      <c r="H2760" t="str">
        <v>#知性 #調和</v>
      </c>
      <c r="I2760">
        <v>40</v>
      </c>
      <c r="J2760">
        <v>80</v>
      </c>
      <c r="K2760">
        <v>50</v>
      </c>
      <c r="L2760">
        <v>0</v>
      </c>
      <c r="M2760">
        <f>VLOOKUP(A2760,[1]kanji_data!$A:$N,14,FALSE)</f>
        <v>0</v>
      </c>
    </row>
    <row r="2761">
      <c r="A2761" t="str">
        <v>魚</v>
      </c>
      <c r="B2761">
        <v>11</v>
      </c>
      <c r="C2761" t="b">
        <v>1</v>
      </c>
      <c r="D2761" t="str">
        <v>ギョ</v>
      </c>
      <c r="E2761" t="str">
        <v>うお さかな</v>
      </c>
      <c r="F2761" t="str">
        <v>いお お な</v>
      </c>
      <c r="G2761" t="str">
        <v>うお。さかな。水中に住む、うろこやひれがある動物の総称。 すなどる。魚を捕る。＝漁</v>
      </c>
      <c r="I2761">
        <v>5</v>
      </c>
      <c r="J2761">
        <v>55</v>
      </c>
      <c r="K2761">
        <v>55</v>
      </c>
      <c r="L2761">
        <v>1</v>
      </c>
    </row>
    <row r="2762">
      <c r="A2762" t="str">
        <v>細</v>
      </c>
      <c r="B2762">
        <v>11</v>
      </c>
      <c r="C2762" t="b">
        <v>1</v>
      </c>
      <c r="D2762" t="str">
        <v>サイ</v>
      </c>
      <c r="E2762" t="str">
        <v>こま（か） こま（かい） ほそ（い） ほそ（る） くわ（しい） ささ（やか）</v>
      </c>
      <c r="F2762">
        <v>0</v>
      </c>
      <c r="G2762" t="str">
        <v>こまかい。小さい。わずか。少し。 ほそい。ほそる。 くわしい。綿密。行き届く。 身分がひくい。いやしい。</v>
      </c>
      <c r="I2762">
        <v>10</v>
      </c>
      <c r="J2762">
        <v>75</v>
      </c>
      <c r="K2762">
        <v>45</v>
      </c>
      <c r="L2762">
        <v>1</v>
      </c>
    </row>
    <row r="2763">
      <c r="A2763" t="str">
        <v>鳥</v>
      </c>
      <c r="B2763">
        <v>11</v>
      </c>
      <c r="C2763" t="b">
        <v>1</v>
      </c>
      <c r="D2763" t="str">
        <v>チョウ</v>
      </c>
      <c r="E2763" t="str">
        <v>とり</v>
      </c>
      <c r="F2763" t="str">
        <v>と</v>
      </c>
      <c r="G2763" t="str">
        <v>とり。動物のとりの総称。</v>
      </c>
      <c r="I2763">
        <v>5</v>
      </c>
      <c r="J2763">
        <v>50</v>
      </c>
      <c r="K2763">
        <v>55</v>
      </c>
      <c r="L2763">
        <v>1</v>
      </c>
    </row>
    <row r="2764">
      <c r="A2764" t="str">
        <v>矯</v>
      </c>
      <c r="B2764">
        <v>17</v>
      </c>
      <c r="C2764" t="b">
        <v>1</v>
      </c>
      <c r="D2764" t="str">
        <v>キョウ</v>
      </c>
      <c r="E2764" t="str">
        <v>た（める） いつわ（る）</v>
      </c>
      <c r="F2764">
        <v>0</v>
      </c>
      <c r="G2764" t="str">
        <v>ためる。ただす。曲がったものをまっすぐにする。悪いものを正しくする。 いつわる。だます。うわべをかざる。 上に向ける。あげる。あがる。 いさましい。はげしい。強い。</v>
      </c>
      <c r="H2764" t="str">
        <v>#勇気</v>
      </c>
      <c r="I2764">
        <v>10</v>
      </c>
      <c r="J2764">
        <v>50</v>
      </c>
      <c r="K2764">
        <v>50</v>
      </c>
      <c r="L2764">
        <v>1</v>
      </c>
    </row>
    <row r="2765">
      <c r="A2765" t="str">
        <v>謹</v>
      </c>
      <c r="B2765">
        <v>17</v>
      </c>
      <c r="C2765" t="b">
        <v>1</v>
      </c>
      <c r="D2765" t="str">
        <v>キン</v>
      </c>
      <c r="E2765" t="str">
        <v>つつし（む）</v>
      </c>
      <c r="F2765">
        <v>0</v>
      </c>
      <c r="G2765" t="str">
        <v>つつしむ。気を引き締める。控えめにする。厳しくする。禁止する。 つつしみ。ひかえめ。まじめ。 つつしんで。うやうやしく。</v>
      </c>
      <c r="H2765" t="str">
        <v>#品格 #心・志</v>
      </c>
      <c r="I2765">
        <v>40</v>
      </c>
      <c r="J2765">
        <v>55</v>
      </c>
      <c r="K2765">
        <v>70</v>
      </c>
      <c r="L2765">
        <v>0</v>
      </c>
      <c r="M2765">
        <f>VLOOKUP(A2765,[1]kanji_data!$A:$N,14,FALSE)</f>
        <v>0</v>
      </c>
    </row>
    <row r="2766">
      <c r="A2766" t="str">
        <v>謙</v>
      </c>
      <c r="B2766">
        <v>17</v>
      </c>
      <c r="C2766" t="b">
        <v>1</v>
      </c>
      <c r="D2766" t="str">
        <v>ケン</v>
      </c>
      <c r="E2766" t="str">
        <v>へりくだ（る）</v>
      </c>
      <c r="F2766" t="str">
        <v>あき かた かね しず のり ゆずる よし</v>
      </c>
      <c r="G2766" t="str">
        <v>へりくだる。ゆずる。つつしむ。ひかえめにする。 うやまう。うやうやしくする。 易（エキ）の六十四卦の一つ。 ここちよい。満ち足りる。満足する。</v>
      </c>
      <c r="H2766" t="str">
        <v>#品格 #心・志 #慈愛</v>
      </c>
      <c r="I2766">
        <v>100</v>
      </c>
      <c r="J2766">
        <v>40</v>
      </c>
      <c r="K2766">
        <v>85</v>
      </c>
      <c r="L2766">
        <v>0</v>
      </c>
      <c r="M2766">
        <f>VLOOKUP(A2766,[1]kanji_data!$A:$N,14,FALSE)</f>
        <v>0</v>
      </c>
    </row>
    <row r="2767">
      <c r="A2767" t="str">
        <v>購</v>
      </c>
      <c r="B2767">
        <v>17</v>
      </c>
      <c r="C2767" t="b">
        <v>1</v>
      </c>
      <c r="D2767" t="str">
        <v>コウ</v>
      </c>
      <c r="E2767" t="str">
        <v>あがな（う）</v>
      </c>
      <c r="F2767">
        <v>0</v>
      </c>
      <c r="G2767" t="str">
        <v>あがなう。買う。買い求める。あるものを代償に手に入れる。 和睦する。仲直りする。</v>
      </c>
      <c r="H2767" t="str">
        <v>#調和</v>
      </c>
      <c r="I2767">
        <v>10</v>
      </c>
      <c r="J2767">
        <v>50</v>
      </c>
      <c r="K2767">
        <v>50</v>
      </c>
      <c r="L2767">
        <v>1</v>
      </c>
    </row>
    <row r="2768">
      <c r="A2768" t="str">
        <v>懇</v>
      </c>
      <c r="B2768">
        <v>17</v>
      </c>
      <c r="C2768" t="b">
        <v>1</v>
      </c>
      <c r="D2768" t="str">
        <v>コン</v>
      </c>
      <c r="E2768" t="str">
        <v>ねんご（ろ）</v>
      </c>
      <c r="F2768">
        <v>0</v>
      </c>
      <c r="G2768" t="str">
        <v>ねんごろ。ていねいなさま。まごころを尽くすさま。</v>
      </c>
      <c r="H2768" t="str">
        <v>#心・志</v>
      </c>
      <c r="I2768">
        <v>10</v>
      </c>
      <c r="J2768">
        <v>45</v>
      </c>
      <c r="K2768">
        <v>70</v>
      </c>
      <c r="L2768">
        <v>1</v>
      </c>
    </row>
    <row r="2769">
      <c r="A2769" t="str">
        <v>爵</v>
      </c>
      <c r="B2769">
        <v>17</v>
      </c>
      <c r="C2769" t="b">
        <v>1</v>
      </c>
      <c r="D2769" t="str">
        <v>シャク サク</v>
      </c>
      <c r="E2769" t="str">
        <v>さかずき</v>
      </c>
      <c r="F2769">
        <v>0</v>
      </c>
      <c r="G2769" t="str">
        <v>さかずき。酒をつぐ容器。祭礼用の酒器。 貴族・諸侯の身分の等級。爵位。 爵位を授ける。 すずめ。</v>
      </c>
      <c r="H2769" t="str">
        <v>#品格</v>
      </c>
      <c r="I2769">
        <v>10</v>
      </c>
      <c r="J2769">
        <v>50</v>
      </c>
      <c r="K2769">
        <v>50</v>
      </c>
      <c r="L2769">
        <v>1</v>
      </c>
    </row>
    <row r="2770">
      <c r="A2770" t="str">
        <v>醜</v>
      </c>
      <c r="B2770">
        <v>17</v>
      </c>
      <c r="C2770" t="b">
        <v>1</v>
      </c>
      <c r="D2770" t="str">
        <v>シュウ</v>
      </c>
      <c r="E2770" t="str">
        <v>みにく（い） しこ たぐい にく（む）</v>
      </c>
      <c r="F2770">
        <v>0</v>
      </c>
      <c r="G2770" t="str">
        <v>みにくい。見た目がよくない。心や行動がよくない。 わるもの。わるい。にくむべきもの。 恥じる。恥。恥をかかせる。 たぐい。仲間。類する。似ている。 もろもろ。多人数。</v>
      </c>
      <c r="H2770" t="str">
        <v>#調和</v>
      </c>
      <c r="I2770">
        <v>0</v>
      </c>
      <c r="J2770">
        <v>50</v>
      </c>
      <c r="K2770">
        <v>50</v>
      </c>
      <c r="L2770">
        <v>1</v>
      </c>
    </row>
    <row r="2771">
      <c r="A2771" t="str">
        <v>祭</v>
      </c>
      <c r="B2771">
        <v>11</v>
      </c>
      <c r="C2771" t="b">
        <v>1</v>
      </c>
      <c r="D2771" t="str">
        <v>サイ</v>
      </c>
      <c r="E2771" t="str">
        <v>まつ（り） まつ（る）</v>
      </c>
      <c r="F2771">
        <v>0</v>
      </c>
      <c r="G2771" t="str">
        <v>まつり。まつる。神や先祖をまつる。</v>
      </c>
      <c r="I2771">
        <v>10</v>
      </c>
      <c r="J2771">
        <v>85</v>
      </c>
      <c r="K2771">
        <v>30</v>
      </c>
      <c r="L2771">
        <v>1</v>
      </c>
    </row>
    <row r="2772">
      <c r="A2772" t="str">
        <v>動</v>
      </c>
      <c r="B2772">
        <v>11</v>
      </c>
      <c r="C2772" t="b">
        <v>1</v>
      </c>
      <c r="D2772" t="str">
        <v>ドウ トウ</v>
      </c>
      <c r="E2772" t="str">
        <v>うご（かす） うご（く） やや（もすれば）</v>
      </c>
      <c r="F2772" t="str">
        <v>いつ</v>
      </c>
      <c r="G2772" t="str">
        <v>うごかす。うごく。 うごき。はたらき。例：動作 心にひびく。心をゆさぶる。 ややもすれば。どうかすると。ともすれば。ある状況になりがちなさま。</v>
      </c>
      <c r="I2772">
        <v>5</v>
      </c>
      <c r="J2772">
        <v>85</v>
      </c>
      <c r="K2772">
        <v>30</v>
      </c>
      <c r="L2772">
        <v>1</v>
      </c>
    </row>
    <row r="2773">
      <c r="A2773" t="str">
        <v>繊</v>
      </c>
      <c r="B2773">
        <v>17</v>
      </c>
      <c r="C2773" t="b">
        <v>1</v>
      </c>
      <c r="D2773" t="str">
        <v>セン チン</v>
      </c>
      <c r="E2773" t="str">
        <v>しな（やか） ちい（さい） ほそ（い）</v>
      </c>
      <c r="F2773">
        <v>0</v>
      </c>
      <c r="G2773" t="str">
        <v>細い糸。糸すじ。細かいすじ。 細い。かぼそい。小さい。こまかい。 わずか。少し。 こまやか。しなやか。たおやか。 せん。数の単位。１０の－７乗。</v>
      </c>
      <c r="H2773" t="str">
        <v>#慈愛</v>
      </c>
      <c r="I2773">
        <v>10</v>
      </c>
      <c r="J2773">
        <v>50</v>
      </c>
      <c r="K2773">
        <v>50</v>
      </c>
      <c r="L2773">
        <v>1</v>
      </c>
    </row>
    <row r="2774">
      <c r="A2774" t="str">
        <v>霜</v>
      </c>
      <c r="B2774">
        <v>17</v>
      </c>
      <c r="C2774" t="b">
        <v>1</v>
      </c>
      <c r="D2774" t="str">
        <v>ソウ</v>
      </c>
      <c r="E2774" t="str">
        <v>しも</v>
      </c>
      <c r="F2774">
        <v>0</v>
      </c>
      <c r="G2774" t="str">
        <v>しも。空気中の水蒸気が、気温の低下によって凍ったもの。 霜のように冷たいもの、また白いもの。 とし。としつき。ねんげつ。</v>
      </c>
      <c r="H2774" t="str">
        <v>#天空 #自然</v>
      </c>
      <c r="I2774">
        <v>10</v>
      </c>
      <c r="J2774">
        <v>55</v>
      </c>
      <c r="K2774">
        <v>55</v>
      </c>
      <c r="L2774">
        <v>0</v>
      </c>
      <c r="M2774">
        <f>VLOOKUP(A2774,[1]kanji_data!$A:$N,14,FALSE)</f>
        <v>0</v>
      </c>
    </row>
    <row r="2775">
      <c r="A2775" t="str">
        <v>副</v>
      </c>
      <c r="B2775">
        <v>11</v>
      </c>
      <c r="C2775" t="b">
        <v>1</v>
      </c>
      <c r="D2775" t="str">
        <v>フク フウ</v>
      </c>
      <c r="E2775" t="str">
        <v>そ（う）</v>
      </c>
      <c r="F2775" t="str">
        <v>すえ すけ つぎ ます</v>
      </c>
      <c r="G2775" t="str">
        <v>そう。そえる。つきそう。 そう。かなう。一致する。適合する。 補佐役。つきそい。 写し。控え。 さく。切りさく。わける。二つにわける。 すけ。四等官で、神祇官の第二位。</v>
      </c>
      <c r="I2775">
        <v>5</v>
      </c>
      <c r="J2775">
        <v>85</v>
      </c>
      <c r="K2775">
        <v>40</v>
      </c>
      <c r="L2775">
        <v>1</v>
      </c>
    </row>
    <row r="2776">
      <c r="A2776" t="str">
        <v>眼</v>
      </c>
      <c r="B2776">
        <v>11</v>
      </c>
      <c r="C2776" t="b">
        <v>1</v>
      </c>
      <c r="D2776" t="str">
        <v>ガン ゲン</v>
      </c>
      <c r="E2776" t="str">
        <v>まなこ め</v>
      </c>
      <c r="F2776">
        <v>0</v>
      </c>
      <c r="G2776" t="str">
        <v>め。まなこ。めだま。めつき。まなざし。 物事を見ぬく力。本質を見通す力。 穴。 かなめ。要点。要所。</v>
      </c>
      <c r="I2776">
        <v>10</v>
      </c>
      <c r="J2776">
        <v>55</v>
      </c>
      <c r="K2776">
        <v>55</v>
      </c>
      <c r="L2776">
        <v>1</v>
      </c>
    </row>
    <row r="2777">
      <c r="A2777" t="str">
        <v>頻</v>
      </c>
      <c r="B2777">
        <v>17</v>
      </c>
      <c r="C2777" t="b">
        <v>1</v>
      </c>
      <c r="D2777" t="str">
        <v>ヒン ビン</v>
      </c>
      <c r="E2777" t="str">
        <v>しき（りに） しき（る）</v>
      </c>
      <c r="F2777">
        <v>0</v>
      </c>
      <c r="G2777" t="str">
        <v>しきりに。たびたび。しばしば。 みぎわ。水辺。水ぎわ。 せめる。さしせまる。切迫する。 ならぶ。近づいてならぶ。 ひそめる。しかめる。まゆをひそめる。顔をしかめる。 しきる。たびたび。しばしば。</v>
      </c>
      <c r="H2777" t="str">
        <v>#海・水</v>
      </c>
      <c r="I2777">
        <v>10</v>
      </c>
      <c r="J2777">
        <v>50</v>
      </c>
      <c r="K2777">
        <v>50</v>
      </c>
      <c r="L2777">
        <v>1</v>
      </c>
    </row>
    <row r="2778">
      <c r="A2778" t="str">
        <v>寄</v>
      </c>
      <c r="B2778">
        <v>11</v>
      </c>
      <c r="C2778" t="b">
        <v>1</v>
      </c>
      <c r="D2778" t="str">
        <v>キ</v>
      </c>
      <c r="E2778" t="str">
        <v>よ（せる） よ（る）</v>
      </c>
      <c r="F2778">
        <v>0</v>
      </c>
      <c r="G2778" t="str">
        <v>よる。たよる。たよりにする。 よる。やどる。かりずまいにしてとどまる。 よせる。あずける。まかせる。 よせる。送る。届ける。 よる。近づく。また、たちよる。 よる。集まる。 よせ。よせる。集める。あわせる。</v>
      </c>
      <c r="I2778">
        <v>10</v>
      </c>
      <c r="J2778">
        <v>35</v>
      </c>
      <c r="K2778">
        <v>70</v>
      </c>
      <c r="L2778">
        <v>1</v>
      </c>
    </row>
    <row r="2779">
      <c r="A2779" t="str">
        <v>臆</v>
      </c>
      <c r="B2779">
        <v>17</v>
      </c>
      <c r="C2779" t="b">
        <v>1</v>
      </c>
      <c r="D2779" t="str">
        <v>オク</v>
      </c>
      <c r="E2779" t="str">
        <v>おしはか（る）</v>
      </c>
      <c r="F2779">
        <v>0</v>
      </c>
      <c r="G2779" t="str">
        <v>胸。胸の内。こころ。おもい。考え。 胸の骨。 おしはかる。推量する。 おくする。気おくれする。おどおどする。おじける。</v>
      </c>
      <c r="H2779" t="str">
        <v>#心・志</v>
      </c>
      <c r="I2779">
        <v>10</v>
      </c>
      <c r="J2779">
        <v>50</v>
      </c>
      <c r="K2779">
        <v>50</v>
      </c>
      <c r="L2779">
        <v>1</v>
      </c>
    </row>
    <row r="2780">
      <c r="A2780" t="str">
        <v>許</v>
      </c>
      <c r="B2780">
        <v>11</v>
      </c>
      <c r="C2780" t="b">
        <v>1</v>
      </c>
      <c r="D2780" t="str">
        <v>キョ コ</v>
      </c>
      <c r="E2780" t="str">
        <v>ゆる（す） ばか（り） もと</v>
      </c>
      <c r="F2780" t="str">
        <v>すすむ ゆく</v>
      </c>
      <c r="G2780" t="str">
        <v>ゆるす。聞き入れる。よいと認める。 ばかり。ほど。ぐらい。 もと。ところ。 「許許（ここ）」は、多くの人が力を合わせるときの掛け声。</v>
      </c>
      <c r="I2780">
        <v>5</v>
      </c>
      <c r="J2780">
        <v>35</v>
      </c>
      <c r="K2780">
        <v>75</v>
      </c>
      <c r="L2780">
        <v>1</v>
      </c>
    </row>
    <row r="2781">
      <c r="A2781" t="str">
        <v>採</v>
      </c>
      <c r="B2781">
        <v>11</v>
      </c>
      <c r="C2781" t="b">
        <v>1</v>
      </c>
      <c r="D2781" t="str">
        <v>サイ</v>
      </c>
      <c r="E2781" t="str">
        <v>と（る）</v>
      </c>
      <c r="F2781">
        <v>0</v>
      </c>
      <c r="G2781" t="str">
        <v>とる。指の先でつまんでとる。 とる。えらぶ。えらびとる。</v>
      </c>
      <c r="I2781">
        <v>10</v>
      </c>
      <c r="J2781">
        <v>55</v>
      </c>
      <c r="K2781">
        <v>55</v>
      </c>
      <c r="L2781">
        <v>1</v>
      </c>
    </row>
    <row r="2782">
      <c r="A2782" t="str">
        <v>瞳</v>
      </c>
      <c r="B2782">
        <v>17</v>
      </c>
      <c r="C2782" t="b">
        <v>1</v>
      </c>
      <c r="D2782" t="str">
        <v>ドウ トウ</v>
      </c>
      <c r="E2782" t="str">
        <v>ひとみ</v>
      </c>
      <c r="F2782" t="str">
        <v>あきら め</v>
      </c>
      <c r="G2782" t="str">
        <v>ひとみ。例：瞳孔 無心に見るさま。無知なさま。</v>
      </c>
      <c r="H2782" t="str">
        <v>#慈愛 #花・彩</v>
      </c>
      <c r="I2782">
        <v>90</v>
      </c>
      <c r="J2782">
        <v>30</v>
      </c>
      <c r="K2782">
        <v>95</v>
      </c>
      <c r="L2782">
        <v>0</v>
      </c>
      <c r="M2782">
        <f>VLOOKUP(A2782,[1]kanji_data!$A:$N,14,FALSE)</f>
        <v>0</v>
      </c>
    </row>
    <row r="2783">
      <c r="A2783" t="str">
        <v>設</v>
      </c>
      <c r="B2783">
        <v>11</v>
      </c>
      <c r="C2783" t="b">
        <v>1</v>
      </c>
      <c r="D2783" t="str">
        <v>セツ セチ</v>
      </c>
      <c r="E2783" t="str">
        <v>もう（ける） しつら（える） たと（い） も（し）</v>
      </c>
      <c r="F2783">
        <v>0</v>
      </c>
      <c r="G2783" t="str">
        <v>もうける。つくる。こしらえる。 もうける。備える。整える。 もし。たとい。仮定の意を表す。</v>
      </c>
      <c r="I2783">
        <v>10</v>
      </c>
      <c r="J2783">
        <v>60</v>
      </c>
      <c r="K2783">
        <v>60</v>
      </c>
      <c r="L2783">
        <v>1</v>
      </c>
    </row>
    <row r="2784">
      <c r="A2784" t="str">
        <v>張</v>
      </c>
      <c r="B2784">
        <v>11</v>
      </c>
      <c r="C2784" t="b">
        <v>1</v>
      </c>
      <c r="D2784" t="str">
        <v>チョウ</v>
      </c>
      <c r="E2784" t="str">
        <v>は（る）</v>
      </c>
      <c r="F2784" t="str">
        <v>つよ とも はる</v>
      </c>
      <c r="G2784" t="str">
        <v>はる。弓に弦をはる。 はる。楽器に弦をはる。 はる。のばす。ひっぱる。 はる。ひろげる。大きくひろげる。 はる。もよおす。 はり。弓、幕、また琴などの弦をはったもの数えることば。 二十八宿の一つ。ちりこぼし。 腹がはる。腹がふくれる。 とばり。＝帳</v>
      </c>
      <c r="I2784">
        <v>5</v>
      </c>
      <c r="J2784">
        <v>100</v>
      </c>
      <c r="K2784">
        <v>20</v>
      </c>
      <c r="L2784">
        <v>1</v>
      </c>
    </row>
    <row r="2785">
      <c r="A2785" t="str">
        <v>闇</v>
      </c>
      <c r="B2785">
        <v>17</v>
      </c>
      <c r="C2785" t="b">
        <v>1</v>
      </c>
      <c r="D2785" t="str">
        <v>アン</v>
      </c>
      <c r="E2785" t="str">
        <v>やみ くら（い）</v>
      </c>
      <c r="F2785">
        <v>0</v>
      </c>
      <c r="G2785" t="str">
        <v>くらい。光が少なくてよく見えない。 くらい。道理にくらい。おろか。 やみ。くらやみ。くらがり。 くらます。見えないように隠す。 ひそかに。黙って。隠れて。 「諒闇（りょうあん）」は、天子が喪に服するためにこもる建物。また、その期間。 くらい夜。月の出ない夜。 不正。正規でない。</v>
      </c>
      <c r="H2785" t="str">
        <v>#天空</v>
      </c>
      <c r="I2785">
        <v>10</v>
      </c>
      <c r="J2785">
        <v>50</v>
      </c>
      <c r="K2785">
        <v>50</v>
      </c>
      <c r="L2785">
        <v>1</v>
      </c>
    </row>
    <row r="2786">
      <c r="A2786" t="str">
        <v>瞭</v>
      </c>
      <c r="B2786">
        <v>17</v>
      </c>
      <c r="C2786" t="b">
        <v>1</v>
      </c>
      <c r="D2786" t="str">
        <v>リョウ</v>
      </c>
      <c r="E2786" t="str">
        <v>あき（らか）</v>
      </c>
      <c r="F2786" t="str">
        <v>あきら</v>
      </c>
      <c r="G2786" t="str">
        <v>あきらか。はっきりしていること。</v>
      </c>
      <c r="H2786" t="str">
        <v>#知性</v>
      </c>
      <c r="I2786">
        <v>95</v>
      </c>
      <c r="J2786">
        <v>50</v>
      </c>
      <c r="K2786">
        <v>65</v>
      </c>
      <c r="L2786">
        <v>0</v>
      </c>
      <c r="M2786">
        <f>VLOOKUP(A2786,[1]kanji_data!$A:$N,14,FALSE)</f>
        <v>0</v>
      </c>
    </row>
    <row r="2787">
      <c r="A2787" t="str">
        <v>霞</v>
      </c>
      <c r="B2787">
        <v>17</v>
      </c>
      <c r="C2787" t="b">
        <v>0</v>
      </c>
      <c r="D2787" t="str">
        <v>カ</v>
      </c>
      <c r="E2787" t="str">
        <v>かすみ かす（む）</v>
      </c>
      <c r="F2787">
        <v>0</v>
      </c>
      <c r="G2787" t="str">
        <v>朝焼け。夕焼け。日の出の頃、または日没の頃に空が赤く見える現象。 かすみ。遠くがぼんやりして見える現象。 かすむ。ぼんやりと見える。はっきり見えない。</v>
      </c>
      <c r="H2787" t="str">
        <v>#天空</v>
      </c>
      <c r="I2787">
        <v>10</v>
      </c>
      <c r="J2787">
        <v>50</v>
      </c>
      <c r="K2787">
        <v>50</v>
      </c>
      <c r="L2787">
        <v>0</v>
      </c>
      <c r="M2787">
        <f>VLOOKUP(A2787,[1]kanji_data!$A:$N,14,FALSE)</f>
        <v>0</v>
      </c>
    </row>
    <row r="2788">
      <c r="A2788" t="str">
        <v>略</v>
      </c>
      <c r="B2788">
        <v>11</v>
      </c>
      <c r="C2788" t="b">
        <v>1</v>
      </c>
      <c r="D2788" t="str">
        <v>リャク</v>
      </c>
      <c r="E2788" t="str">
        <v>おか（す） おさ（める） はかりごと はか（る） はぶ（く） ほぼ</v>
      </c>
      <c r="F2788">
        <v>0</v>
      </c>
      <c r="G2788" t="str">
        <v>おかす。うばい取る。かすめ取る。攻め取る。 治める。営む。土地に境界を定め治める。 はかる。はかりごと。計画。 はぶく。簡単にする。 ほぼ。あらかた。およそ。あらまし。</v>
      </c>
      <c r="I2788">
        <v>10</v>
      </c>
      <c r="J2788">
        <v>60</v>
      </c>
      <c r="K2788">
        <v>60</v>
      </c>
      <c r="L2788">
        <v>1</v>
      </c>
    </row>
    <row r="2789">
      <c r="A2789" t="str">
        <v>徽</v>
      </c>
      <c r="B2789">
        <v>17</v>
      </c>
      <c r="C2789" t="b">
        <v>0</v>
      </c>
      <c r="D2789" t="str">
        <v>キ</v>
      </c>
      <c r="E2789" t="str">
        <v>しるし よ（い）</v>
      </c>
      <c r="F2789" t="str">
        <v>よし</v>
      </c>
      <c r="G2789" t="str">
        <v>しるし。旗じるし。 よい。すぐれている。美しい。 つな。なわ。ひも。</v>
      </c>
      <c r="H2789" t="str">
        <v>#花・彩</v>
      </c>
      <c r="I2789">
        <v>15</v>
      </c>
      <c r="J2789">
        <v>20</v>
      </c>
      <c r="K2789">
        <v>100</v>
      </c>
      <c r="L2789">
        <v>0</v>
      </c>
      <c r="M2789">
        <f>VLOOKUP(A2789,[1]kanji_data!$A:$N,14,FALSE)</f>
        <v>0</v>
      </c>
    </row>
    <row r="2790">
      <c r="A2790" t="str">
        <v>磯</v>
      </c>
      <c r="B2790">
        <v>17</v>
      </c>
      <c r="C2790" t="b">
        <v>0</v>
      </c>
      <c r="D2790" t="str">
        <v>キ</v>
      </c>
      <c r="E2790" t="str">
        <v>いそ</v>
      </c>
      <c r="F2790" t="str">
        <v>し</v>
      </c>
      <c r="G2790" t="str">
        <v>いそ。海や湖で、石や岩の多い波打ちぎわ。 水が岩に激しくあたる。転じて、激する。感情が高ぶる。粗くなる。</v>
      </c>
      <c r="H2790" t="str">
        <v>#海・水</v>
      </c>
      <c r="I2790">
        <v>85</v>
      </c>
      <c r="J2790">
        <v>55</v>
      </c>
      <c r="K2790">
        <v>55</v>
      </c>
      <c r="L2790">
        <v>0</v>
      </c>
      <c r="M2790">
        <f>VLOOKUP(A2790,[1]kanji_data!$A:$N,14,FALSE)</f>
        <v>0</v>
      </c>
    </row>
    <row r="2791">
      <c r="A2791" t="str">
        <v>鞠</v>
      </c>
      <c r="B2791">
        <v>17</v>
      </c>
      <c r="C2791" t="b">
        <v>0</v>
      </c>
      <c r="D2791" t="str">
        <v>キク</v>
      </c>
      <c r="E2791" t="str">
        <v>まり やしな（う） かが（む） とりしら（べる）</v>
      </c>
      <c r="F2791" t="str">
        <v>つぐ みつ</v>
      </c>
      <c r="G2791" t="str">
        <v>まり。けまり。皮で作られた球形のもの。＝毬 やしなう。やしない育てる。 きわまる。行き詰まる。 かがむ。かがめる。身をかがめる。 とりしらべる。罪人を取り調べる。問いただす。 みちる。満ち溢れる。</v>
      </c>
      <c r="H2791" t="str">
        <v>#天空 #繁栄 #花・彩</v>
      </c>
      <c r="I2791">
        <v>5</v>
      </c>
      <c r="J2791">
        <v>50</v>
      </c>
      <c r="K2791">
        <v>50</v>
      </c>
      <c r="L2791">
        <v>1</v>
      </c>
    </row>
    <row r="2792">
      <c r="A2792" t="str">
        <v>檎</v>
      </c>
      <c r="B2792">
        <v>17</v>
      </c>
      <c r="C2792" t="b">
        <v>0</v>
      </c>
      <c r="D2792" t="str">
        <v>キン ゴ</v>
      </c>
      <c r="E2792">
        <v>0</v>
      </c>
      <c r="F2792">
        <v>0</v>
      </c>
      <c r="G2792" t="str">
        <v>「林檎」は、バラ科の落葉高木。</v>
      </c>
      <c r="H2792" t="str">
        <v>#自然</v>
      </c>
      <c r="I2792">
        <v>10</v>
      </c>
      <c r="J2792">
        <v>50</v>
      </c>
      <c r="K2792">
        <v>50</v>
      </c>
      <c r="L2792">
        <v>1</v>
      </c>
    </row>
    <row r="2793">
      <c r="A2793" t="str">
        <v>視</v>
      </c>
      <c r="B2793">
        <v>11</v>
      </c>
      <c r="C2793" t="b">
        <v>1</v>
      </c>
      <c r="D2793" t="str">
        <v>シ</v>
      </c>
      <c r="E2793" t="str">
        <v>み（る）</v>
      </c>
      <c r="F2793" t="str">
        <v>のり み みる よし</v>
      </c>
      <c r="G2793" t="str">
        <v>みる。注意してしっかりとみる。 みる。世話をする。 みる。つかさどる。仕事を担当する。 なぞらえる。みくらべる。比較する。</v>
      </c>
      <c r="I2793">
        <v>5</v>
      </c>
      <c r="J2793">
        <v>55</v>
      </c>
      <c r="K2793">
        <v>55</v>
      </c>
      <c r="L2793">
        <v>1</v>
      </c>
    </row>
    <row r="2794">
      <c r="A2794" t="str">
        <v>鴻</v>
      </c>
      <c r="B2794">
        <v>17</v>
      </c>
      <c r="C2794" t="b">
        <v>0</v>
      </c>
      <c r="D2794" t="str">
        <v>コウ</v>
      </c>
      <c r="E2794" t="str">
        <v>おお（きい） おおとり ひしくい</v>
      </c>
      <c r="F2794" t="str">
        <v>とき ひろ ひろし</v>
      </c>
      <c r="G2794" t="str">
        <v>おおとり。カモ科の水鳥。大きなはくちょう。おおはくちょう。 ひしくい。カモ科の水鳥。 おおきい。さかん。</v>
      </c>
      <c r="H2794" t="str">
        <v>#繁栄</v>
      </c>
      <c r="I2794">
        <v>95</v>
      </c>
      <c r="J2794">
        <v>95</v>
      </c>
      <c r="K2794">
        <v>40</v>
      </c>
      <c r="L2794">
        <v>0</v>
      </c>
      <c r="M2794">
        <f>VLOOKUP(A2794,[1]kanji_data!$A:$N,14,FALSE)</f>
        <v>0</v>
      </c>
    </row>
    <row r="2795">
      <c r="A2795" t="str">
        <v>探</v>
      </c>
      <c r="B2795">
        <v>11</v>
      </c>
      <c r="C2795" t="b">
        <v>1</v>
      </c>
      <c r="D2795" t="str">
        <v>タン</v>
      </c>
      <c r="E2795" t="str">
        <v>さが（す） さぐ（る）</v>
      </c>
      <c r="F2795">
        <v>0</v>
      </c>
      <c r="G2795" t="str">
        <v>さぐる。さがす。もとめる。さがしもとめる。 たずねる。さぐりたずねる。</v>
      </c>
      <c r="I2795">
        <v>10</v>
      </c>
      <c r="J2795">
        <v>90</v>
      </c>
      <c r="K2795">
        <v>35</v>
      </c>
      <c r="L2795">
        <v>0</v>
      </c>
      <c r="M2795">
        <f>VLOOKUP(A2795,[1]kanji_data!$A:$N,14,FALSE)</f>
        <v>0</v>
      </c>
    </row>
    <row r="2796">
      <c r="A2796" t="str">
        <v>菓</v>
      </c>
      <c r="B2796">
        <v>11</v>
      </c>
      <c r="C2796" t="b">
        <v>1</v>
      </c>
      <c r="D2796" t="str">
        <v>カ</v>
      </c>
      <c r="E2796" t="str">
        <v>くだもの</v>
      </c>
      <c r="F2796">
        <v>0</v>
      </c>
      <c r="G2796" t="str">
        <v>くだもの。木の実。果実。 かし。おかし。甘い食べ物。</v>
      </c>
      <c r="I2796">
        <v>10</v>
      </c>
      <c r="J2796">
        <v>50</v>
      </c>
      <c r="K2796">
        <v>50</v>
      </c>
      <c r="L2796">
        <v>1</v>
      </c>
    </row>
    <row r="2797">
      <c r="A2797" t="str">
        <v>燦</v>
      </c>
      <c r="B2797">
        <v>17</v>
      </c>
      <c r="C2797" t="b">
        <v>0</v>
      </c>
      <c r="D2797" t="str">
        <v>サン</v>
      </c>
      <c r="E2797" t="str">
        <v>あき（らか） あざ（やか） きら（めく）</v>
      </c>
      <c r="F2797" t="str">
        <v>あきら きよ よし</v>
      </c>
      <c r="G2797" t="str">
        <v>あきらか。あざやか。きらめく。きらびやか。光り輝く。輝かしい。</v>
      </c>
      <c r="H2797" t="str">
        <v>#天空</v>
      </c>
      <c r="I2797">
        <v>100</v>
      </c>
      <c r="J2797">
        <v>60</v>
      </c>
      <c r="K2797">
        <v>55</v>
      </c>
      <c r="L2797">
        <v>0</v>
      </c>
      <c r="M2797">
        <f>VLOOKUP(A2797,[1]kanji_data!$A:$N,14,FALSE)</f>
        <v>0</v>
      </c>
    </row>
    <row r="2798">
      <c r="A2798" t="str">
        <v>濡</v>
      </c>
      <c r="B2798">
        <v>17</v>
      </c>
      <c r="C2798" t="b">
        <v>0</v>
      </c>
      <c r="D2798" t="str">
        <v>ジュ</v>
      </c>
      <c r="E2798" t="str">
        <v>うるお（う） とどこお（る） ぬ（れる）</v>
      </c>
      <c r="F2798">
        <v>0</v>
      </c>
      <c r="G2798" t="str">
        <v>ぬれる。ぬらす。 うるおう。うるおす。 とどこおる。ぐずつく。 雨のめぐみ。また、めぐむ。恩恵を施す。</v>
      </c>
      <c r="H2798" t="str">
        <v>#慈愛 #海・水</v>
      </c>
      <c r="I2798">
        <v>10</v>
      </c>
      <c r="J2798">
        <v>50</v>
      </c>
      <c r="K2798">
        <v>50</v>
      </c>
      <c r="L2798">
        <v>1</v>
      </c>
    </row>
    <row r="2799">
      <c r="A2799" t="str">
        <v>寂</v>
      </c>
      <c r="B2799">
        <v>11</v>
      </c>
      <c r="C2799" t="b">
        <v>1</v>
      </c>
      <c r="D2799" t="str">
        <v>ジャク セキ</v>
      </c>
      <c r="E2799" t="str">
        <v>さび さび（しい） さび（れる） さ（びる） しず（か）</v>
      </c>
      <c r="F2799">
        <v>0</v>
      </c>
      <c r="G2799" t="str">
        <v>さびしい。さびれる。しずか。音もなくひっそりとしている。 仏教で、人の死ぬことをいう。 さび。閑寂さの中にある奥深さやおもむき。</v>
      </c>
      <c r="I2799">
        <v>10</v>
      </c>
      <c r="J2799">
        <v>20</v>
      </c>
      <c r="K2799">
        <v>100</v>
      </c>
      <c r="L2799">
        <v>1</v>
      </c>
    </row>
    <row r="2800">
      <c r="A2800" t="str">
        <v>駿</v>
      </c>
      <c r="B2800">
        <v>17</v>
      </c>
      <c r="C2800" t="b">
        <v>0</v>
      </c>
      <c r="D2800" t="str">
        <v>シュン スン</v>
      </c>
      <c r="E2800" t="str">
        <v>すぐ（れる）</v>
      </c>
      <c r="F2800" t="str">
        <v>たかし とし はやお はやし</v>
      </c>
      <c r="G2800" t="str">
        <v>足の速いすぐれた馬。 すぐれる。すぐれている。すぐれた人。 大きい。偉大な。 すみやか。はやい。迅速。 きびしい。けわしい。</v>
      </c>
      <c r="H2800" t="str">
        <v>#品格 #繁栄</v>
      </c>
      <c r="I2800">
        <v>100</v>
      </c>
      <c r="J2800">
        <v>100</v>
      </c>
      <c r="K2800">
        <v>30</v>
      </c>
      <c r="L2800">
        <v>0</v>
      </c>
      <c r="M2800">
        <f>VLOOKUP(A2800,[1]kanji_data!$A:$N,14,FALSE)</f>
        <v>0</v>
      </c>
    </row>
    <row r="2801">
      <c r="A2801" t="str">
        <v>曙</v>
      </c>
      <c r="B2801">
        <v>17</v>
      </c>
      <c r="C2801" t="b">
        <v>0</v>
      </c>
      <c r="D2801" t="str">
        <v>ショ</v>
      </c>
      <c r="E2801" t="str">
        <v>あけぼの</v>
      </c>
      <c r="F2801" t="str">
        <v>あき あきら あけ</v>
      </c>
      <c r="G2801" t="str">
        <v>あけぼの。夜明け。夜が明けるころ。 あける。夜が明ける。日がのぼりはじめて明るくなる。</v>
      </c>
      <c r="H2801" t="str">
        <v>#天空</v>
      </c>
      <c r="I2801">
        <v>100</v>
      </c>
      <c r="J2801">
        <v>65</v>
      </c>
      <c r="K2801">
        <v>50</v>
      </c>
      <c r="L2801">
        <v>0</v>
      </c>
      <c r="M2801">
        <f>VLOOKUP(A2801,[1]kanji_data!$A:$N,14,FALSE)</f>
        <v>0</v>
      </c>
    </row>
    <row r="2802">
      <c r="A2802" t="str">
        <v>篠</v>
      </c>
      <c r="B2802">
        <v>17</v>
      </c>
      <c r="C2802" t="b">
        <v>0</v>
      </c>
      <c r="D2802" t="str">
        <v>ショウ</v>
      </c>
      <c r="E2802" t="str">
        <v>しの しのだけ</v>
      </c>
      <c r="F2802" t="str">
        <v>ささ</v>
      </c>
      <c r="G2802" t="str">
        <v>しの。しのだけ。ささ。矢を作るのに用いる。</v>
      </c>
      <c r="H2802" t="str">
        <v>#自然</v>
      </c>
      <c r="I2802">
        <v>90</v>
      </c>
      <c r="J2802">
        <v>50</v>
      </c>
      <c r="K2802">
        <v>50</v>
      </c>
      <c r="L2802">
        <v>0</v>
      </c>
      <c r="M2802">
        <f>VLOOKUP(A2802,[1]kanji_data!$A:$N,14,FALSE)</f>
        <v>0</v>
      </c>
    </row>
    <row r="2803">
      <c r="A2803" t="str">
        <v>添</v>
      </c>
      <c r="B2803">
        <v>11</v>
      </c>
      <c r="C2803" t="b">
        <v>1</v>
      </c>
      <c r="D2803" t="str">
        <v>テン</v>
      </c>
      <c r="E2803" t="str">
        <v>そ（う） そ（える）</v>
      </c>
      <c r="F2803">
        <v>0</v>
      </c>
      <c r="G2803" t="str">
        <v>そえる。付け足す。付け加える。 そう。つきそう。夫婦になってつれそう。</v>
      </c>
      <c r="I2803">
        <v>10</v>
      </c>
      <c r="J2803">
        <v>35</v>
      </c>
      <c r="K2803">
        <v>70</v>
      </c>
      <c r="L2803">
        <v>1</v>
      </c>
    </row>
    <row r="2804">
      <c r="A2804" t="str">
        <v>擢</v>
      </c>
      <c r="B2804">
        <v>17</v>
      </c>
      <c r="C2804" t="b">
        <v>0</v>
      </c>
      <c r="D2804" t="str">
        <v>タク ダク テキ</v>
      </c>
      <c r="E2804" t="str">
        <v>ぬき（んでる） ぬ（く）</v>
      </c>
      <c r="F2804">
        <v>0</v>
      </c>
      <c r="G2804" t="str">
        <v>ぬく。ひきぬく。ぬきだす。 ぬきんでる。ひときわ高くつきでる。 ぬきんでる。すぐれる。まさる。</v>
      </c>
      <c r="H2804" t="str">
        <v>#品格 #繁栄</v>
      </c>
      <c r="I2804">
        <v>10</v>
      </c>
      <c r="J2804">
        <v>50</v>
      </c>
      <c r="K2804">
        <v>50</v>
      </c>
      <c r="L2804">
        <v>1</v>
      </c>
    </row>
    <row r="2805">
      <c r="A2805" t="str">
        <v>檀</v>
      </c>
      <c r="B2805">
        <v>17</v>
      </c>
      <c r="C2805" t="b">
        <v>0</v>
      </c>
      <c r="D2805" t="str">
        <v>タン ダン</v>
      </c>
      <c r="E2805" t="str">
        <v>まゆみ</v>
      </c>
      <c r="F2805" t="str">
        <v>せん まゆ</v>
      </c>
      <c r="G2805" t="str">
        <v>ニレ科の落葉高木。中国北部の特産。車輪の材料などに用いられた。 香木。芳香を持つ木。 まゆみ。ニシキギ科の落葉低木。</v>
      </c>
      <c r="H2805" t="str">
        <v>#自然</v>
      </c>
      <c r="I2805">
        <v>95</v>
      </c>
      <c r="J2805">
        <v>45</v>
      </c>
      <c r="K2805">
        <v>65</v>
      </c>
      <c r="L2805">
        <v>0</v>
      </c>
      <c r="M2805">
        <f>VLOOKUP(A2805,[1]kanji_data!$A:$N,14,FALSE)</f>
        <v>0</v>
      </c>
    </row>
    <row r="2806">
      <c r="A2806" t="str">
        <v>描</v>
      </c>
      <c r="B2806">
        <v>11</v>
      </c>
      <c r="C2806" t="b">
        <v>1</v>
      </c>
      <c r="D2806" t="str">
        <v>ビョウ</v>
      </c>
      <c r="E2806" t="str">
        <v>えが（く） か（く）</v>
      </c>
      <c r="F2806">
        <v>0</v>
      </c>
      <c r="G2806" t="str">
        <v>えがく。かく。絵や文章をかく。えがき出す。写しえがく。</v>
      </c>
      <c r="I2806">
        <v>10</v>
      </c>
      <c r="J2806">
        <v>55</v>
      </c>
      <c r="K2806">
        <v>55</v>
      </c>
      <c r="L2806">
        <v>0</v>
      </c>
      <c r="M2806">
        <f>VLOOKUP(A2806,[1]kanji_data!$A:$N,14,FALSE)</f>
        <v>0</v>
      </c>
    </row>
    <row r="2807">
      <c r="A2807" t="str">
        <v>郭</v>
      </c>
      <c r="B2807">
        <v>11</v>
      </c>
      <c r="C2807" t="b">
        <v>1</v>
      </c>
      <c r="D2807" t="str">
        <v>カク</v>
      </c>
      <c r="E2807" t="str">
        <v>くるわ</v>
      </c>
      <c r="F2807" t="str">
        <v>ひろ ひろし</v>
      </c>
      <c r="G2807" t="str">
        <v>くるわ。そとぐるわ。都市や城の周りを囲む壁。 ものの外回り。例：輪郭 くるわ。色里。遊里。</v>
      </c>
      <c r="I2807">
        <v>5</v>
      </c>
      <c r="J2807">
        <v>50</v>
      </c>
      <c r="K2807">
        <v>50</v>
      </c>
      <c r="L2807">
        <v>1</v>
      </c>
    </row>
    <row r="2808">
      <c r="A2808" t="str">
        <v>輿</v>
      </c>
      <c r="B2808">
        <v>17</v>
      </c>
      <c r="C2808" t="b">
        <v>0</v>
      </c>
      <c r="D2808" t="str">
        <v>ヨ</v>
      </c>
      <c r="E2808" t="str">
        <v>おお（い） くるま こし の（せる）</v>
      </c>
      <c r="F2808" t="str">
        <v>お よ</v>
      </c>
      <c r="G2808" t="str">
        <v>おおい。多くの。大勢。もろもろ。 くるま。こし。人やものを乗せてかつぐ乗り物。 人やものをのせる。のせて運ぶ。かつぐ。 万物をのせる台。転じて、大地。例：坤輿（こんよ） 物事のはじまり。 めしつかい。地位の低い人。下僕。</v>
      </c>
      <c r="H2808" t="str">
        <v>#自然</v>
      </c>
      <c r="I2808">
        <v>15</v>
      </c>
      <c r="J2808">
        <v>50</v>
      </c>
      <c r="K2808">
        <v>50</v>
      </c>
      <c r="L2808">
        <v>1</v>
      </c>
    </row>
    <row r="2809">
      <c r="A2809" t="str">
        <v>勘</v>
      </c>
      <c r="B2809">
        <v>11</v>
      </c>
      <c r="C2809" t="b">
        <v>1</v>
      </c>
      <c r="D2809" t="str">
        <v>カン</v>
      </c>
      <c r="E2809" t="str">
        <v>かんが（える）</v>
      </c>
      <c r="F2809">
        <v>0</v>
      </c>
      <c r="G2809" t="str">
        <v>かんがえる。深く考える。くらべて考える。 罪を問いただす。取り調べる。 かん。第六感。直感。</v>
      </c>
      <c r="I2809">
        <v>10</v>
      </c>
      <c r="J2809">
        <v>55</v>
      </c>
      <c r="K2809">
        <v>55</v>
      </c>
      <c r="L2809">
        <v>0</v>
      </c>
      <c r="M2809">
        <f>VLOOKUP(A2809,[1]kanji_data!$A:$N,14,FALSE)</f>
        <v>0</v>
      </c>
    </row>
    <row r="2810">
      <c r="A2810" t="str">
        <v>嶺</v>
      </c>
      <c r="B2810">
        <v>17</v>
      </c>
      <c r="C2810" t="b">
        <v>0</v>
      </c>
      <c r="D2810" t="str">
        <v>リョウ レイ</v>
      </c>
      <c r="E2810" t="str">
        <v>みね</v>
      </c>
      <c r="F2810" t="str">
        <v>ね</v>
      </c>
      <c r="G2810" t="str">
        <v>みね。山の一番高い所。山頂。 みね。連なったみね。山なみ。山脈。 中国南部にある「五嶺山脈（ごれいさんみゃく）」のこと。</v>
      </c>
      <c r="H2810" t="str">
        <v>#繁栄 #自然</v>
      </c>
      <c r="I2810">
        <v>100</v>
      </c>
      <c r="J2810">
        <v>90</v>
      </c>
      <c r="K2810">
        <v>35</v>
      </c>
      <c r="L2810">
        <v>0</v>
      </c>
      <c r="M2810">
        <f>VLOOKUP(A2810,[1]kanji_data!$A:$N,14,FALSE)</f>
        <v>0</v>
      </c>
    </row>
    <row r="2811">
      <c r="A2811" t="str">
        <v>掲</v>
      </c>
      <c r="B2811">
        <v>11</v>
      </c>
      <c r="C2811" t="b">
        <v>1</v>
      </c>
      <c r="D2811" t="str">
        <v>ケイ</v>
      </c>
      <c r="E2811" t="str">
        <v>かか（げる）</v>
      </c>
      <c r="F2811">
        <v>0</v>
      </c>
      <c r="G2811" t="str">
        <v>かかげる。高くあげる。 かかげる。目立つようにする。 かかげる。すそを持ち上げる。</v>
      </c>
      <c r="I2811">
        <v>10</v>
      </c>
      <c r="J2811">
        <v>100</v>
      </c>
      <c r="K2811">
        <v>30</v>
      </c>
      <c r="L2811">
        <v>1</v>
      </c>
    </row>
    <row r="2812">
      <c r="A2812" t="str">
        <v>粘</v>
      </c>
      <c r="B2812">
        <v>11</v>
      </c>
      <c r="C2812" t="b">
        <v>1</v>
      </c>
      <c r="D2812" t="str">
        <v>ネン デン</v>
      </c>
      <c r="E2812" t="str">
        <v>ねば（る）</v>
      </c>
      <c r="F2812">
        <v>0</v>
      </c>
      <c r="G2812" t="str">
        <v>ねばる。ねばりけがある。</v>
      </c>
      <c r="I2812">
        <v>10</v>
      </c>
      <c r="J2812">
        <v>70</v>
      </c>
      <c r="K2812">
        <v>50</v>
      </c>
      <c r="L2812">
        <v>1</v>
      </c>
    </row>
    <row r="2813">
      <c r="A2813" t="str">
        <v>涯</v>
      </c>
      <c r="B2813">
        <v>11</v>
      </c>
      <c r="C2813" t="b">
        <v>1</v>
      </c>
      <c r="D2813" t="str">
        <v>ガイ</v>
      </c>
      <c r="E2813" t="str">
        <v>はて みぎわ</v>
      </c>
      <c r="F2813">
        <v>0</v>
      </c>
      <c r="G2813" t="str">
        <v>みぎわ。みずぎわ。岸。 果て。地の果て。かぎり。終わりとなるところ。</v>
      </c>
      <c r="I2813">
        <v>10</v>
      </c>
      <c r="J2813">
        <v>80</v>
      </c>
      <c r="K2813">
        <v>45</v>
      </c>
      <c r="L2813">
        <v>1</v>
      </c>
    </row>
    <row r="2814">
      <c r="A2814" t="str">
        <v>彌</v>
      </c>
      <c r="B2814">
        <v>18</v>
      </c>
      <c r="C2814" t="b">
        <v>0</v>
      </c>
      <c r="D2814" t="str">
        <v>ビ ミ</v>
      </c>
      <c r="E2814" t="str">
        <v>や あまね（し） いや いよいよ つくろ（う） ひさ（しい） わた（る）</v>
      </c>
      <c r="F2814" t="str">
        <v>ひろ みつ やす</v>
      </c>
      <c r="G2814" t="str">
        <v>ひさしい。とおい。 わたる。月日を経る。時間が経過する。 わたる。あまねし。広く行きわたる。 つくろう。おぎなう。ほころびを縫ってつくろう。 いよいよ。ますます。 ゆるめる。弓のつるを緩める。 いや。いよいよ。さらに。 や。「彌生」などの「や」を表す字。</v>
      </c>
      <c r="H2814" t="str">
        <v>#健康 #天空</v>
      </c>
      <c r="I2814">
        <v>15</v>
      </c>
      <c r="J2814">
        <v>90</v>
      </c>
      <c r="K2814">
        <v>35</v>
      </c>
      <c r="L2814">
        <v>0</v>
      </c>
      <c r="M2814">
        <f>VLOOKUP(A2814,[1]kanji_data!$A:$N,14,FALSE)</f>
        <v>0</v>
      </c>
    </row>
    <row r="2815">
      <c r="A2815" t="str">
        <v>渋</v>
      </c>
      <c r="B2815">
        <v>11</v>
      </c>
      <c r="C2815" t="b">
        <v>1</v>
      </c>
      <c r="D2815" t="str">
        <v>ジュウ シュウ</v>
      </c>
      <c r="E2815" t="str">
        <v>しぶ しぶ（い） しぶ（る）</v>
      </c>
      <c r="F2815">
        <v>0</v>
      </c>
      <c r="G2815" t="str">
        <v>しぶい。味がしぶい。 しぶる。とどこおる。滑らかでない。すんなりと進まない。 しぶ。しぶ柿からとった汁。 しぶい。派手でなく、落ち着いた趣のあること。</v>
      </c>
      <c r="I2815">
        <v>10</v>
      </c>
      <c r="J2815">
        <v>20</v>
      </c>
      <c r="K2815">
        <v>100</v>
      </c>
      <c r="L2815">
        <v>1</v>
      </c>
    </row>
    <row r="2816">
      <c r="A2816" t="str">
        <v>穗</v>
      </c>
      <c r="B2816">
        <v>17</v>
      </c>
      <c r="C2816" t="b">
        <v>0</v>
      </c>
      <c r="D2816" t="str">
        <v>スイ</v>
      </c>
      <c r="E2816" t="str">
        <v>ほ</v>
      </c>
      <c r="F2816">
        <v>0</v>
      </c>
      <c r="G2816" t="str">
        <v>ほ。穀物の茎の先の実のつく部分。ほのような形をしたもの。</v>
      </c>
      <c r="H2816" t="str">
        <v>#自然</v>
      </c>
      <c r="I2816">
        <v>10</v>
      </c>
      <c r="J2816">
        <v>50</v>
      </c>
      <c r="K2816">
        <v>55</v>
      </c>
      <c r="L2816">
        <v>0</v>
      </c>
      <c r="M2816">
        <f>VLOOKUP(A2816,[1]kanji_data!$A:$N,14,FALSE)</f>
        <v>0</v>
      </c>
    </row>
    <row r="2817">
      <c r="A2817" t="str">
        <v>袈</v>
      </c>
      <c r="B2817">
        <v>11</v>
      </c>
      <c r="C2817" t="b">
        <v>0</v>
      </c>
      <c r="D2817" t="str">
        <v>ケ</v>
      </c>
      <c r="E2817">
        <v>0</v>
      </c>
      <c r="F2817">
        <v>0</v>
      </c>
      <c r="G2817" t="str">
        <v>梵語の音訳「袈裟」に用いる字。</v>
      </c>
      <c r="I2817">
        <v>10</v>
      </c>
      <c r="J2817">
        <v>45</v>
      </c>
      <c r="K2817">
        <v>70</v>
      </c>
      <c r="L2817">
        <v>1</v>
      </c>
    </row>
    <row r="2818">
      <c r="A2818" t="str">
        <v>袴</v>
      </c>
      <c r="B2818">
        <v>11</v>
      </c>
      <c r="C2818" t="b">
        <v>0</v>
      </c>
      <c r="D2818" t="str">
        <v>コ</v>
      </c>
      <c r="E2818" t="str">
        <v>はかま ももひき</v>
      </c>
      <c r="F2818">
        <v>0</v>
      </c>
      <c r="G2818" t="str">
        <v>ももひき。ズボン。 はかま。腰から足首までをおおう和服。</v>
      </c>
      <c r="I2818">
        <v>10</v>
      </c>
      <c r="J2818">
        <v>45</v>
      </c>
      <c r="K2818">
        <v>65</v>
      </c>
      <c r="L2818">
        <v>1</v>
      </c>
    </row>
    <row r="2819">
      <c r="A2819" t="str">
        <v>埴</v>
      </c>
      <c r="B2819">
        <v>11</v>
      </c>
      <c r="C2819" t="b">
        <v>0</v>
      </c>
      <c r="D2819" t="str">
        <v>ショク</v>
      </c>
      <c r="E2819" t="str">
        <v>はに</v>
      </c>
      <c r="F2819">
        <v>0</v>
      </c>
      <c r="G2819" t="str">
        <v>はに。ねばりけのある土。粘土。</v>
      </c>
      <c r="I2819">
        <v>10</v>
      </c>
      <c r="J2819">
        <v>50</v>
      </c>
      <c r="K2819">
        <v>50</v>
      </c>
      <c r="L2819">
        <v>1</v>
      </c>
    </row>
    <row r="2820">
      <c r="A2820" t="str">
        <v>繁</v>
      </c>
      <c r="B2820">
        <v>17</v>
      </c>
      <c r="C2820" t="b">
        <v>0</v>
      </c>
      <c r="D2820" t="str">
        <v>ハン</v>
      </c>
      <c r="E2820" t="str">
        <v>しげ（る） わずら（わしい）</v>
      </c>
      <c r="F2820">
        <v>0</v>
      </c>
      <c r="G2820" t="str">
        <v>しげる。ふえる。草木がしげる。 さかんになる。さかんである。さかえる。 わずらわしい。しきりに。忙しい。 馬の腹帯。</v>
      </c>
      <c r="H2820" t="str">
        <v>#繁栄 #自然</v>
      </c>
      <c r="I2820">
        <v>10</v>
      </c>
      <c r="J2820">
        <v>100</v>
      </c>
      <c r="K2820">
        <v>25</v>
      </c>
      <c r="L2820">
        <v>0</v>
      </c>
      <c r="M2820">
        <f>VLOOKUP(A2820,[1]kanji_data!$A:$N,14,FALSE)</f>
        <v>0</v>
      </c>
    </row>
    <row r="2821">
      <c r="A2821" t="str">
        <v>薰</v>
      </c>
      <c r="B2821">
        <v>19</v>
      </c>
      <c r="C2821" t="b">
        <v>0</v>
      </c>
      <c r="D2821" t="str">
        <v>クン</v>
      </c>
      <c r="E2821" t="str">
        <v>かお（る） かおりぐさ た（く）</v>
      </c>
      <c r="F2821">
        <v>0</v>
      </c>
      <c r="G2821" t="str">
        <v>かおる。よいかおり。よいにおいがする。 かおりぐさ。香草の一種。特有の香りをもつ。 たく。くすべる。いぶす。 人を感化する。良い感化を与える。</v>
      </c>
      <c r="H2821" t="str">
        <v>#花・彩</v>
      </c>
      <c r="I2821">
        <v>10</v>
      </c>
      <c r="J2821">
        <v>45</v>
      </c>
      <c r="K2821">
        <v>65</v>
      </c>
      <c r="L2821">
        <v>0</v>
      </c>
      <c r="M2821">
        <f>VLOOKUP(A2821,[1]kanji_data!$A:$N,14,FALSE)</f>
        <v>0</v>
      </c>
    </row>
    <row r="2822">
      <c r="A2822" t="str">
        <v>擊</v>
      </c>
      <c r="B2822">
        <v>17</v>
      </c>
      <c r="C2822" t="b">
        <v>0</v>
      </c>
      <c r="D2822" t="str">
        <v>ゲキ ケキ</v>
      </c>
      <c r="E2822" t="str">
        <v>う（つ）</v>
      </c>
      <c r="F2822">
        <v>0</v>
      </c>
      <c r="G2822" t="str">
        <v>うつ。強くうつ。強くたたく。 うつ。敵を攻撃する。敵と戦う。 うつ。弾丸などをうち出す。うち当てる。</v>
      </c>
      <c r="H2822" t="str">
        <v>#天空</v>
      </c>
      <c r="I2822">
        <v>10</v>
      </c>
      <c r="J2822">
        <v>50</v>
      </c>
      <c r="K2822">
        <v>50</v>
      </c>
      <c r="L2822">
        <v>1</v>
      </c>
    </row>
    <row r="2823">
      <c r="A2823" t="str">
        <v>鍊</v>
      </c>
      <c r="B2823">
        <v>17</v>
      </c>
      <c r="C2823" t="b">
        <v>0</v>
      </c>
      <c r="D2823" t="str">
        <v>レン</v>
      </c>
      <c r="E2823" t="str">
        <v>ね（る）</v>
      </c>
      <c r="F2823">
        <v>0</v>
      </c>
      <c r="G2823" t="str">
        <v>ねる。鉱石を熱して不純物を取り除く。質を高める。＝煉 ねる。薬をねり合わせる。＝煉 ねる。ねりあげる。ねりきたえる。</v>
      </c>
      <c r="H2823" t="str">
        <v>#勇気</v>
      </c>
      <c r="I2823">
        <v>10</v>
      </c>
      <c r="J2823">
        <v>100</v>
      </c>
      <c r="K2823">
        <v>25</v>
      </c>
      <c r="L2823">
        <v>0</v>
      </c>
      <c r="M2823">
        <f>VLOOKUP(A2823,[1]kanji_data!$A:$N,14,FALSE)</f>
        <v>0</v>
      </c>
    </row>
    <row r="2824">
      <c r="A2824" t="str">
        <v>顔</v>
      </c>
      <c r="B2824">
        <v>18</v>
      </c>
      <c r="C2824" t="b">
        <v>1</v>
      </c>
      <c r="D2824" t="str">
        <v>ガン</v>
      </c>
      <c r="E2824" t="str">
        <v>かお かんばせ</v>
      </c>
      <c r="F2824">
        <v>0</v>
      </c>
      <c r="G2824" t="str">
        <v>かお。つら。ひたい。おでこ。 かお。かんばせ。かおつき。かおいろ。 いろどり。色合い。彩色。</v>
      </c>
      <c r="H2824" t="str">
        <v>#花・彩</v>
      </c>
      <c r="I2824">
        <v>10</v>
      </c>
      <c r="J2824">
        <v>50</v>
      </c>
      <c r="K2824">
        <v>50</v>
      </c>
      <c r="L2824">
        <v>1</v>
      </c>
    </row>
    <row r="2825">
      <c r="A2825" t="str">
        <v>曜</v>
      </c>
      <c r="B2825">
        <v>18</v>
      </c>
      <c r="C2825" t="b">
        <v>1</v>
      </c>
      <c r="D2825" t="str">
        <v>ヨウ</v>
      </c>
      <c r="E2825" t="str">
        <v>かがや（く）</v>
      </c>
      <c r="F2825" t="str">
        <v>あき あきら てらす てる ひかり</v>
      </c>
      <c r="G2825" t="str">
        <v>かがやく。ひかりかがやく。 ひかり。太陽のひかり。 日（太陽）・月（太陰）・五星（火星・水星・木星・金星・土星）を合わせた七つの天体。七曜。 よう。七日（一週間）に七曜を当てはめて呼ぶもの。</v>
      </c>
      <c r="H2825" t="str">
        <v>#天空</v>
      </c>
      <c r="I2825">
        <v>100</v>
      </c>
      <c r="J2825">
        <v>60</v>
      </c>
      <c r="K2825">
        <v>55</v>
      </c>
      <c r="L2825">
        <v>0</v>
      </c>
      <c r="M2825">
        <f>VLOOKUP(A2825,[1]kanji_data!$A:$N,14,FALSE)</f>
        <v>0</v>
      </c>
    </row>
    <row r="2826">
      <c r="A2826" t="str">
        <v>題</v>
      </c>
      <c r="B2826">
        <v>18</v>
      </c>
      <c r="C2826" t="b">
        <v>1</v>
      </c>
      <c r="D2826" t="str">
        <v>ダイ テイ</v>
      </c>
      <c r="E2826" t="str">
        <v>ひたい</v>
      </c>
      <c r="F2826">
        <v>0</v>
      </c>
      <c r="G2826" t="str">
        <v>ひたい。おでこ。まゆから髪の生えぎわのあたりまでの部分。 見出し。内容を短い言葉にまとめてあらわしたもの。 問われたり、与えられたりする事柄。 書きつける。書きしるす。 品定めする。評価する。 みる。よく見る。見つめる。</v>
      </c>
      <c r="H2826" t="str">
        <v>#自然</v>
      </c>
      <c r="I2826">
        <v>10</v>
      </c>
      <c r="J2826">
        <v>50</v>
      </c>
      <c r="K2826">
        <v>50</v>
      </c>
      <c r="L2826">
        <v>1</v>
      </c>
    </row>
    <row r="2827">
      <c r="A2827" t="str">
        <v>観</v>
      </c>
      <c r="B2827">
        <v>18</v>
      </c>
      <c r="C2827" t="b">
        <v>1</v>
      </c>
      <c r="D2827" t="str">
        <v>カン</v>
      </c>
      <c r="E2827" t="str">
        <v>しめ（す） み（る） み（せる）</v>
      </c>
      <c r="F2827" t="str">
        <v>あき あきら</v>
      </c>
      <c r="G2827" t="str">
        <v>みる。よく見る。注意して見る。 みる。広く見わたす。 しめす。みせる。人々に見せる。 ありさま。様子。姿。外見。 ものの見方。考え方。意識。 易（エキ）の六十四卦の一つ。 見晴らし台。高く立てた建物。 寺。道教の寺院。</v>
      </c>
      <c r="H2827" t="str">
        <v>#天空</v>
      </c>
      <c r="I2827">
        <v>20</v>
      </c>
      <c r="J2827">
        <v>50</v>
      </c>
      <c r="K2827">
        <v>50</v>
      </c>
      <c r="L2827">
        <v>0</v>
      </c>
      <c r="M2827">
        <f>VLOOKUP(A2827,[1]kanji_data!$A:$N,14,FALSE)</f>
        <v>0</v>
      </c>
    </row>
    <row r="2828">
      <c r="A2828" t="str">
        <v>験</v>
      </c>
      <c r="B2828">
        <v>18</v>
      </c>
      <c r="C2828" t="b">
        <v>1</v>
      </c>
      <c r="D2828" t="str">
        <v>ケン ゲン</v>
      </c>
      <c r="E2828" t="str">
        <v>あかし しるし ため（す）</v>
      </c>
      <c r="F2828">
        <v>0</v>
      </c>
      <c r="G2828" t="str">
        <v>あかし。しるし。証拠。 ためす。こころみる。調べる。 げん。縁起。</v>
      </c>
      <c r="H2828" t="str">
        <v>#心・志</v>
      </c>
      <c r="I2828">
        <v>10</v>
      </c>
      <c r="J2828">
        <v>50</v>
      </c>
      <c r="K2828">
        <v>50</v>
      </c>
      <c r="L2828">
        <v>1</v>
      </c>
    </row>
    <row r="2829">
      <c r="A2829" t="str">
        <v>捺</v>
      </c>
      <c r="B2829">
        <v>11</v>
      </c>
      <c r="C2829" t="b">
        <v>0</v>
      </c>
      <c r="D2829" t="str">
        <v>ダツ ナツ</v>
      </c>
      <c r="E2829" t="str">
        <v>お（す）</v>
      </c>
      <c r="F2829" t="str">
        <v>とし</v>
      </c>
      <c r="G2829" t="str">
        <v>おす。上からおさえつける。 書法「永字八法」での「磔」。右はらいのこと。</v>
      </c>
      <c r="I2829">
        <v>5</v>
      </c>
      <c r="J2829">
        <v>50</v>
      </c>
      <c r="K2829">
        <v>50</v>
      </c>
      <c r="L2829">
        <v>0</v>
      </c>
      <c r="M2829">
        <f>VLOOKUP(A2829,[1]kanji_data!$A:$N,14,FALSE)</f>
        <v>0</v>
      </c>
    </row>
    <row r="2830">
      <c r="A2830" t="str">
        <v>額</v>
      </c>
      <c r="B2830">
        <v>18</v>
      </c>
      <c r="C2830" t="b">
        <v>1</v>
      </c>
      <c r="D2830" t="str">
        <v>ガク</v>
      </c>
      <c r="E2830" t="str">
        <v>ひたい ぬか ぬか（ずく）</v>
      </c>
      <c r="F2830">
        <v>0</v>
      </c>
      <c r="G2830" t="str">
        <v>ひたい。ぬか。おでこ。まゆから髪の生えぎわのあたりまでの部分。 たか。決められた数量。 板や紙に文字を書いて、門や部屋の壁などに掲げておくもの。 ぬかずく。頭を地につけて礼拝する。</v>
      </c>
      <c r="H2830" t="str">
        <v>#品格</v>
      </c>
      <c r="I2830">
        <v>10</v>
      </c>
      <c r="J2830">
        <v>50</v>
      </c>
      <c r="K2830">
        <v>50</v>
      </c>
      <c r="L2830">
        <v>1</v>
      </c>
    </row>
    <row r="2831">
      <c r="A2831" t="str">
        <v>捧</v>
      </c>
      <c r="B2831">
        <v>11</v>
      </c>
      <c r="C2831" t="b">
        <v>0</v>
      </c>
      <c r="D2831" t="str">
        <v>ホウ</v>
      </c>
      <c r="E2831" t="str">
        <v>かか（える） ささ（げる）</v>
      </c>
      <c r="F2831">
        <v>0</v>
      </c>
      <c r="G2831" t="str">
        <v>ささげる。両手で高くあげて持つ。 かかえる。かかえこむ。かかえ持つ。</v>
      </c>
      <c r="I2831">
        <v>10</v>
      </c>
      <c r="J2831">
        <v>60</v>
      </c>
      <c r="K2831">
        <v>50</v>
      </c>
      <c r="L2831">
        <v>1</v>
      </c>
    </row>
    <row r="2832">
      <c r="A2832" t="str">
        <v>織</v>
      </c>
      <c r="B2832">
        <v>18</v>
      </c>
      <c r="C2832" t="b">
        <v>1</v>
      </c>
      <c r="D2832" t="str">
        <v>シキ ショク シ</v>
      </c>
      <c r="E2832" t="str">
        <v>お（る）</v>
      </c>
      <c r="F2832" t="str">
        <v>おり り</v>
      </c>
      <c r="G2832" t="str">
        <v>おる。はたおり。機をおる。布をおる。また、織ったもの。 組み立てる。 あやぎぬ。色糸で織った絹織物。 しるし。はた。旗じるし。</v>
      </c>
      <c r="H2832" t="str">
        <v>#天空 #花・彩</v>
      </c>
      <c r="I2832">
        <v>90</v>
      </c>
      <c r="J2832">
        <v>55</v>
      </c>
      <c r="K2832">
        <v>55</v>
      </c>
      <c r="L2832">
        <v>0</v>
      </c>
      <c r="M2832">
        <f>VLOOKUP(A2832,[1]kanji_data!$A:$N,14,FALSE)</f>
        <v>0</v>
      </c>
    </row>
    <row r="2833">
      <c r="A2833" t="str">
        <v>簡</v>
      </c>
      <c r="B2833">
        <v>18</v>
      </c>
      <c r="C2833" t="b">
        <v>1</v>
      </c>
      <c r="D2833" t="str">
        <v>カン ケン</v>
      </c>
      <c r="E2833" t="str">
        <v>えら（ぶ） ふだ</v>
      </c>
      <c r="F2833">
        <v>0</v>
      </c>
      <c r="G2833" t="str">
        <v>ふだ。文字を書き記すための竹製のふだ。 ふみ。手紙。書物。 省く。減らす。手軽にする。 手軽な。おおまかな。 えらぶ。よりわける。 つつましい。つづまやか。 おろそかにする。おこたる。おごる。あなどる。みくだす。 大きい。志が大きい。</v>
      </c>
      <c r="H2833" t="str">
        <v>#心・志 #自然</v>
      </c>
      <c r="I2833">
        <v>10</v>
      </c>
      <c r="J2833">
        <v>50</v>
      </c>
      <c r="K2833">
        <v>50</v>
      </c>
      <c r="L2833">
        <v>1</v>
      </c>
    </row>
    <row r="2834">
      <c r="A2834" t="str">
        <v>難</v>
      </c>
      <c r="B2834">
        <v>18</v>
      </c>
      <c r="C2834" t="b">
        <v>1</v>
      </c>
      <c r="D2834" t="str">
        <v>ナン ダ ダン ナ</v>
      </c>
      <c r="E2834" t="str">
        <v>むずか（しい） かた（い） にく（い） むつか（しい）</v>
      </c>
      <c r="F2834">
        <v>0</v>
      </c>
      <c r="G2834" t="str">
        <v>むずかしい。かたい。やりづらい。 わざわい。うれい。苦しみ。 いくさ。争い。戦乱。 なじる。責める。とがめる。 葉が盛んに茂るさま。 おにやらい。疫病神を追い払う行事。＝儺</v>
      </c>
      <c r="H2834" t="str">
        <v>#自然</v>
      </c>
      <c r="I2834">
        <v>10</v>
      </c>
      <c r="J2834">
        <v>50</v>
      </c>
      <c r="K2834">
        <v>50</v>
      </c>
      <c r="L2834">
        <v>1</v>
      </c>
    </row>
    <row r="2835">
      <c r="A2835" t="str">
        <v>臨</v>
      </c>
      <c r="B2835">
        <v>18</v>
      </c>
      <c r="C2835" t="b">
        <v>1</v>
      </c>
      <c r="D2835" t="str">
        <v>リン</v>
      </c>
      <c r="E2835" t="str">
        <v>のぞ（む）</v>
      </c>
      <c r="F2835">
        <v>0</v>
      </c>
      <c r="G2835" t="str">
        <v>のぞむ。見おろす。高所から見おろす。 貴人がその場へ出向く。 目の前にする。目の当たりにする。直面する。 治める。統治する。 ちょうどその時に。 写す。みてそのとおりに写す。 易（エキ）の六十四卦の一つ。 葬儀の時に声をあげて泣く礼。</v>
      </c>
      <c r="H2835" t="str">
        <v>#品格</v>
      </c>
      <c r="I2835">
        <v>40</v>
      </c>
      <c r="J2835">
        <v>90</v>
      </c>
      <c r="K2835">
        <v>45</v>
      </c>
      <c r="L2835">
        <v>0</v>
      </c>
      <c r="M2835">
        <f>VLOOKUP(A2835,[1]kanji_data!$A:$N,14,FALSE)</f>
        <v>0</v>
      </c>
    </row>
    <row r="2836">
      <c r="A2836" t="str">
        <v>菱</v>
      </c>
      <c r="B2836">
        <v>11</v>
      </c>
      <c r="C2836" t="b">
        <v>0</v>
      </c>
      <c r="D2836" t="str">
        <v>リョウ</v>
      </c>
      <c r="E2836" t="str">
        <v>ひし</v>
      </c>
      <c r="F2836">
        <v>0</v>
      </c>
      <c r="G2836" t="str">
        <v>ひし。水草の名。ひし科の一年草。</v>
      </c>
      <c r="I2836">
        <v>10</v>
      </c>
      <c r="J2836">
        <v>50</v>
      </c>
      <c r="K2836">
        <v>50</v>
      </c>
      <c r="L2836">
        <v>1</v>
      </c>
    </row>
    <row r="2837">
      <c r="A2837" t="str">
        <v>瞬</v>
      </c>
      <c r="B2837">
        <v>18</v>
      </c>
      <c r="C2837" t="b">
        <v>1</v>
      </c>
      <c r="D2837" t="str">
        <v>シュン</v>
      </c>
      <c r="E2837" t="str">
        <v>またた（く） しばた（く） しばたた（く） まじろ（ぐ） まばた（く）</v>
      </c>
      <c r="F2837">
        <v>0</v>
      </c>
      <c r="G2837" t="str">
        <v>またたく。まばたく。まじろぐ。しばたく。まばたきをする。しばたたく。またたき。まばたき。 きわめて短い時間。まばたきするほどの時間。例：瞬間</v>
      </c>
      <c r="H2837" t="str">
        <v>#天空 #幸福</v>
      </c>
      <c r="I2837">
        <v>40</v>
      </c>
      <c r="J2837">
        <v>85</v>
      </c>
      <c r="K2837">
        <v>45</v>
      </c>
      <c r="L2837">
        <v>0</v>
      </c>
      <c r="M2837">
        <f>VLOOKUP(A2837,[1]kanji_data!$A:$N,14,FALSE)</f>
        <v>0</v>
      </c>
    </row>
    <row r="2838">
      <c r="A2838" t="str">
        <v>騒</v>
      </c>
      <c r="B2838">
        <v>18</v>
      </c>
      <c r="C2838" t="b">
        <v>1</v>
      </c>
      <c r="D2838" t="str">
        <v>ソウ</v>
      </c>
      <c r="E2838" t="str">
        <v>さわ（ぐ） うれ（い） ざわ（つく） ぞめ（く）</v>
      </c>
      <c r="F2838">
        <v>0</v>
      </c>
      <c r="G2838" t="str">
        <v>さわぐ。さわがしい。さわがす。 うれい。うれえる。思い悩む。心配する。 中国の韻文における文体のひとつ。 ぞめく。浮かれてさわぐ。</v>
      </c>
      <c r="H2838" t="str">
        <v>#心・志</v>
      </c>
      <c r="I2838">
        <v>10</v>
      </c>
      <c r="J2838">
        <v>50</v>
      </c>
      <c r="K2838">
        <v>50</v>
      </c>
      <c r="L2838">
        <v>1</v>
      </c>
    </row>
    <row r="2839">
      <c r="A2839" t="str">
        <v>贈</v>
      </c>
      <c r="B2839">
        <v>18</v>
      </c>
      <c r="C2839" t="b">
        <v>1</v>
      </c>
      <c r="D2839" t="str">
        <v>ソウ ゾウ</v>
      </c>
      <c r="E2839" t="str">
        <v>おく（る）</v>
      </c>
      <c r="F2839" t="str">
        <v>たま ます</v>
      </c>
      <c r="G2839" t="str">
        <v>おくる。感謝や愛情などの気持ちを込めて物や金品を与える。 おくりもの。プレゼント。 功績のあった人に対して、その人の死後に朝廷が官位や称号を与える。また、その官位や称号を示す語。</v>
      </c>
      <c r="H2839" t="str">
        <v>#心・志 #慈愛</v>
      </c>
      <c r="I2839">
        <v>15</v>
      </c>
      <c r="J2839">
        <v>50</v>
      </c>
      <c r="K2839">
        <v>50</v>
      </c>
      <c r="L2839">
        <v>1</v>
      </c>
    </row>
    <row r="2840">
      <c r="A2840" t="str">
        <v>専</v>
      </c>
      <c r="B2840">
        <v>11</v>
      </c>
      <c r="C2840" t="b">
        <v>1</v>
      </c>
      <c r="D2840" t="str">
        <v>セン</v>
      </c>
      <c r="E2840" t="str">
        <v>もっぱ（ら） ほしいまま</v>
      </c>
      <c r="F2840">
        <v>0</v>
      </c>
      <c r="G2840" t="str">
        <v>もっぱら。ひたすら。いちずに。 ほしいまま。ほしいままにする。もっぱらにする。また、ひとりじめにする。</v>
      </c>
      <c r="I2840">
        <v>10</v>
      </c>
      <c r="J2840">
        <v>70</v>
      </c>
      <c r="K2840">
        <v>50</v>
      </c>
      <c r="L2840">
        <v>1</v>
      </c>
    </row>
    <row r="2841">
      <c r="A2841" t="str">
        <v>帯</v>
      </c>
      <c r="B2841">
        <v>10</v>
      </c>
      <c r="C2841" t="b">
        <v>1</v>
      </c>
      <c r="D2841" t="str">
        <v>タイ</v>
      </c>
      <c r="E2841" t="str">
        <v>おび お（びる）</v>
      </c>
      <c r="F2841">
        <v>0</v>
      </c>
      <c r="G2841" t="str">
        <v>おび。着物の上から腰に巻く細長い布。 おびる。身につける。 ひきいる。引き連れる。</v>
      </c>
      <c r="I2841">
        <v>10</v>
      </c>
      <c r="J2841">
        <v>55</v>
      </c>
      <c r="K2841">
        <v>55</v>
      </c>
      <c r="L2841">
        <v>1</v>
      </c>
    </row>
    <row r="2842">
      <c r="A2842" t="str">
        <v>答</v>
      </c>
      <c r="B2842">
        <v>12</v>
      </c>
      <c r="C2842" t="b">
        <v>1</v>
      </c>
      <c r="D2842" t="str">
        <v>トウ</v>
      </c>
      <c r="E2842" t="str">
        <v>こた（え） こた（える）</v>
      </c>
      <c r="F2842" t="str">
        <v>さと とし とみ とも のり</v>
      </c>
      <c r="G2842" t="str">
        <v>こたえる。返事をする。むくいる。 こたえ。返事。例：解答</v>
      </c>
      <c r="I2842">
        <v>5</v>
      </c>
      <c r="J2842">
        <v>50</v>
      </c>
      <c r="K2842">
        <v>50</v>
      </c>
      <c r="L2842">
        <v>0</v>
      </c>
      <c r="M2842">
        <f>VLOOKUP(A2842,[1]kanji_data!$A:$N,14,FALSE)</f>
        <v>0</v>
      </c>
    </row>
    <row r="2843">
      <c r="A2843" t="str">
        <v>営</v>
      </c>
      <c r="B2843">
        <v>12</v>
      </c>
      <c r="C2843" t="b">
        <v>1</v>
      </c>
      <c r="D2843" t="str">
        <v>エイ ヨウ</v>
      </c>
      <c r="E2843" t="str">
        <v>いとな（む）</v>
      </c>
      <c r="F2843">
        <v>0</v>
      </c>
      <c r="G2843" t="str">
        <v>いとなむ。仕事をする。仕事に励む。 いとなむ。計画する。用意する。 とりで。陣屋。陣地。兵士がとどまるところ。</v>
      </c>
      <c r="I2843">
        <v>10</v>
      </c>
      <c r="J2843">
        <v>75</v>
      </c>
      <c r="K2843">
        <v>45</v>
      </c>
      <c r="L2843">
        <v>1</v>
      </c>
    </row>
    <row r="2844">
      <c r="A2844" t="str">
        <v>検</v>
      </c>
      <c r="B2844">
        <v>12</v>
      </c>
      <c r="C2844" t="b">
        <v>1</v>
      </c>
      <c r="D2844" t="str">
        <v>ケン</v>
      </c>
      <c r="E2844" t="str">
        <v>あらた（める） しら（べる）</v>
      </c>
      <c r="F2844">
        <v>0</v>
      </c>
      <c r="G2844" t="str">
        <v>しらべる。あらためる。良し悪しを調べる。とり調べる。 文章などを封じて印をおす。封印。 取り締まる。引き締める。締めくくる。</v>
      </c>
      <c r="I2844">
        <v>10</v>
      </c>
      <c r="J2844">
        <v>50</v>
      </c>
      <c r="K2844">
        <v>50</v>
      </c>
      <c r="L2844">
        <v>0</v>
      </c>
      <c r="M2844">
        <f>VLOOKUP(A2844,[1]kanji_data!$A:$N,14,FALSE)</f>
        <v>0</v>
      </c>
    </row>
    <row r="2845">
      <c r="A2845" t="str">
        <v>礎</v>
      </c>
      <c r="B2845">
        <v>18</v>
      </c>
      <c r="C2845" t="b">
        <v>1</v>
      </c>
      <c r="D2845" t="str">
        <v>ソ</v>
      </c>
      <c r="E2845" t="str">
        <v>いしずえ</v>
      </c>
      <c r="F2845" t="str">
        <v>き</v>
      </c>
      <c r="G2845" t="str">
        <v>いしずえ。家屋の柱の下におく土台石。 物事のもとい。もとになる部分。基本。</v>
      </c>
      <c r="H2845" t="str">
        <v>#品格 #繁栄</v>
      </c>
      <c r="I2845">
        <v>100</v>
      </c>
      <c r="J2845">
        <v>100</v>
      </c>
      <c r="K2845">
        <v>35</v>
      </c>
      <c r="L2845">
        <v>0</v>
      </c>
      <c r="M2845">
        <f>VLOOKUP(A2845,[1]kanji_data!$A:$N,14,FALSE)</f>
        <v>0</v>
      </c>
    </row>
    <row r="2846">
      <c r="A2846" t="str">
        <v>鎮</v>
      </c>
      <c r="B2846">
        <v>18</v>
      </c>
      <c r="C2846" t="b">
        <v>1</v>
      </c>
      <c r="D2846" t="str">
        <v>チン テン</v>
      </c>
      <c r="E2846" t="str">
        <v>しず（まる） しず（める） おさ（え）</v>
      </c>
      <c r="F2846" t="str">
        <v>おさむ しげ しげる しず しずか しずむ しずめ たね つね まこと まさ まもる やす やすし</v>
      </c>
      <c r="G2846" t="str">
        <v>しずめる。しっかりとおさえる。おさえつける。 しずめる。やすめる。しずめおさえる。やすらかにする。 おさえ。おもし。上からおさえるためにおく重みのあるもの。 おさえ。重要なもの。中心的なもの。 まち。大きなまち。 つねに。ずっと。いつまでも。 うずめる。ふさぐ。＝填</v>
      </c>
      <c r="H2846" t="str">
        <v>#品格 #調和</v>
      </c>
      <c r="I2846">
        <v>90</v>
      </c>
      <c r="J2846">
        <v>40</v>
      </c>
      <c r="K2846">
        <v>75</v>
      </c>
      <c r="L2846">
        <v>0</v>
      </c>
      <c r="M2846">
        <f>VLOOKUP(A2846,[1]kanji_data!$A:$N,14,FALSE)</f>
        <v>0</v>
      </c>
    </row>
    <row r="2847">
      <c r="A2847" t="str">
        <v>藩</v>
      </c>
      <c r="B2847">
        <v>18</v>
      </c>
      <c r="C2847" t="b">
        <v>1</v>
      </c>
      <c r="D2847" t="str">
        <v>ハン</v>
      </c>
      <c r="E2847" t="str">
        <v>まがき</v>
      </c>
      <c r="F2847">
        <v>0</v>
      </c>
      <c r="G2847" t="str">
        <v>まがき。垣根。へい。おおい。 境。区域。 おおう。守る。 地方を治めて、王室の守りとなった諸侯。 はん。江戸時代、大名が領有する土地やそこに住む領民の総称。</v>
      </c>
      <c r="H2847" t="str">
        <v>#海・水 #自然</v>
      </c>
      <c r="I2847">
        <v>10</v>
      </c>
      <c r="J2847">
        <v>50</v>
      </c>
      <c r="K2847">
        <v>50</v>
      </c>
      <c r="L2847">
        <v>1</v>
      </c>
    </row>
    <row r="2848">
      <c r="A2848" t="str">
        <v>覆</v>
      </c>
      <c r="B2848">
        <v>18</v>
      </c>
      <c r="C2848" t="b">
        <v>1</v>
      </c>
      <c r="D2848" t="str">
        <v>フク フ フウ</v>
      </c>
      <c r="E2848" t="str">
        <v>おお（う） くつがえ（す） くつがえ（る）</v>
      </c>
      <c r="F2848">
        <v>0</v>
      </c>
      <c r="G2848" t="str">
        <v>くつがえる。くつがえす。ひっくり返す。ひっくり返る。ほろぼす。やぶる。 反対に。かえって。 くりかえす。反復する。かさねる。 調べる。明らかにする。検査する。 おおう。かぶせる。かくす。つつむ。 待ち伏せする。伏兵。</v>
      </c>
      <c r="H2848" t="str">
        <v>#知性</v>
      </c>
      <c r="I2848">
        <v>10</v>
      </c>
      <c r="J2848">
        <v>50</v>
      </c>
      <c r="K2848">
        <v>50</v>
      </c>
      <c r="L2848">
        <v>1</v>
      </c>
    </row>
    <row r="2849">
      <c r="A2849" t="str">
        <v>提</v>
      </c>
      <c r="B2849">
        <v>12</v>
      </c>
      <c r="C2849" t="b">
        <v>1</v>
      </c>
      <c r="D2849" t="str">
        <v>テイ ダイ チョウ</v>
      </c>
      <c r="E2849" t="str">
        <v>さ（げる） ひさげ ひっさ（げる）</v>
      </c>
      <c r="F2849">
        <v>0</v>
      </c>
      <c r="G2849" t="str">
        <v>さげる。ひっさげる。持つ。手にさげて持つ。 かかげる。かかげて示す。差し出す。 ひきいる。ひきつれる。 筆画の一つ。書法「永字八法」での「策」。右斜め上に向かうはねのこと。</v>
      </c>
      <c r="I2849">
        <v>10</v>
      </c>
      <c r="J2849">
        <v>50</v>
      </c>
      <c r="K2849">
        <v>50</v>
      </c>
      <c r="L2849">
        <v>1</v>
      </c>
    </row>
    <row r="2850">
      <c r="A2850" t="str">
        <v>評</v>
      </c>
      <c r="B2850">
        <v>12</v>
      </c>
      <c r="C2850" t="b">
        <v>1</v>
      </c>
      <c r="D2850" t="str">
        <v>ヒョウ ヘイ</v>
      </c>
      <c r="E2850" t="str">
        <v>あげつら（う） はか（る）</v>
      </c>
      <c r="F2850">
        <v>0</v>
      </c>
      <c r="G2850" t="str">
        <v>はかる。あげつらう。しなさだめする。 しなさだめ。 文体のひとつ。批評を加えて書かれた文章。</v>
      </c>
      <c r="I2850">
        <v>10</v>
      </c>
      <c r="J2850">
        <v>50</v>
      </c>
      <c r="K2850">
        <v>50</v>
      </c>
      <c r="L2850">
        <v>0</v>
      </c>
      <c r="M2850">
        <f>VLOOKUP(A2850,[1]kanji_data!$A:$N,14,FALSE)</f>
        <v>0</v>
      </c>
    </row>
    <row r="2851">
      <c r="A2851" t="str">
        <v>濫</v>
      </c>
      <c r="B2851">
        <v>18</v>
      </c>
      <c r="C2851" t="b">
        <v>1</v>
      </c>
      <c r="D2851" t="str">
        <v>ラン</v>
      </c>
      <c r="E2851" t="str">
        <v>う（かべる） みだ（りに） みだ（れる）</v>
      </c>
      <c r="F2851">
        <v>0</v>
      </c>
      <c r="G2851" t="str">
        <v>あふれる。広がる。あふれ出る。はびこる。 うかべる。 みだりに。みだれる。度が過ぎる。 ひたす。ひたる。つかる。水にひたす。</v>
      </c>
      <c r="H2851" t="str">
        <v>#繁栄</v>
      </c>
      <c r="I2851">
        <v>10</v>
      </c>
      <c r="J2851">
        <v>50</v>
      </c>
      <c r="K2851">
        <v>50</v>
      </c>
      <c r="L2851">
        <v>1</v>
      </c>
    </row>
    <row r="2852">
      <c r="A2852" t="str">
        <v>復</v>
      </c>
      <c r="B2852">
        <v>12</v>
      </c>
      <c r="C2852" t="b">
        <v>1</v>
      </c>
      <c r="D2852" t="str">
        <v>フク</v>
      </c>
      <c r="E2852" t="str">
        <v>かえ（す） かえ（る） ふたた（び） また</v>
      </c>
      <c r="F2852">
        <v>0</v>
      </c>
      <c r="G2852" t="str">
        <v>かえる。引きかえす。引きかえしてもどる。 かえす。もどす。もとにもどす。 むくいる。仕返しをする。 申す。申し上げる。答える。 易（エキ）の六十四卦の一つ。 「また」と読み、「ふたたび」「かさねて」「さらに」「もう一度」などの意を表す。 ふたたびする。もう一度行う。</v>
      </c>
      <c r="I2852">
        <v>10</v>
      </c>
      <c r="J2852">
        <v>55</v>
      </c>
      <c r="K2852">
        <v>55</v>
      </c>
      <c r="L2852">
        <v>1</v>
      </c>
    </row>
    <row r="2853">
      <c r="A2853" t="str">
        <v>襟</v>
      </c>
      <c r="B2853">
        <v>18</v>
      </c>
      <c r="C2853" t="b">
        <v>1</v>
      </c>
      <c r="D2853" t="str">
        <v>キン</v>
      </c>
      <c r="E2853" t="str">
        <v>えり むね</v>
      </c>
      <c r="F2853">
        <v>0</v>
      </c>
      <c r="G2853" t="str">
        <v>えり。衣服の前えり。着物の前えり。 胸。心のうち。心中。思い。 建物の南。</v>
      </c>
      <c r="H2853" t="str">
        <v>#心・志</v>
      </c>
      <c r="I2853">
        <v>10</v>
      </c>
      <c r="J2853">
        <v>55</v>
      </c>
      <c r="K2853">
        <v>65</v>
      </c>
      <c r="L2853">
        <v>0</v>
      </c>
      <c r="M2853">
        <f>VLOOKUP(A2853,[1]kanji_data!$A:$N,14,FALSE)</f>
        <v>0</v>
      </c>
    </row>
    <row r="2854">
      <c r="A2854" t="str">
        <v>顕</v>
      </c>
      <c r="B2854">
        <v>18</v>
      </c>
      <c r="C2854" t="b">
        <v>1</v>
      </c>
      <c r="D2854" t="str">
        <v>ケン</v>
      </c>
      <c r="E2854" t="str">
        <v>あき（らか） あらわ（す） あらわ（れる）</v>
      </c>
      <c r="F2854" t="str">
        <v>あきら たか てる</v>
      </c>
      <c r="G2854" t="str">
        <v>あきらか。はっきりしている。はっきりとわかる。 あらわれる。はっきりする。はっきりと見える。公になる。 あらわす。はっきりとわかるようにする。あきらかにする。公にする。 身分が高い。高貴なもの。 先祖を敬って呼ぶことば。</v>
      </c>
      <c r="H2854" t="str">
        <v>#品格 #知性</v>
      </c>
      <c r="I2854">
        <v>95</v>
      </c>
      <c r="J2854">
        <v>70</v>
      </c>
      <c r="K2854">
        <v>50</v>
      </c>
      <c r="L2854">
        <v>0</v>
      </c>
      <c r="M2854">
        <f>VLOOKUP(A2854,[1]kanji_data!$A:$N,14,FALSE)</f>
        <v>0</v>
      </c>
    </row>
    <row r="2855">
      <c r="A2855" t="str">
        <v>繭</v>
      </c>
      <c r="B2855">
        <v>18</v>
      </c>
      <c r="C2855" t="b">
        <v>1</v>
      </c>
      <c r="D2855" t="str">
        <v>ケン</v>
      </c>
      <c r="E2855" t="str">
        <v>まゆ</v>
      </c>
      <c r="F2855">
        <v>0</v>
      </c>
      <c r="G2855" t="str">
        <v>まゆ。蚕がさなぎになるときに、糸を吐いて作る巣。 まゆからとった絹糸。</v>
      </c>
      <c r="H2855" t="str">
        <v>#花・彩</v>
      </c>
      <c r="I2855">
        <v>10</v>
      </c>
      <c r="J2855">
        <v>50</v>
      </c>
      <c r="K2855">
        <v>50</v>
      </c>
      <c r="L2855">
        <v>0</v>
      </c>
      <c r="M2855">
        <f>VLOOKUP(A2855,[1]kanji_data!$A:$N,14,FALSE)</f>
        <v>0</v>
      </c>
    </row>
    <row r="2856">
      <c r="A2856" t="str">
        <v>報</v>
      </c>
      <c r="B2856">
        <v>12</v>
      </c>
      <c r="C2856" t="b">
        <v>1</v>
      </c>
      <c r="D2856" t="str">
        <v>ホウ</v>
      </c>
      <c r="E2856" t="str">
        <v>むく（いる） しら（せる）</v>
      </c>
      <c r="F2856">
        <v>0</v>
      </c>
      <c r="G2856" t="str">
        <v>むくいる。お返し、または仕返しをする。相手の行為にこたえる。 むくい。お返し、または仕返し。 しらせる。しらせ。通知する。</v>
      </c>
      <c r="I2856">
        <v>10</v>
      </c>
      <c r="J2856">
        <v>45</v>
      </c>
      <c r="K2856">
        <v>70</v>
      </c>
      <c r="L2856">
        <v>0</v>
      </c>
      <c r="M2856">
        <f>VLOOKUP(A2856,[1]kanji_data!$A:$N,14,FALSE)</f>
        <v>0</v>
      </c>
    </row>
    <row r="2857">
      <c r="A2857" t="str">
        <v>就</v>
      </c>
      <c r="B2857">
        <v>12</v>
      </c>
      <c r="C2857" t="b">
        <v>1</v>
      </c>
      <c r="D2857" t="str">
        <v>シュウ ジュ</v>
      </c>
      <c r="E2857" t="str">
        <v>つ（く） つ（ける） な（す） な（る）</v>
      </c>
      <c r="F2857">
        <v>0</v>
      </c>
      <c r="G2857" t="str">
        <v>つく。つける。つき従う。 つく。むかう。行く。 つく。仕事や役割などを新たにはじめる。とりかかる。 なす。なる。成し遂げる。完成させる。 たとい。たとえ。もし。かりに。 つき。ついては。～については。～に関しては。</v>
      </c>
      <c r="I2857">
        <v>10</v>
      </c>
      <c r="J2857">
        <v>70</v>
      </c>
      <c r="K2857">
        <v>50</v>
      </c>
      <c r="L2857">
        <v>0</v>
      </c>
      <c r="M2857">
        <f>VLOOKUP(A2857,[1]kanji_data!$A:$N,14,FALSE)</f>
        <v>0</v>
      </c>
    </row>
    <row r="2858">
      <c r="A2858" t="str">
        <v>顎</v>
      </c>
      <c r="B2858">
        <v>18</v>
      </c>
      <c r="C2858" t="b">
        <v>1</v>
      </c>
      <c r="D2858" t="str">
        <v>ガク</v>
      </c>
      <c r="E2858" t="str">
        <v>あご</v>
      </c>
      <c r="F2858">
        <v>0</v>
      </c>
      <c r="G2858" t="str">
        <v>あご。物をかんだり、言葉を話したりするときに開閉する部分。 顔の高いさま。 つつしむ。うやうやしい。</v>
      </c>
      <c r="H2858" t="str">
        <v>#自然</v>
      </c>
      <c r="I2858">
        <v>10</v>
      </c>
      <c r="J2858">
        <v>50</v>
      </c>
      <c r="K2858">
        <v>50</v>
      </c>
      <c r="L2858">
        <v>1</v>
      </c>
    </row>
    <row r="2859">
      <c r="A2859" t="str">
        <v>塚</v>
      </c>
      <c r="B2859">
        <v>13</v>
      </c>
      <c r="C2859" t="b">
        <v>1</v>
      </c>
      <c r="D2859" t="str">
        <v>チョウ</v>
      </c>
      <c r="E2859" t="str">
        <v>つか</v>
      </c>
      <c r="F2859">
        <v>0</v>
      </c>
      <c r="G2859" t="str">
        <v>つか。盛り土。土を盛ってつくった墓。</v>
      </c>
      <c r="I2859">
        <v>10</v>
      </c>
      <c r="J2859">
        <v>55</v>
      </c>
      <c r="K2859">
        <v>55</v>
      </c>
      <c r="L2859">
        <v>1</v>
      </c>
    </row>
    <row r="2860">
      <c r="A2860" t="str">
        <v>韓</v>
      </c>
      <c r="B2860">
        <v>18</v>
      </c>
      <c r="C2860" t="b">
        <v>1</v>
      </c>
      <c r="D2860" t="str">
        <v>カン</v>
      </c>
      <c r="E2860" t="str">
        <v>いげた から</v>
      </c>
      <c r="F2860">
        <v>0</v>
      </c>
      <c r="G2860" t="str">
        <v>いげた。井戸のかこい。 国名。戦国時代の七雄の一つ。 から。朝鮮半島南部に存在した地域の呼び名（馬韓・辰韓・弁韓）。三韓。 大韓民国の略。</v>
      </c>
      <c r="H2860" t="str">
        <v>#勇気</v>
      </c>
      <c r="I2860">
        <v>10</v>
      </c>
      <c r="J2860">
        <v>50</v>
      </c>
      <c r="K2860">
        <v>50</v>
      </c>
      <c r="L2860">
        <v>1</v>
      </c>
    </row>
    <row r="2861">
      <c r="A2861" t="str">
        <v>藤</v>
      </c>
      <c r="B2861">
        <v>18</v>
      </c>
      <c r="C2861" t="b">
        <v>1</v>
      </c>
      <c r="D2861" t="str">
        <v>トウ</v>
      </c>
      <c r="E2861" t="str">
        <v>ふじ</v>
      </c>
      <c r="F2861" t="str">
        <v>かつら つ ひさ</v>
      </c>
      <c r="G2861" t="str">
        <v>ふじ。マメ科のつる性の落葉木本。 かずら。つるくさ。つる状の植物の総称。</v>
      </c>
      <c r="H2861" t="str">
        <v>#自然 #花・彩</v>
      </c>
      <c r="I2861">
        <v>100</v>
      </c>
      <c r="J2861">
        <v>45</v>
      </c>
      <c r="K2861">
        <v>65</v>
      </c>
      <c r="L2861">
        <v>0</v>
      </c>
      <c r="M2861">
        <f>VLOOKUP(A2861,[1]kanji_data!$A:$N,14,FALSE)</f>
        <v>0</v>
      </c>
    </row>
    <row r="2862">
      <c r="A2862" t="str">
        <v>璧</v>
      </c>
      <c r="B2862">
        <v>18</v>
      </c>
      <c r="C2862" t="b">
        <v>1</v>
      </c>
      <c r="D2862" t="str">
        <v>ヘキ</v>
      </c>
      <c r="E2862" t="str">
        <v>たま</v>
      </c>
      <c r="F2862">
        <v>0</v>
      </c>
      <c r="G2862" t="str">
        <v>たま。平らで円く、中央に円い穴があいた玉器。 玉のように美しい。立派。</v>
      </c>
      <c r="H2862" t="str">
        <v>#品格 #花・彩</v>
      </c>
      <c r="I2862">
        <v>10</v>
      </c>
      <c r="J2862">
        <v>40</v>
      </c>
      <c r="K2862">
        <v>100</v>
      </c>
      <c r="L2862">
        <v>0</v>
      </c>
      <c r="M2862">
        <f>VLOOKUP(A2862,[1]kanji_data!$A:$N,14,FALSE)</f>
        <v>0</v>
      </c>
    </row>
    <row r="2863">
      <c r="A2863" t="str">
        <v>藍</v>
      </c>
      <c r="B2863">
        <v>18</v>
      </c>
      <c r="C2863" t="b">
        <v>1</v>
      </c>
      <c r="D2863" t="str">
        <v>ラン</v>
      </c>
      <c r="E2863" t="str">
        <v>あい</v>
      </c>
      <c r="F2863">
        <v>0</v>
      </c>
      <c r="G2863" t="str">
        <v>あい。タデ科の一年草。青色の染料をとるのに用いる。 あいいろ。青色。 ぼろ。ぼろきれ。</v>
      </c>
      <c r="H2863" t="str">
        <v>#海・水 #花・彩</v>
      </c>
      <c r="I2863">
        <v>10</v>
      </c>
      <c r="J2863">
        <v>25</v>
      </c>
      <c r="K2863">
        <v>85</v>
      </c>
      <c r="L2863">
        <v>0</v>
      </c>
      <c r="M2863">
        <f>VLOOKUP(A2863,[1]kanji_data!$A:$N,14,FALSE)</f>
        <v>0</v>
      </c>
    </row>
    <row r="2864">
      <c r="A2864" t="str">
        <v>猶</v>
      </c>
      <c r="B2864">
        <v>12</v>
      </c>
      <c r="C2864" t="b">
        <v>1</v>
      </c>
      <c r="D2864" t="str">
        <v>ユウ</v>
      </c>
      <c r="E2864" t="str">
        <v>なお</v>
      </c>
      <c r="F2864">
        <v>0</v>
      </c>
      <c r="G2864" t="str">
        <v>さるの一種。 ためらう。ぐずぐずする。のんびりする。ゆったりしたさま。 「なお・・・ごとし」と読み、「まるで・・・のようである」の意。</v>
      </c>
      <c r="I2864">
        <v>10</v>
      </c>
      <c r="J2864">
        <v>50</v>
      </c>
      <c r="K2864">
        <v>50</v>
      </c>
      <c r="L2864">
        <v>1</v>
      </c>
    </row>
    <row r="2865">
      <c r="A2865" t="str">
        <v>鎧</v>
      </c>
      <c r="B2865">
        <v>18</v>
      </c>
      <c r="C2865" t="b">
        <v>0</v>
      </c>
      <c r="D2865" t="str">
        <v>カイ ガイ</v>
      </c>
      <c r="E2865" t="str">
        <v>よろい よろ（う）</v>
      </c>
      <c r="F2865" t="str">
        <v>が</v>
      </c>
      <c r="G2865" t="str">
        <v>よろい。身体を守る金属製の武具。 よろう。よろいを身につける。</v>
      </c>
      <c r="H2865" t="str">
        <v>#勇気</v>
      </c>
      <c r="I2865">
        <v>20</v>
      </c>
      <c r="J2865">
        <v>100</v>
      </c>
      <c r="K2865">
        <v>20</v>
      </c>
      <c r="L2865">
        <v>0</v>
      </c>
      <c r="M2865">
        <f>VLOOKUP(A2865,[1]kanji_data!$A:$N,14,FALSE)</f>
        <v>0</v>
      </c>
    </row>
    <row r="2866">
      <c r="A2866" t="str">
        <v>葛</v>
      </c>
      <c r="B2866">
        <v>12</v>
      </c>
      <c r="C2866" t="b">
        <v>1</v>
      </c>
      <c r="D2866" t="str">
        <v>カツ</v>
      </c>
      <c r="E2866" t="str">
        <v>くず かずら かたびら つづら</v>
      </c>
      <c r="F2866" t="str">
        <v>かず かつ かつら かど さち ずら つた つら ふじ</v>
      </c>
      <c r="G2866" t="str">
        <v>くず。くずかずら。 かたびら。くずぬの。 かずら。つづら。つる草の総称。かずらのつるで作ったはこ。</v>
      </c>
      <c r="I2866">
        <v>5</v>
      </c>
      <c r="J2866">
        <v>50</v>
      </c>
      <c r="K2866">
        <v>50</v>
      </c>
      <c r="L2866">
        <v>1</v>
      </c>
    </row>
    <row r="2867">
      <c r="A2867" t="str">
        <v>穣</v>
      </c>
      <c r="B2867">
        <v>18</v>
      </c>
      <c r="C2867" t="b">
        <v>0</v>
      </c>
      <c r="D2867" t="str">
        <v>ジョウ</v>
      </c>
      <c r="E2867" t="str">
        <v>みの（る） ゆた（か）</v>
      </c>
      <c r="F2867" t="str">
        <v>おさむ しげ みのる ゆたか</v>
      </c>
      <c r="G2867" t="str">
        <v>みのる。ゆたか。穀物が豊かに実る。 きびがら。黍（きび）の茎。 盛ん。多い。繁栄する。 じょう。数の単位。１０の２８乗。</v>
      </c>
      <c r="H2867" t="str">
        <v>#繁栄</v>
      </c>
      <c r="I2867">
        <v>100</v>
      </c>
      <c r="J2867">
        <v>50</v>
      </c>
      <c r="K2867">
        <v>55</v>
      </c>
      <c r="L2867">
        <v>0</v>
      </c>
      <c r="M2867">
        <f>VLOOKUP(A2867,[1]kanji_data!$A:$N,14,FALSE)</f>
        <v>0</v>
      </c>
    </row>
    <row r="2868">
      <c r="A2868" t="str">
        <v>堺</v>
      </c>
      <c r="B2868">
        <v>12</v>
      </c>
      <c r="C2868" t="b">
        <v>0</v>
      </c>
      <c r="D2868" t="str">
        <v>カイ</v>
      </c>
      <c r="E2868" t="str">
        <v>さかい</v>
      </c>
      <c r="F2868">
        <v>0</v>
      </c>
      <c r="G2868" t="str">
        <v>さかい。くぎり。土地のさかいとなる所。</v>
      </c>
      <c r="I2868">
        <v>10</v>
      </c>
      <c r="J2868">
        <v>55</v>
      </c>
      <c r="K2868">
        <v>55</v>
      </c>
      <c r="L2868">
        <v>1</v>
      </c>
    </row>
    <row r="2869">
      <c r="A2869" t="str">
        <v>粟</v>
      </c>
      <c r="B2869">
        <v>12</v>
      </c>
      <c r="C2869" t="b">
        <v>0</v>
      </c>
      <c r="D2869" t="str">
        <v>ショク ソク ゾク</v>
      </c>
      <c r="E2869" t="str">
        <v>あわ ふち もみ</v>
      </c>
      <c r="F2869">
        <v>0</v>
      </c>
      <c r="G2869" t="str">
        <v>あわ。イネ科の一年草。 ふち。扶持米。 もみ。穀物の外皮がついたままの実。 つぶ。あわの実の粒。また、それに似たもの。</v>
      </c>
      <c r="I2869">
        <v>10</v>
      </c>
      <c r="J2869">
        <v>50</v>
      </c>
      <c r="K2869">
        <v>50</v>
      </c>
      <c r="L2869">
        <v>1</v>
      </c>
    </row>
    <row r="2870">
      <c r="A2870" t="str">
        <v>筑</v>
      </c>
      <c r="B2870">
        <v>12</v>
      </c>
      <c r="C2870" t="b">
        <v>0</v>
      </c>
      <c r="D2870" t="str">
        <v>チク ツク</v>
      </c>
      <c r="E2870">
        <v>0</v>
      </c>
      <c r="F2870">
        <v>0</v>
      </c>
      <c r="G2870" t="str">
        <v>楽器の一種。琴に似ている。</v>
      </c>
      <c r="I2870">
        <v>10</v>
      </c>
      <c r="J2870">
        <v>50</v>
      </c>
      <c r="K2870">
        <v>50</v>
      </c>
      <c r="L2870">
        <v>1</v>
      </c>
    </row>
    <row r="2871">
      <c r="A2871" t="str">
        <v>釉</v>
      </c>
      <c r="B2871">
        <v>12</v>
      </c>
      <c r="C2871" t="b">
        <v>0</v>
      </c>
      <c r="D2871" t="str">
        <v>ユウ</v>
      </c>
      <c r="E2871" t="str">
        <v>うわぐすり つや ひかり</v>
      </c>
      <c r="F2871">
        <v>0</v>
      </c>
      <c r="G2871" t="str">
        <v>うわぐすり。陶磁器の表面にぬってつやを出す薬。 つや。ひかり。光沢。</v>
      </c>
      <c r="I2871">
        <v>10</v>
      </c>
      <c r="J2871">
        <v>55</v>
      </c>
      <c r="K2871">
        <v>55</v>
      </c>
      <c r="L2871">
        <v>0</v>
      </c>
      <c r="M2871">
        <f>VLOOKUP(A2871,[1]kanji_data!$A:$N,14,FALSE)</f>
        <v>0</v>
      </c>
    </row>
    <row r="2872">
      <c r="A2872" t="str">
        <v>載</v>
      </c>
      <c r="B2872">
        <v>13</v>
      </c>
      <c r="C2872" t="b">
        <v>1</v>
      </c>
      <c r="D2872" t="str">
        <v>サイ</v>
      </c>
      <c r="E2872" t="str">
        <v>の（せる） の（る） しる（す） とし</v>
      </c>
      <c r="F2872" t="str">
        <v>こと のり はじめ</v>
      </c>
      <c r="G2872" t="str">
        <v>のる。のせる。舟や車にのせて運ぶ。 置く。設ける。かざる。 しるす。書く。記録する。例：記載 なす。行う。施行する。 仕事。事業。つとめ。 はじめ。はじめて。はじめる。 ふたたび。 ここに。すなわち。 誓いのことば。 年。歳。 さい。数の単位。１０の４４乗。</v>
      </c>
      <c r="I2872">
        <v>5</v>
      </c>
      <c r="J2872">
        <v>60</v>
      </c>
      <c r="K2872">
        <v>60</v>
      </c>
      <c r="L2872">
        <v>1</v>
      </c>
    </row>
    <row r="2873">
      <c r="A2873" t="str">
        <v>跳</v>
      </c>
      <c r="B2873">
        <v>13</v>
      </c>
      <c r="C2873" t="b">
        <v>1</v>
      </c>
      <c r="D2873" t="str">
        <v>チョウ トウ</v>
      </c>
      <c r="E2873" t="str">
        <v>と（ぶ） は（ねる） おど（る）</v>
      </c>
      <c r="F2873" t="str">
        <v>はね</v>
      </c>
      <c r="G2873" t="str">
        <v>おどる。おどりあがる。はねる。とぶ。とびあがる。 つまずく。 速く走る。 おどらせる。おどらす。とばす。 逃げる。走り去る。 はねる。興行などが終わること。 はね。衣服などに飛びはねた泥。</v>
      </c>
      <c r="I2873">
        <v>5</v>
      </c>
      <c r="J2873">
        <v>85</v>
      </c>
      <c r="K2873">
        <v>30</v>
      </c>
      <c r="L2873">
        <v>1</v>
      </c>
    </row>
    <row r="2874">
      <c r="A2874" t="str">
        <v>鯉</v>
      </c>
      <c r="B2874">
        <v>18</v>
      </c>
      <c r="C2874" t="b">
        <v>0</v>
      </c>
      <c r="D2874" t="str">
        <v>リ</v>
      </c>
      <c r="E2874" t="str">
        <v>こい てがみ</v>
      </c>
      <c r="F2874">
        <v>0</v>
      </c>
      <c r="G2874" t="str">
        <v>こい。コイ科の淡水魚。 てがみ。便り。</v>
      </c>
      <c r="H2874" t="str">
        <v>#幸福 #海・水</v>
      </c>
      <c r="I2874">
        <v>30</v>
      </c>
      <c r="J2874">
        <v>85</v>
      </c>
      <c r="K2874">
        <v>30</v>
      </c>
      <c r="L2874">
        <v>0</v>
      </c>
      <c r="M2874">
        <f>VLOOKUP(A2874,[1]kanji_data!$A:$N,14,FALSE)</f>
        <v>0</v>
      </c>
    </row>
    <row r="2875">
      <c r="A2875" t="str">
        <v>雜</v>
      </c>
      <c r="B2875">
        <v>18</v>
      </c>
      <c r="C2875" t="b">
        <v>0</v>
      </c>
      <c r="D2875" t="str">
        <v>ザツ ゾウ</v>
      </c>
      <c r="E2875" t="str">
        <v>ま（じる） ま（ぜる）</v>
      </c>
      <c r="F2875">
        <v>0</v>
      </c>
      <c r="G2875" t="str">
        <v>まじる。まじわる。いりまじる。 みだれる。純粋でない。整っていない。 みな。ともに。一緒に。</v>
      </c>
      <c r="H2875" t="str">
        <v>#調和</v>
      </c>
      <c r="I2875">
        <v>10</v>
      </c>
      <c r="J2875">
        <v>50</v>
      </c>
      <c r="K2875">
        <v>50</v>
      </c>
      <c r="L2875">
        <v>1</v>
      </c>
    </row>
    <row r="2876">
      <c r="A2876" t="str">
        <v>櫂</v>
      </c>
      <c r="B2876">
        <v>18</v>
      </c>
      <c r="C2876" t="b">
        <v>0</v>
      </c>
      <c r="D2876" t="str">
        <v>トウ</v>
      </c>
      <c r="E2876" t="str">
        <v>かい かじ</v>
      </c>
      <c r="F2876" t="str">
        <v>こずえ</v>
      </c>
      <c r="G2876" t="str">
        <v>かい。かじ。船をすすめる道具。また、かいで船をすすめる。</v>
      </c>
      <c r="H2876" t="str">
        <v>#勇気 #海・水</v>
      </c>
      <c r="I2876">
        <v>95</v>
      </c>
      <c r="J2876">
        <v>90</v>
      </c>
      <c r="K2876">
        <v>40</v>
      </c>
      <c r="L2876">
        <v>0</v>
      </c>
      <c r="M2876">
        <f>VLOOKUP(A2876,[1]kanji_data!$A:$N,14,FALSE)</f>
        <v>0</v>
      </c>
    </row>
    <row r="2877">
      <c r="A2877" t="str">
        <v>燿</v>
      </c>
      <c r="B2877">
        <v>18</v>
      </c>
      <c r="C2877" t="b">
        <v>0</v>
      </c>
      <c r="D2877" t="str">
        <v>ヨウ</v>
      </c>
      <c r="E2877" t="str">
        <v>かがや（き） かがや（く） かがよ（う）</v>
      </c>
      <c r="F2877" t="str">
        <v>あき あきら てる</v>
      </c>
      <c r="G2877" t="str">
        <v>輝く。かがよう。ひかる。 輝き。ひかり。 目をくらます。目がくらむ。</v>
      </c>
      <c r="H2877" t="str">
        <v>#天空</v>
      </c>
      <c r="I2877">
        <v>100</v>
      </c>
      <c r="J2877">
        <v>65</v>
      </c>
      <c r="K2877">
        <v>60</v>
      </c>
      <c r="L2877">
        <v>0</v>
      </c>
      <c r="M2877">
        <f>VLOOKUP(A2877,[1]kanji_data!$A:$N,14,FALSE)</f>
        <v>0</v>
      </c>
    </row>
    <row r="2878">
      <c r="A2878" t="str">
        <v>藝</v>
      </c>
      <c r="B2878">
        <v>18</v>
      </c>
      <c r="C2878" t="b">
        <v>0</v>
      </c>
      <c r="D2878" t="str">
        <v>ゲイ</v>
      </c>
      <c r="E2878" t="str">
        <v>う（える） わざ</v>
      </c>
      <c r="F2878">
        <v>0</v>
      </c>
      <c r="G2878" t="str">
        <v>わざ。技術。学問。知識。身につけた技能。 植える。草木を植える。種をまいて栽培する。</v>
      </c>
      <c r="H2878" t="str">
        <v>#知性 #自然</v>
      </c>
      <c r="I2878">
        <v>10</v>
      </c>
      <c r="J2878">
        <v>50</v>
      </c>
      <c r="K2878">
        <v>50</v>
      </c>
      <c r="L2878">
        <v>1</v>
      </c>
    </row>
    <row r="2879">
      <c r="A2879" t="str">
        <v>微</v>
      </c>
      <c r="B2879">
        <v>13</v>
      </c>
      <c r="C2879" t="b">
        <v>1</v>
      </c>
      <c r="D2879" t="str">
        <v>ビ ミ</v>
      </c>
      <c r="E2879" t="str">
        <v>かす（か）</v>
      </c>
      <c r="F2879">
        <v>0</v>
      </c>
      <c r="G2879" t="str">
        <v>かすか。はっきりしない。はっきり見えない。 かすか。わずか。小さい。細かい。 ひそかに。こっそりと目立たないように。 おとろえる。勢いや力がなくなる。 「なかりせば」と読み、「なかったならば」「なかったとしたら」などの意を表す。 び。数の単位。一の百万分の一。</v>
      </c>
      <c r="I2879">
        <v>10</v>
      </c>
      <c r="J2879">
        <v>55</v>
      </c>
      <c r="K2879">
        <v>60</v>
      </c>
      <c r="L2879">
        <v>1</v>
      </c>
    </row>
    <row r="2880">
      <c r="A2880" t="str">
        <v>滑</v>
      </c>
      <c r="B2880">
        <v>13</v>
      </c>
      <c r="C2880" t="b">
        <v>1</v>
      </c>
      <c r="D2880" t="str">
        <v>カツ コツ</v>
      </c>
      <c r="E2880" t="str">
        <v>すべ（る） なめ（らか） ぬめ（る）</v>
      </c>
      <c r="F2880">
        <v>0</v>
      </c>
      <c r="G2880" t="str">
        <v>なめらか。つるつるしている。すべすべしている。すべる。ぬめる。 物事がとどこおりなく進む。つっかえずに進む。 ずるい。 乱す。乱れる。 すべる。失敗する。うっかりと口外する。</v>
      </c>
      <c r="I2880">
        <v>10</v>
      </c>
      <c r="J2880">
        <v>65</v>
      </c>
      <c r="K2880">
        <v>55</v>
      </c>
      <c r="L2880">
        <v>1</v>
      </c>
    </row>
    <row r="2881">
      <c r="A2881" t="str">
        <v>稚</v>
      </c>
      <c r="B2881">
        <v>13</v>
      </c>
      <c r="C2881" t="b">
        <v>1</v>
      </c>
      <c r="D2881" t="str">
        <v>チ</v>
      </c>
      <c r="E2881" t="str">
        <v>いとけな（い） わか（い）</v>
      </c>
      <c r="F2881" t="str">
        <v>のり</v>
      </c>
      <c r="G2881" t="str">
        <v>おさない。いとけない。わかい。あどけない。年齢が低い。 幼い者。子供。 おくて。晩稲。おそい時期に実る稲。</v>
      </c>
      <c r="I2881">
        <v>5</v>
      </c>
      <c r="J2881">
        <v>50</v>
      </c>
      <c r="K2881">
        <v>50</v>
      </c>
      <c r="L2881">
        <v>1</v>
      </c>
    </row>
    <row r="2882">
      <c r="A2882" t="str">
        <v>禮</v>
      </c>
      <c r="B2882">
        <v>18</v>
      </c>
      <c r="C2882" t="b">
        <v>0</v>
      </c>
      <c r="D2882" t="str">
        <v>レイ ライ</v>
      </c>
      <c r="E2882" t="str">
        <v>うやま（う） のり</v>
      </c>
      <c r="F2882" t="str">
        <v>あきら</v>
      </c>
      <c r="G2882" t="str">
        <v>社会生活を送る上で定まった行動規範。 うやまう。もてなす。敬意を表す。敬意をはらう。 感謝の気持ちを表す。また、そのための金品や言葉。 礼について記した書物。 れい。おじぎ。感謝の意を表すあいさつ。</v>
      </c>
      <c r="H2882" t="str">
        <v>#品格 #心・志 #自然</v>
      </c>
      <c r="I2882">
        <v>15</v>
      </c>
      <c r="J2882">
        <v>55</v>
      </c>
      <c r="K2882">
        <v>65</v>
      </c>
      <c r="L2882">
        <v>0</v>
      </c>
      <c r="M2882">
        <f>VLOOKUP(A2882,[1]kanji_data!$A:$N,14,FALSE)</f>
        <v>0</v>
      </c>
    </row>
    <row r="2883">
      <c r="A2883" t="str">
        <v>轉</v>
      </c>
      <c r="B2883">
        <v>18</v>
      </c>
      <c r="C2883" t="b">
        <v>0</v>
      </c>
      <c r="D2883" t="str">
        <v>テン</v>
      </c>
      <c r="E2883" t="str">
        <v>ころ（がす） ころ（がる） ころ（げる） ころ（ぶ） うた（た） うつ（る） くるり こ（ける） まろ（ぶ）</v>
      </c>
      <c r="F2883">
        <v>0</v>
      </c>
      <c r="G2883" t="str">
        <v>ころぶ。ころがる。倒れる。ひっくりかえる。 まわる。めぐる。くるくるまわる。 移る。移す。変わる。 うたた。いよいよ。ますます。 運ぶ。 棄てる。</v>
      </c>
      <c r="H2883" t="str">
        <v>#天空</v>
      </c>
      <c r="I2883">
        <v>10</v>
      </c>
      <c r="J2883">
        <v>50</v>
      </c>
      <c r="K2883">
        <v>50</v>
      </c>
      <c r="L2883">
        <v>1</v>
      </c>
    </row>
    <row r="2884">
      <c r="A2884" t="str">
        <v>壘</v>
      </c>
      <c r="B2884">
        <v>18</v>
      </c>
      <c r="C2884" t="b">
        <v>0</v>
      </c>
      <c r="D2884" t="str">
        <v>ルイ</v>
      </c>
      <c r="E2884" t="str">
        <v>かさ（ねる） とりで</v>
      </c>
      <c r="F2884">
        <v>0</v>
      </c>
      <c r="G2884" t="str">
        <v>とりで。土や石など築いた小さな城。 かさねる。つむ。つみあげる。 つながる。つらなる。 るい。野球のベース。</v>
      </c>
      <c r="H2884" t="str">
        <v>#自然</v>
      </c>
      <c r="I2884">
        <v>10</v>
      </c>
      <c r="J2884">
        <v>50</v>
      </c>
      <c r="K2884">
        <v>50</v>
      </c>
      <c r="L2884">
        <v>1</v>
      </c>
    </row>
    <row r="2885">
      <c r="A2885" t="str">
        <v>演</v>
      </c>
      <c r="B2885">
        <v>14</v>
      </c>
      <c r="C2885" t="b">
        <v>1</v>
      </c>
      <c r="D2885" t="str">
        <v>エン</v>
      </c>
      <c r="E2885" t="str">
        <v>おこな（う） の（べる）</v>
      </c>
      <c r="F2885">
        <v>0</v>
      </c>
      <c r="G2885" t="str">
        <v>のべる。説く。述べ広げる。押し広める。 流れる。水が流れる。長い距離を流れる。 おこなう。人前で芸を行う。 実習する。実地に行う。</v>
      </c>
      <c r="I2885">
        <v>10</v>
      </c>
      <c r="J2885">
        <v>55</v>
      </c>
      <c r="K2885">
        <v>55</v>
      </c>
      <c r="L2885">
        <v>1</v>
      </c>
    </row>
    <row r="2886">
      <c r="A2886" t="str">
        <v>簞</v>
      </c>
      <c r="B2886">
        <v>18</v>
      </c>
      <c r="C2886" t="b">
        <v>0</v>
      </c>
      <c r="D2886" t="str">
        <v>タン</v>
      </c>
      <c r="E2886" t="str">
        <v>はこ ひさご わりご</v>
      </c>
      <c r="F2886">
        <v>0</v>
      </c>
      <c r="G2886" t="str">
        <v>わりご。竹で編んだ丸いうつわ。 はこ。竹で編んだ箱。 ひさご。ひょうたん。</v>
      </c>
      <c r="H2886" t="str">
        <v>#自然</v>
      </c>
      <c r="I2886">
        <v>10</v>
      </c>
      <c r="J2886">
        <v>50</v>
      </c>
      <c r="K2886">
        <v>50</v>
      </c>
      <c r="L2886">
        <v>1</v>
      </c>
    </row>
    <row r="2887">
      <c r="A2887" t="str">
        <v>蟬</v>
      </c>
      <c r="B2887">
        <v>18</v>
      </c>
      <c r="C2887" t="b">
        <v>0</v>
      </c>
      <c r="D2887" t="str">
        <v>セン ゼン</v>
      </c>
      <c r="E2887" t="str">
        <v>うつく（しい） せみ つづ（く）</v>
      </c>
      <c r="F2887">
        <v>0</v>
      </c>
      <c r="G2887" t="str">
        <v>せみ。セミ科の昆虫の総称。 うつくしい。みやびやか。 つづく。つづける。つらなる。</v>
      </c>
      <c r="H2887" t="str">
        <v>#花・彩</v>
      </c>
      <c r="I2887">
        <v>10</v>
      </c>
      <c r="J2887">
        <v>50</v>
      </c>
      <c r="K2887">
        <v>50</v>
      </c>
      <c r="L2887">
        <v>1</v>
      </c>
    </row>
    <row r="2888">
      <c r="A2888" t="str">
        <v>際</v>
      </c>
      <c r="B2888">
        <v>14</v>
      </c>
      <c r="C2888" t="b">
        <v>1</v>
      </c>
      <c r="D2888" t="str">
        <v>サイ</v>
      </c>
      <c r="E2888" t="str">
        <v>きわ あい まじ（わる）</v>
      </c>
      <c r="F2888">
        <v>0</v>
      </c>
      <c r="G2888" t="str">
        <v>きわ。境目。分かれ目。 まじわる。まじわり。ふれあい。 あい。あいだ。関係。 めぐり合わせ。機会。</v>
      </c>
      <c r="I2888">
        <v>10</v>
      </c>
      <c r="J2888">
        <v>35</v>
      </c>
      <c r="K2888">
        <v>70</v>
      </c>
      <c r="L2888">
        <v>1</v>
      </c>
    </row>
    <row r="2889">
      <c r="A2889" t="str">
        <v>誌</v>
      </c>
      <c r="B2889">
        <v>14</v>
      </c>
      <c r="C2889" t="b">
        <v>1</v>
      </c>
      <c r="D2889" t="str">
        <v>シ</v>
      </c>
      <c r="E2889" t="str">
        <v>しる（す）</v>
      </c>
      <c r="F2889" t="str">
        <v>ふみ</v>
      </c>
      <c r="G2889" t="str">
        <v>しるす。書きとめる。記録する。 記録。書きとめた文書。 しるし。目印。目印をつける。</v>
      </c>
      <c r="I2889">
        <v>5</v>
      </c>
      <c r="J2889">
        <v>50</v>
      </c>
      <c r="K2889">
        <v>50</v>
      </c>
      <c r="L2889">
        <v>0</v>
      </c>
      <c r="M2889">
        <f>VLOOKUP(A2889,[1]kanji_data!$A:$N,14,FALSE)</f>
        <v>0</v>
      </c>
    </row>
    <row r="2890">
      <c r="A2890" t="str">
        <v>鏡</v>
      </c>
      <c r="B2890">
        <v>19</v>
      </c>
      <c r="C2890" t="b">
        <v>1</v>
      </c>
      <c r="D2890" t="str">
        <v>キョウ</v>
      </c>
      <c r="E2890" t="str">
        <v>かがみ</v>
      </c>
      <c r="F2890" t="str">
        <v>あき あきら かね とし み</v>
      </c>
      <c r="G2890" t="str">
        <v>かがみ。光の反射を利用して人の顔や姿をうつす道具。 かがみ。手本。模範。 かんがみる。手本にする。参考にする。 明らかな。また、明らかにする。 レンズ。レンズを用いた道具。</v>
      </c>
      <c r="H2890" t="str">
        <v>#知性</v>
      </c>
      <c r="I2890">
        <v>100</v>
      </c>
      <c r="J2890">
        <v>60</v>
      </c>
      <c r="K2890">
        <v>65</v>
      </c>
      <c r="L2890">
        <v>0</v>
      </c>
      <c r="M2890">
        <f>VLOOKUP(A2890,[1]kanji_data!$A2:$N3000,14,FALSE)</f>
        <v>0</v>
      </c>
    </row>
    <row r="2891">
      <c r="A2891" t="str">
        <v>識</v>
      </c>
      <c r="B2891">
        <v>19</v>
      </c>
      <c r="C2891" t="b">
        <v>1</v>
      </c>
      <c r="D2891" t="str">
        <v>シキ ショク シ</v>
      </c>
      <c r="E2891" t="str">
        <v>し（る） しる（す）</v>
      </c>
      <c r="F2891" t="str">
        <v>さと さとし さとる つね のり</v>
      </c>
      <c r="G2891" t="str">
        <v>しる。見分ける。さとる。覚える。 知ること。知っていること。見解。意見。考え。 しるし。目印。 しるす。書き付ける。記録する。覚える。 鐘や鼎などの銅器に刻んだ文字。</v>
      </c>
      <c r="H2891" t="str">
        <v>#知性</v>
      </c>
      <c r="I2891">
        <v>95</v>
      </c>
      <c r="J2891">
        <v>70</v>
      </c>
      <c r="K2891">
        <v>50</v>
      </c>
      <c r="L2891">
        <v>0</v>
      </c>
      <c r="M2891">
        <f>VLOOKUP(A2891,[1]kanji_data!$A:$N,14,FALSE)</f>
        <v>0</v>
      </c>
    </row>
    <row r="2892">
      <c r="A2892" t="str">
        <v>警</v>
      </c>
      <c r="B2892">
        <v>19</v>
      </c>
      <c r="C2892" t="b">
        <v>1</v>
      </c>
      <c r="D2892" t="str">
        <v>ケイ キョウ</v>
      </c>
      <c r="E2892" t="str">
        <v>いまし（める）</v>
      </c>
      <c r="F2892" t="str">
        <v>さとし ただし</v>
      </c>
      <c r="G2892" t="str">
        <v>いましめる。さとす。注意する。取り締まる。 いましめ。さとし。注意。教訓。 さとい。賢い。優れている。 驚く。びっくりする。目覚める。また、驚かす。</v>
      </c>
      <c r="H2892" t="str">
        <v>#知性</v>
      </c>
      <c r="I2892">
        <v>30</v>
      </c>
      <c r="J2892">
        <v>50</v>
      </c>
      <c r="K2892">
        <v>50</v>
      </c>
      <c r="L2892">
        <v>1</v>
      </c>
    </row>
    <row r="2893">
      <c r="A2893" t="str">
        <v>窪</v>
      </c>
      <c r="B2893">
        <v>14</v>
      </c>
      <c r="C2893" t="b">
        <v>0</v>
      </c>
      <c r="D2893" t="str">
        <v>ア ワ</v>
      </c>
      <c r="E2893" t="str">
        <v>くぼ くぼ（む）</v>
      </c>
      <c r="F2893">
        <v>0</v>
      </c>
      <c r="G2893" t="str">
        <v>くぼ。くぼみ。くぼむ。低い。低くへこんだところ。</v>
      </c>
      <c r="I2893">
        <v>10</v>
      </c>
      <c r="J2893">
        <v>50</v>
      </c>
      <c r="K2893">
        <v>50</v>
      </c>
      <c r="L2893">
        <v>1</v>
      </c>
    </row>
    <row r="2894">
      <c r="A2894" t="str">
        <v>蔣</v>
      </c>
      <c r="B2894">
        <v>15</v>
      </c>
      <c r="C2894" t="b">
        <v>0</v>
      </c>
      <c r="D2894" t="str">
        <v>ショウ</v>
      </c>
      <c r="E2894" t="str">
        <v>まこも</v>
      </c>
      <c r="F2894">
        <v>0</v>
      </c>
      <c r="G2894" t="str">
        <v>こも。まこも。草の名。イネ科の多年草。 はげます。 周代の国名。</v>
      </c>
      <c r="I2894">
        <v>10</v>
      </c>
      <c r="J2894">
        <v>50</v>
      </c>
      <c r="K2894">
        <v>50</v>
      </c>
      <c r="L2894">
        <v>1</v>
      </c>
    </row>
    <row r="2895">
      <c r="A2895" t="str">
        <v>諸</v>
      </c>
      <c r="B2895">
        <v>15</v>
      </c>
      <c r="C2895" t="b">
        <v>1</v>
      </c>
      <c r="D2895" t="str">
        <v>ショ</v>
      </c>
      <c r="E2895" t="str">
        <v>もろ もろもろ</v>
      </c>
      <c r="F2895" t="str">
        <v>つら もり</v>
      </c>
      <c r="G2895" t="str">
        <v>もろもろ。多くの。いろいろの。 これ。代名詞。 や。か。詠嘆をあらわす助字。</v>
      </c>
      <c r="I2895">
        <v>5</v>
      </c>
      <c r="J2895">
        <v>50</v>
      </c>
      <c r="K2895">
        <v>50</v>
      </c>
      <c r="L2895">
        <v>1</v>
      </c>
    </row>
    <row r="2896">
      <c r="A2896" t="str">
        <v>霧</v>
      </c>
      <c r="B2896">
        <v>19</v>
      </c>
      <c r="C2896" t="b">
        <v>1</v>
      </c>
      <c r="D2896" t="str">
        <v>ム ブ</v>
      </c>
      <c r="E2896" t="str">
        <v>きり</v>
      </c>
      <c r="F2896">
        <v>0</v>
      </c>
      <c r="G2896" t="str">
        <v>きり。空気中に浮かぶ細かい水滴。 霧のようなもの。ぼやけている、暗い、細かい、散る、消えるなどのたとえ。</v>
      </c>
      <c r="H2896" t="str">
        <v>#天空 #海・水</v>
      </c>
      <c r="I2896">
        <v>10</v>
      </c>
      <c r="J2896">
        <v>20</v>
      </c>
      <c r="K2896">
        <v>100</v>
      </c>
      <c r="L2896">
        <v>0</v>
      </c>
      <c r="M2896">
        <f>VLOOKUP(A2896,[1]kanji_data!$A:$N,14,FALSE)</f>
        <v>0</v>
      </c>
    </row>
    <row r="2897">
      <c r="A2897" t="str">
        <v>麗</v>
      </c>
      <c r="B2897">
        <v>19</v>
      </c>
      <c r="C2897" t="b">
        <v>1</v>
      </c>
      <c r="D2897" t="str">
        <v>レイ リ</v>
      </c>
      <c r="E2897" t="str">
        <v>うるわ（しい） うら（ら） うら（らか） つら（なる） なら（ぶ）</v>
      </c>
      <c r="F2897" t="str">
        <v>あき あきら うらら かず つぐ つら よし より れ</v>
      </c>
      <c r="G2897" t="str">
        <v>うるわしい。うつくしい。 ならぶ。つらなる。 そろい。そろう。対になる。 つく。くっつく。つける。くっつける。 かかる。ひっかかる。 「高句麗」は、古代の国名。 うららか。うらら。空が晴れて、穏やかなさま。</v>
      </c>
      <c r="H2897" t="str">
        <v>#天空 #花・彩 #調和</v>
      </c>
      <c r="I2897">
        <v>100</v>
      </c>
      <c r="J2897">
        <v>40</v>
      </c>
      <c r="K2897">
        <v>100</v>
      </c>
      <c r="L2897">
        <v>0</v>
      </c>
      <c r="M2897">
        <f>VLOOKUP(A2897,[1]kanji_data!$A:$N,14,FALSE)</f>
        <v>0</v>
      </c>
    </row>
    <row r="2898">
      <c r="A2898" t="str">
        <v>論</v>
      </c>
      <c r="B2898">
        <v>15</v>
      </c>
      <c r="C2898" t="b">
        <v>1</v>
      </c>
      <c r="D2898" t="str">
        <v>ロン</v>
      </c>
      <c r="E2898" t="str">
        <v>あげつら（う） と（く）</v>
      </c>
      <c r="F2898" t="str">
        <v>さだむ さとし さとる とき のり ゆう</v>
      </c>
      <c r="G2898" t="str">
        <v>ろんずる。あげつらう。議論する。 意見。見解。主張。 はかる。考える。おしはかる。 文体のひとつ。意見、議論をかいたもの。 「論語」の略。 すじみち。条理。</v>
      </c>
      <c r="I2898">
        <v>5</v>
      </c>
      <c r="J2898">
        <v>50</v>
      </c>
      <c r="K2898">
        <v>50</v>
      </c>
      <c r="L2898">
        <v>0</v>
      </c>
      <c r="M2898">
        <f>VLOOKUP(A2898,[1]kanji_data!$A:$N,14,FALSE)</f>
        <v>0</v>
      </c>
    </row>
    <row r="2899">
      <c r="A2899" t="str">
        <v>鯨</v>
      </c>
      <c r="B2899">
        <v>19</v>
      </c>
      <c r="C2899" t="b">
        <v>1</v>
      </c>
      <c r="D2899" t="str">
        <v>ゲイ ケイ</v>
      </c>
      <c r="E2899" t="str">
        <v>くじら</v>
      </c>
      <c r="F2899">
        <v>0</v>
      </c>
      <c r="G2899" t="str">
        <v>くじら。クジラ目の大型の哺乳動物。 おくじら。くじらの雄。雌を「鯢」という。</v>
      </c>
      <c r="H2899" t="str">
        <v>#勇気</v>
      </c>
      <c r="I2899">
        <v>10</v>
      </c>
      <c r="J2899">
        <v>100</v>
      </c>
      <c r="K2899">
        <v>25</v>
      </c>
      <c r="L2899">
        <v>0</v>
      </c>
      <c r="M2899">
        <f>VLOOKUP(A2899,[1]kanji_data!$A:$N,14,FALSE)</f>
        <v>0</v>
      </c>
    </row>
    <row r="2900">
      <c r="A2900" t="str">
        <v>趣</v>
      </c>
      <c r="B2900">
        <v>15</v>
      </c>
      <c r="C2900" t="b">
        <v>1</v>
      </c>
      <c r="D2900" t="str">
        <v>シュ ソク</v>
      </c>
      <c r="E2900" t="str">
        <v>おもむき うなが（す） おもむ（く）</v>
      </c>
      <c r="F2900" t="str">
        <v>とし</v>
      </c>
      <c r="G2900" t="str">
        <v>おもむく。急いでいく。かけつける。 おもむき。考え。心持ち。おもしろみ。 とる。採用する。 うながす。 速い。急いで。速やかに。</v>
      </c>
      <c r="I2900">
        <v>5</v>
      </c>
      <c r="J2900">
        <v>50</v>
      </c>
      <c r="K2900">
        <v>50</v>
      </c>
      <c r="L2900">
        <v>1</v>
      </c>
    </row>
    <row r="2901">
      <c r="A2901" t="str">
        <v>瀬</v>
      </c>
      <c r="B2901">
        <v>19</v>
      </c>
      <c r="C2901" t="b">
        <v>1</v>
      </c>
      <c r="D2901" t="str">
        <v>ライ</v>
      </c>
      <c r="E2901" t="str">
        <v>せ</v>
      </c>
      <c r="F2901">
        <v>0</v>
      </c>
      <c r="G2901" t="str">
        <v>せ。あさせ。川や海の浅いところ。 せ。はやせ。川の流れのはやいところ。急流。 せ。立場。場所。よりどころ。たのみ所。時。場合。おり。</v>
      </c>
      <c r="H2901" t="str">
        <v>#海・水</v>
      </c>
      <c r="I2901">
        <v>70</v>
      </c>
      <c r="J2901">
        <v>90</v>
      </c>
      <c r="K2901">
        <v>35</v>
      </c>
      <c r="L2901">
        <v>0</v>
      </c>
      <c r="M2901">
        <f>VLOOKUP(A2901,[1]kanji_data!$A:$N,14,FALSE)</f>
        <v>0</v>
      </c>
    </row>
    <row r="2902">
      <c r="A2902" t="str">
        <v>簿</v>
      </c>
      <c r="B2902">
        <v>19</v>
      </c>
      <c r="C2902" t="b">
        <v>1</v>
      </c>
      <c r="D2902" t="str">
        <v>ボ ハク バク ホ</v>
      </c>
      <c r="E2902">
        <v>0</v>
      </c>
      <c r="F2902">
        <v>0</v>
      </c>
      <c r="G2902" t="str">
        <v>帳面。例：帳簿 簿記 しゃく。 天子の行列。 薄い竹で作ったすだれ。 養蚕に用いる道具。</v>
      </c>
      <c r="H2902" t="str">
        <v>#自然</v>
      </c>
      <c r="I2902">
        <v>10</v>
      </c>
      <c r="J2902">
        <v>50</v>
      </c>
      <c r="K2902">
        <v>50</v>
      </c>
      <c r="L2902">
        <v>1</v>
      </c>
    </row>
    <row r="2903">
      <c r="A2903" t="str">
        <v>韻</v>
      </c>
      <c r="B2903">
        <v>19</v>
      </c>
      <c r="C2903" t="b">
        <v>1</v>
      </c>
      <c r="D2903" t="str">
        <v>イン</v>
      </c>
      <c r="E2903" t="str">
        <v>おもむき ひびき</v>
      </c>
      <c r="F2903" t="str">
        <v>おと</v>
      </c>
      <c r="G2903" t="str">
        <v>ひびき。美しく調和した音。また声。 漢字の一音節のうち、頭子音（初めの子音）を除いた残りの部分。 おもむき。風流。風情。</v>
      </c>
      <c r="H2903" t="str">
        <v>#調和</v>
      </c>
      <c r="I2903">
        <v>90</v>
      </c>
      <c r="J2903">
        <v>50</v>
      </c>
      <c r="K2903">
        <v>70</v>
      </c>
      <c r="L2903">
        <v>0</v>
      </c>
      <c r="M2903">
        <f>VLOOKUP(A2903,[1]kanji_data!$A:$N,14,FALSE)</f>
        <v>0</v>
      </c>
    </row>
    <row r="2904">
      <c r="A2904" t="str">
        <v>蝶</v>
      </c>
      <c r="B2904">
        <v>15</v>
      </c>
      <c r="C2904" t="b">
        <v>0</v>
      </c>
      <c r="D2904" t="str">
        <v>チョウ</v>
      </c>
      <c r="E2904">
        <v>0</v>
      </c>
      <c r="F2904">
        <v>0</v>
      </c>
      <c r="G2904" t="str">
        <v>ちょう。虫の名。</v>
      </c>
      <c r="I2904">
        <v>10</v>
      </c>
      <c r="J2904">
        <v>25</v>
      </c>
      <c r="K2904">
        <v>85</v>
      </c>
      <c r="L2904">
        <v>1</v>
      </c>
    </row>
    <row r="2905">
      <c r="A2905" t="str">
        <v>藻</v>
      </c>
      <c r="B2905">
        <v>19</v>
      </c>
      <c r="C2905" t="b">
        <v>1</v>
      </c>
      <c r="D2905" t="str">
        <v>ソウ</v>
      </c>
      <c r="E2905" t="str">
        <v>も あや</v>
      </c>
      <c r="F2905">
        <v>0</v>
      </c>
      <c r="G2905" t="str">
        <v>も。水草。水中に生える草の総称。 美しい模様。あや。かざり。 模様を描く。かざる。</v>
      </c>
      <c r="H2905" t="str">
        <v>#花・彩</v>
      </c>
      <c r="I2905">
        <v>10</v>
      </c>
      <c r="J2905">
        <v>55</v>
      </c>
      <c r="K2905">
        <v>55</v>
      </c>
      <c r="L2905">
        <v>1</v>
      </c>
    </row>
    <row r="2906">
      <c r="A2906" t="str">
        <v>覇</v>
      </c>
      <c r="B2906">
        <v>19</v>
      </c>
      <c r="C2906" t="b">
        <v>1</v>
      </c>
      <c r="D2906" t="str">
        <v>ハ ハク</v>
      </c>
      <c r="E2906" t="str">
        <v>はたがしら</v>
      </c>
      <c r="F2906">
        <v>0</v>
      </c>
      <c r="G2906" t="str">
        <v>はたがしら。武力によって国・天下を治めるもの。覇者。 かしら。おさ。ひきいる者。 川の名。覇水。 月の光の弱い部分。月のわずかに光を帯びた部分。＝魄</v>
      </c>
      <c r="H2906" t="str">
        <v>#勇気 #品格 #天空 #海・水</v>
      </c>
      <c r="I2906">
        <v>60</v>
      </c>
      <c r="J2906">
        <v>100</v>
      </c>
      <c r="K2906">
        <v>15</v>
      </c>
      <c r="L2906">
        <v>0</v>
      </c>
      <c r="M2906">
        <f>VLOOKUP(A2906,[1]kanji_data!$A:$N,14,FALSE)</f>
        <v>0</v>
      </c>
    </row>
    <row r="2907">
      <c r="A2907" t="str">
        <v>憩</v>
      </c>
      <c r="B2907">
        <v>16</v>
      </c>
      <c r="C2907" t="b">
        <v>1</v>
      </c>
      <c r="D2907" t="str">
        <v>ケイ</v>
      </c>
      <c r="E2907" t="str">
        <v>いこ（い） いこ（う）</v>
      </c>
      <c r="F2907" t="str">
        <v>やす</v>
      </c>
      <c r="G2907" t="str">
        <v>いこう。やすむ。くつろぐ。からだを休める。</v>
      </c>
      <c r="I2907">
        <v>5</v>
      </c>
      <c r="J2907">
        <v>40</v>
      </c>
      <c r="K2907">
        <v>75</v>
      </c>
      <c r="L2907">
        <v>1</v>
      </c>
    </row>
    <row r="2908">
      <c r="A2908" t="str">
        <v>羅</v>
      </c>
      <c r="B2908">
        <v>19</v>
      </c>
      <c r="C2908" t="b">
        <v>1</v>
      </c>
      <c r="D2908" t="str">
        <v>ラ</v>
      </c>
      <c r="E2908" t="str">
        <v>あみ うすぎぬ つら（なる）</v>
      </c>
      <c r="F2908">
        <v>0</v>
      </c>
      <c r="G2908" t="str">
        <v>あみ。鳥あみ。鳥をとる網。 あみする。網にかけて捕らえる。残らずつかみとる。 つらねる。つらなる。並べる。 薄い絹。うすもの。 国名「羅馬尼亜（ルーマニア）」の略。</v>
      </c>
      <c r="H2908" t="str">
        <v>#花・彩 #調和</v>
      </c>
      <c r="I2908">
        <v>70</v>
      </c>
      <c r="J2908">
        <v>75</v>
      </c>
      <c r="K2908">
        <v>40</v>
      </c>
      <c r="L2908">
        <v>0</v>
      </c>
      <c r="M2908">
        <f>VLOOKUP(A2908,[1]kanji_data!$A:$N,14,FALSE)</f>
        <v>0</v>
      </c>
    </row>
    <row r="2909">
      <c r="A2909" t="str">
        <v>艶</v>
      </c>
      <c r="B2909">
        <v>19</v>
      </c>
      <c r="C2909" t="b">
        <v>1</v>
      </c>
      <c r="D2909" t="str">
        <v>エン</v>
      </c>
      <c r="E2909" t="str">
        <v>つや あで（やか） うらや（む） なまめ（かしい）</v>
      </c>
      <c r="F2909" t="str">
        <v>え よし</v>
      </c>
      <c r="G2909" t="str">
        <v>つや。いろ。はなやかさ。色彩。 あでやか。なまめかしい。美しい。 うらやむ。したう。好む。ほしがる。 つや。えん。男女の情事に関すること。</v>
      </c>
      <c r="H2909" t="str">
        <v>#花・彩</v>
      </c>
      <c r="I2909">
        <v>5</v>
      </c>
      <c r="J2909">
        <v>25</v>
      </c>
      <c r="K2909">
        <v>85</v>
      </c>
      <c r="L2909">
        <v>1</v>
      </c>
    </row>
    <row r="2910">
      <c r="A2910" t="str">
        <v>鴨</v>
      </c>
      <c r="B2910">
        <v>16</v>
      </c>
      <c r="C2910" t="b">
        <v>0</v>
      </c>
      <c r="D2910" t="str">
        <v>オウ</v>
      </c>
      <c r="E2910" t="str">
        <v>かも</v>
      </c>
      <c r="F2910">
        <v>0</v>
      </c>
      <c r="G2910" t="str">
        <v>かも。カモ科の水鳥。 あひる。飼いならしたかも。</v>
      </c>
      <c r="I2910">
        <v>10</v>
      </c>
      <c r="J2910">
        <v>50</v>
      </c>
      <c r="K2910">
        <v>50</v>
      </c>
      <c r="L2910">
        <v>1</v>
      </c>
    </row>
    <row r="2911">
      <c r="A2911" t="str">
        <v>麓</v>
      </c>
      <c r="B2911">
        <v>19</v>
      </c>
      <c r="C2911" t="b">
        <v>1</v>
      </c>
      <c r="D2911" t="str">
        <v>ロク</v>
      </c>
      <c r="E2911" t="str">
        <v>ふもと</v>
      </c>
      <c r="F2911" t="str">
        <v>ろ</v>
      </c>
      <c r="G2911" t="str">
        <v>ふもと。山のふもと。山すそ。 やまもり。山林の管理をする役人。</v>
      </c>
      <c r="H2911" t="str">
        <v>#自然</v>
      </c>
      <c r="I2911">
        <v>35</v>
      </c>
      <c r="J2911">
        <v>35</v>
      </c>
      <c r="K2911">
        <v>35</v>
      </c>
      <c r="L2911">
        <v>0</v>
      </c>
      <c r="M2911">
        <f>VLOOKUP(A2911,[1]kanji_data!$A:$N,14,FALSE)</f>
        <v>0</v>
      </c>
    </row>
    <row r="2912">
      <c r="A2912" t="str">
        <v>縞</v>
      </c>
      <c r="B2912">
        <v>16</v>
      </c>
      <c r="C2912" t="b">
        <v>0</v>
      </c>
      <c r="D2912" t="str">
        <v>コウ</v>
      </c>
      <c r="E2912" t="str">
        <v>しま しろぎぬ</v>
      </c>
      <c r="F2912">
        <v>0</v>
      </c>
      <c r="G2912" t="str">
        <v>しろぎぬ。きぎぬ。白い絹。 白色。白い。しろ。 しま。模様の一種。しま模様の絹。</v>
      </c>
      <c r="I2912">
        <v>10</v>
      </c>
      <c r="J2912">
        <v>50</v>
      </c>
      <c r="K2912">
        <v>50</v>
      </c>
      <c r="L2912">
        <v>1</v>
      </c>
    </row>
    <row r="2913">
      <c r="A2913" t="str">
        <v>麒</v>
      </c>
      <c r="B2913">
        <v>19</v>
      </c>
      <c r="C2913" t="b">
        <v>0</v>
      </c>
      <c r="D2913" t="str">
        <v>キ</v>
      </c>
      <c r="E2913" t="str">
        <v>きりん</v>
      </c>
      <c r="F2913">
        <v>0</v>
      </c>
      <c r="G2913" t="str">
        <v>「麒麟（きりん）」は、想像上の動物。聖人が世に現れたときに姿をみせるとされる。「麒」が雄、「麟」が雌。</v>
      </c>
      <c r="H2913" t="str">
        <v>#勇気 #品格</v>
      </c>
      <c r="I2913">
        <v>50</v>
      </c>
      <c r="J2913">
        <v>70</v>
      </c>
      <c r="K2913">
        <v>50</v>
      </c>
      <c r="L2913">
        <v>0</v>
      </c>
      <c r="M2913">
        <f>VLOOKUP(A2913,[1]kanji_data!$A:$N,14,FALSE)</f>
        <v>0</v>
      </c>
    </row>
    <row r="2914">
      <c r="A2914" t="str">
        <v>樽</v>
      </c>
      <c r="B2914">
        <v>16</v>
      </c>
      <c r="C2914" t="b">
        <v>0</v>
      </c>
      <c r="D2914" t="str">
        <v>ソン</v>
      </c>
      <c r="E2914" t="str">
        <v>たる</v>
      </c>
      <c r="F2914">
        <v>0</v>
      </c>
      <c r="G2914" t="str">
        <v>たる。酒だる。酒を入れる容器。 たる。酒や醤油（しょうゆ）などを入れる、ふたのある木製の容器。</v>
      </c>
      <c r="I2914">
        <v>10</v>
      </c>
      <c r="J2914">
        <v>50</v>
      </c>
      <c r="K2914">
        <v>50</v>
      </c>
      <c r="L2914">
        <v>1</v>
      </c>
    </row>
    <row r="2915">
      <c r="A2915" t="str">
        <v>蘇</v>
      </c>
      <c r="B2915">
        <v>19</v>
      </c>
      <c r="C2915" t="b">
        <v>0</v>
      </c>
      <c r="D2915" t="str">
        <v>ス ソ</v>
      </c>
      <c r="E2915" t="str">
        <v>よみがえ（る）</v>
      </c>
      <c r="F2915">
        <v>0</v>
      </c>
      <c r="G2915" t="str">
        <v>草の名「紫蘇（しそ）」に用いる字。 よみがえる。生き返る。 草を刈る。草を刈り取る。 覚める。目覚める。 ふさ。鳥の尾で作った垂れ飾り。</v>
      </c>
      <c r="H2915" t="str">
        <v>#花・彩</v>
      </c>
      <c r="I2915">
        <v>10</v>
      </c>
      <c r="J2915">
        <v>85</v>
      </c>
      <c r="K2915">
        <v>30</v>
      </c>
      <c r="L2915">
        <v>0</v>
      </c>
      <c r="M2915">
        <f>VLOOKUP(A2915,[1]kanji_data!$A:$N,14,FALSE)</f>
        <v>0</v>
      </c>
    </row>
    <row r="2916">
      <c r="A2916" t="str">
        <v>寵</v>
      </c>
      <c r="B2916">
        <v>19</v>
      </c>
      <c r="C2916" t="b">
        <v>0</v>
      </c>
      <c r="D2916" t="str">
        <v>チョウ</v>
      </c>
      <c r="E2916" t="str">
        <v>いつく（しむ） めぐ（み） めぐ（む）</v>
      </c>
      <c r="F2916">
        <v>0</v>
      </c>
      <c r="G2916" t="str">
        <v>めぐむ。いつくしむ。大切にしてかわいがる。 めぐみ。いつくしみ。 お気に入りの家臣や女性。</v>
      </c>
      <c r="H2916" t="str">
        <v>#慈愛</v>
      </c>
      <c r="I2916">
        <v>10</v>
      </c>
      <c r="J2916">
        <v>35</v>
      </c>
      <c r="K2916">
        <v>75</v>
      </c>
      <c r="L2916">
        <v>1</v>
      </c>
    </row>
    <row r="2917">
      <c r="A2917" t="str">
        <v>鯛</v>
      </c>
      <c r="B2917">
        <v>19</v>
      </c>
      <c r="C2917" t="b">
        <v>0</v>
      </c>
      <c r="D2917" t="str">
        <v>チョウ</v>
      </c>
      <c r="E2917" t="str">
        <v>たい</v>
      </c>
      <c r="F2917">
        <v>0</v>
      </c>
      <c r="G2917" t="str">
        <v>たい。タイ科の海水魚。</v>
      </c>
      <c r="H2917" t="str">
        <v>#海・水</v>
      </c>
      <c r="I2917">
        <v>10</v>
      </c>
      <c r="J2917">
        <v>50</v>
      </c>
      <c r="K2917">
        <v>50</v>
      </c>
      <c r="L2917">
        <v>1</v>
      </c>
    </row>
    <row r="2918">
      <c r="A2918" t="str">
        <v>禰</v>
      </c>
      <c r="B2918">
        <v>19</v>
      </c>
      <c r="C2918" t="b">
        <v>0</v>
      </c>
      <c r="D2918" t="str">
        <v>デイ ネ</v>
      </c>
      <c r="E2918" t="str">
        <v>かたしろ みたまや</v>
      </c>
      <c r="F2918">
        <v>0</v>
      </c>
      <c r="G2918" t="str">
        <v>みたまや。父のおたまや。父親の霊廟。 かたしろ。戦争に持っていく位牌。</v>
      </c>
      <c r="H2918" t="str">
        <v>#品格</v>
      </c>
      <c r="I2918">
        <v>10</v>
      </c>
      <c r="J2918">
        <v>50</v>
      </c>
      <c r="K2918">
        <v>50</v>
      </c>
      <c r="L2918">
        <v>1</v>
      </c>
    </row>
    <row r="2919">
      <c r="A2919" t="str">
        <v>曝</v>
      </c>
      <c r="B2919">
        <v>19</v>
      </c>
      <c r="C2919" t="b">
        <v>0</v>
      </c>
      <c r="D2919" t="str">
        <v>バク ホク</v>
      </c>
      <c r="E2919" t="str">
        <v>さら（ける） さら（す） さらば（える）</v>
      </c>
      <c r="F2919">
        <v>0</v>
      </c>
      <c r="G2919" t="str">
        <v>さらす。日にさらす。日光にあてる。＝暴</v>
      </c>
      <c r="H2919" t="str">
        <v>#天空</v>
      </c>
      <c r="I2919">
        <v>10</v>
      </c>
      <c r="J2919">
        <v>50</v>
      </c>
      <c r="K2919">
        <v>50</v>
      </c>
      <c r="L2919">
        <v>1</v>
      </c>
    </row>
    <row r="2920">
      <c r="A2920" t="str">
        <v>瀕</v>
      </c>
      <c r="B2920">
        <v>19</v>
      </c>
      <c r="C2920" t="b">
        <v>0</v>
      </c>
      <c r="D2920" t="str">
        <v>ヒン</v>
      </c>
      <c r="E2920" t="str">
        <v>せま（る） そ（う） みぎわ</v>
      </c>
      <c r="F2920">
        <v>0</v>
      </c>
      <c r="G2920" t="str">
        <v>せまる。近づく。差し迫る。 沿う。土地が川や海に沿う。 みぎわ。ほとり。なぎさ。</v>
      </c>
      <c r="H2920" t="str">
        <v>#海・水</v>
      </c>
      <c r="I2920">
        <v>10</v>
      </c>
      <c r="J2920">
        <v>50</v>
      </c>
      <c r="K2920">
        <v>50</v>
      </c>
      <c r="L2920">
        <v>1</v>
      </c>
    </row>
    <row r="2921">
      <c r="A2921" t="str">
        <v>鵬</v>
      </c>
      <c r="B2921">
        <v>19</v>
      </c>
      <c r="C2921" t="b">
        <v>0</v>
      </c>
      <c r="D2921" t="str">
        <v>ホウ</v>
      </c>
      <c r="E2921" t="str">
        <v>おおとり</v>
      </c>
      <c r="F2921" t="str">
        <v>とも ゆき</v>
      </c>
      <c r="G2921" t="str">
        <v>おおとり。想像上の大きな鳥。転じて、すぐれたもののたとえ。</v>
      </c>
      <c r="H2921" t="str">
        <v>#品格 #繁栄</v>
      </c>
      <c r="I2921">
        <v>100</v>
      </c>
      <c r="J2921">
        <v>90</v>
      </c>
      <c r="K2921">
        <v>40</v>
      </c>
      <c r="L2921">
        <v>0</v>
      </c>
      <c r="M2921">
        <f>VLOOKUP(A2921,[1]kanji_data!$A:$N,14,FALSE)</f>
        <v>0</v>
      </c>
    </row>
    <row r="2922">
      <c r="A2922" t="str">
        <v>蘭</v>
      </c>
      <c r="B2922">
        <v>19</v>
      </c>
      <c r="C2922" t="b">
        <v>0</v>
      </c>
      <c r="D2922" t="str">
        <v>ラン</v>
      </c>
      <c r="E2922" t="str">
        <v>あららぎ ふじばかま</v>
      </c>
      <c r="F2922" t="str">
        <v>か</v>
      </c>
      <c r="G2922" t="str">
        <v>ラン科の多年草の総称。 あららぎ。植物の名でイチイの別称。 ふじばかま。キク科の多年生植物。 国名「和蘭（オランダ）」の略。</v>
      </c>
      <c r="H2922" t="str">
        <v>#自然</v>
      </c>
      <c r="I2922">
        <v>100</v>
      </c>
      <c r="J2922">
        <v>20</v>
      </c>
      <c r="K2922">
        <v>100</v>
      </c>
      <c r="L2922">
        <v>0</v>
      </c>
      <c r="M2922">
        <f>VLOOKUP(A2922,[1]kanji_data!$A:$N,14,FALSE)</f>
        <v>0</v>
      </c>
    </row>
    <row r="2923">
      <c r="A2923" t="str">
        <v>簾</v>
      </c>
      <c r="B2923">
        <v>19</v>
      </c>
      <c r="C2923" t="b">
        <v>0</v>
      </c>
      <c r="D2923" t="str">
        <v>レン</v>
      </c>
      <c r="E2923" t="str">
        <v>す すだれ</v>
      </c>
      <c r="F2923">
        <v>0</v>
      </c>
      <c r="G2923" t="str">
        <v>すだれ。す。竹や葦（あし）を編んで作ったとばり。</v>
      </c>
      <c r="H2923" t="str">
        <v>#自然</v>
      </c>
      <c r="I2923">
        <v>10</v>
      </c>
      <c r="J2923">
        <v>50</v>
      </c>
      <c r="K2923">
        <v>50</v>
      </c>
      <c r="L2923">
        <v>1</v>
      </c>
    </row>
    <row r="2924">
      <c r="A2924" t="str">
        <v>覧</v>
      </c>
      <c r="B2924">
        <v>17</v>
      </c>
      <c r="C2924" t="b">
        <v>1</v>
      </c>
      <c r="D2924" t="str">
        <v>ラン</v>
      </c>
      <c r="E2924" t="str">
        <v>み（る）</v>
      </c>
      <c r="F2924">
        <v>0</v>
      </c>
      <c r="G2924" t="str">
        <v>みる。よく見る。広く見わたす。</v>
      </c>
      <c r="I2924">
        <v>10</v>
      </c>
      <c r="J2924">
        <v>50</v>
      </c>
      <c r="K2924">
        <v>50</v>
      </c>
      <c r="L2924">
        <v>1</v>
      </c>
    </row>
    <row r="2925">
      <c r="A2925" t="str">
        <v>獸</v>
      </c>
      <c r="B2925">
        <v>19</v>
      </c>
      <c r="C2925" t="b">
        <v>0</v>
      </c>
      <c r="D2925" t="str">
        <v>ジュウ</v>
      </c>
      <c r="E2925" t="str">
        <v>けだもの けもの しし</v>
      </c>
      <c r="F2925">
        <v>0</v>
      </c>
      <c r="G2925" t="str">
        <v>けもの。けだもの。動物の総称。特に、野生の動物。 ほじし。干し肉。</v>
      </c>
      <c r="H2925" t="str">
        <v>#自然</v>
      </c>
      <c r="I2925">
        <v>10</v>
      </c>
      <c r="J2925">
        <v>50</v>
      </c>
      <c r="K2925">
        <v>50</v>
      </c>
      <c r="L2925">
        <v>1</v>
      </c>
    </row>
    <row r="2926">
      <c r="A2926" t="str">
        <v>戴</v>
      </c>
      <c r="B2926">
        <v>17</v>
      </c>
      <c r="C2926" t="b">
        <v>1</v>
      </c>
      <c r="D2926" t="str">
        <v>タイ</v>
      </c>
      <c r="E2926" t="str">
        <v>いただ（く）</v>
      </c>
      <c r="F2926">
        <v>0</v>
      </c>
      <c r="G2926" t="str">
        <v>いただく。頭の上にのせる。 いただく。おしいただく。 いただく。うやうやしくうける。 いただく。目上の人から物品をもらう。 いただく。「飲む」「食べる」「～してもらう」などをへりくだっていうことば。</v>
      </c>
      <c r="I2926">
        <v>10</v>
      </c>
      <c r="J2926">
        <v>45</v>
      </c>
      <c r="K2926">
        <v>65</v>
      </c>
      <c r="L2926">
        <v>1</v>
      </c>
    </row>
    <row r="2927">
      <c r="A2927" t="str">
        <v>懷</v>
      </c>
      <c r="B2927">
        <v>19</v>
      </c>
      <c r="C2927" t="b">
        <v>0</v>
      </c>
      <c r="D2927" t="str">
        <v>カイ</v>
      </c>
      <c r="E2927" t="str">
        <v>なつ（かしい） なつ（かしむ） なつ（く） なつ（ける） ふところ いだ（く） おも（う）</v>
      </c>
      <c r="F2927">
        <v>0</v>
      </c>
      <c r="G2927" t="str">
        <v>いだく。心にいだく。思いをいだく。 おもう。おもい。心の中で大切にあたためる。また、心の中にある思いや考え。 ふところ。胸のあたりの部分。 なつく。なつける。大切にかわいがって、なれ親しませる。 なつかしい。なつかしむ。慕わしく思う。</v>
      </c>
      <c r="H2927" t="str">
        <v>#心・志 #慈愛</v>
      </c>
      <c r="I2927">
        <v>10</v>
      </c>
      <c r="J2927">
        <v>35</v>
      </c>
      <c r="K2927">
        <v>70</v>
      </c>
      <c r="L2927">
        <v>0</v>
      </c>
      <c r="M2927">
        <f>VLOOKUP(A2927,[1]kanji_data!$A:$N,14,FALSE)</f>
        <v>0</v>
      </c>
    </row>
    <row r="2928">
      <c r="A2928" t="str">
        <v>薩</v>
      </c>
      <c r="B2928">
        <v>17</v>
      </c>
      <c r="C2928" t="b">
        <v>0</v>
      </c>
      <c r="D2928" t="str">
        <v>サツ</v>
      </c>
      <c r="E2928">
        <v>0</v>
      </c>
      <c r="F2928">
        <v>0</v>
      </c>
      <c r="G2928" t="str">
        <v>梵語の音訳に用いる字。 「薩摩（さつま）」の略。</v>
      </c>
      <c r="I2928">
        <v>10</v>
      </c>
      <c r="J2928">
        <v>35</v>
      </c>
      <c r="K2928">
        <v>70</v>
      </c>
      <c r="L2928">
        <v>1</v>
      </c>
    </row>
    <row r="2929">
      <c r="A2929" t="str">
        <v>懲</v>
      </c>
      <c r="B2929">
        <v>19</v>
      </c>
      <c r="C2929" t="b">
        <v>0</v>
      </c>
      <c r="D2929" t="str">
        <v>チョウ</v>
      </c>
      <c r="E2929" t="str">
        <v>こ（らしめる） こ（らす） こ（りる）</v>
      </c>
      <c r="F2929">
        <v>0</v>
      </c>
      <c r="G2929" t="str">
        <v>こらす。こらしめる。制裁を加えたりして、あやまちを繰り返さないようにさせる。 こりる。こりごりする。あやまちを後悔して、二度としたくないと思う。</v>
      </c>
      <c r="I2929">
        <v>10</v>
      </c>
      <c r="J2929">
        <v>50</v>
      </c>
      <c r="K2929">
        <v>55</v>
      </c>
      <c r="L2929">
        <v>1</v>
      </c>
    </row>
    <row r="2930">
      <c r="A2930" t="str">
        <v>議</v>
      </c>
      <c r="B2930">
        <v>20</v>
      </c>
      <c r="C2930" t="b">
        <v>1</v>
      </c>
      <c r="D2930" t="str">
        <v>ギ</v>
      </c>
      <c r="E2930" t="str">
        <v>はか（る）</v>
      </c>
      <c r="F2930" t="str">
        <v>かた さだむ のり</v>
      </c>
      <c r="G2930" t="str">
        <v>はかる。相談する。 あげつらう。いう。批判する。 意見。提案。主張。論説。 そしる。非難する。 文体のひとつ。議論文。</v>
      </c>
      <c r="I2930">
        <v>5</v>
      </c>
      <c r="J2930">
        <v>55</v>
      </c>
      <c r="K2930">
        <v>55</v>
      </c>
      <c r="L2930">
        <v>1</v>
      </c>
    </row>
    <row r="2931">
      <c r="A2931" t="str">
        <v>贈</v>
      </c>
      <c r="B2931">
        <v>19</v>
      </c>
      <c r="C2931" t="b">
        <v>0</v>
      </c>
      <c r="D2931" t="str">
        <v>ソウ ゾウ</v>
      </c>
      <c r="E2931" t="str">
        <v>おく（る）</v>
      </c>
      <c r="F2931">
        <v>0</v>
      </c>
      <c r="G2931" t="str">
        <v>おくる。感謝や愛情などの気持ちを込めて物や金品を与える。 おくりもの。プレゼント。 功績のあった人に対して、その人の死後に朝廷が官位や称号を与える。また、その官位や称号を示す語。</v>
      </c>
      <c r="H2931" t="str">
        <v>#心・志 #慈愛</v>
      </c>
      <c r="I2931">
        <v>10</v>
      </c>
      <c r="J2931">
        <v>50</v>
      </c>
      <c r="K2931">
        <v>50</v>
      </c>
      <c r="L2931">
        <v>1</v>
      </c>
    </row>
    <row r="2932">
      <c r="A2932" t="str">
        <v>難</v>
      </c>
      <c r="B2932">
        <v>19</v>
      </c>
      <c r="C2932" t="b">
        <v>0</v>
      </c>
      <c r="D2932" t="str">
        <v>ナン ダ ダン ナ</v>
      </c>
      <c r="E2932" t="str">
        <v>むずか（しい） かた（い） にく（い） むつか（しい）</v>
      </c>
      <c r="F2932">
        <v>0</v>
      </c>
      <c r="G2932" t="str">
        <v>むずかしい。かたい。やりづらい。 わざわい。うれい。苦しみ。 いくさ。争い。戦乱。 なじる。責める。とがめる。 葉が盛んに茂るさま。 おにやらい。疫病神を追い払う行事。＝儺</v>
      </c>
      <c r="H2932" t="str">
        <v>#自然</v>
      </c>
      <c r="I2932">
        <v>10</v>
      </c>
      <c r="J2932">
        <v>50</v>
      </c>
      <c r="K2932">
        <v>50</v>
      </c>
      <c r="L2932">
        <v>1</v>
      </c>
    </row>
    <row r="2933">
      <c r="A2933" t="str">
        <v>瀨</v>
      </c>
      <c r="B2933">
        <v>19</v>
      </c>
      <c r="C2933" t="b">
        <v>0</v>
      </c>
      <c r="D2933" t="str">
        <v>ライ</v>
      </c>
      <c r="E2933" t="str">
        <v>せ</v>
      </c>
      <c r="F2933">
        <v>0</v>
      </c>
      <c r="G2933" t="str">
        <v>せ。あさせ。川や海の浅いところ。 せ。はやせ。川の流れのはやいところ。急流。 せ。立場。場所。よりどころ。たのみ所。時。場合。おり。</v>
      </c>
      <c r="H2933" t="str">
        <v>#海・水</v>
      </c>
      <c r="I2933">
        <v>10</v>
      </c>
      <c r="J2933">
        <v>50</v>
      </c>
      <c r="K2933">
        <v>50</v>
      </c>
      <c r="L2933">
        <v>0</v>
      </c>
      <c r="M2933">
        <f>VLOOKUP(A2933,[1]kanji_data!$A:$N,14,FALSE)</f>
        <v>0</v>
      </c>
    </row>
    <row r="2934">
      <c r="A2934" t="str">
        <v>禱</v>
      </c>
      <c r="B2934">
        <v>19</v>
      </c>
      <c r="C2934" t="b">
        <v>0</v>
      </c>
      <c r="D2934" t="str">
        <v>トウ</v>
      </c>
      <c r="E2934" t="str">
        <v>いの（る） まつ（る）</v>
      </c>
      <c r="F2934">
        <v>0</v>
      </c>
      <c r="G2934" t="str">
        <v>いのる。いのり。神に願い求める。 まつる。</v>
      </c>
      <c r="H2934" t="str">
        <v>#幸福</v>
      </c>
      <c r="I2934">
        <v>10</v>
      </c>
      <c r="J2934">
        <v>50</v>
      </c>
      <c r="K2934">
        <v>55</v>
      </c>
      <c r="L2934">
        <v>0</v>
      </c>
      <c r="M2934">
        <f>VLOOKUP(A2934,[1]kanji_data!$A:$N,14,FALSE)</f>
        <v>0</v>
      </c>
    </row>
    <row r="2935">
      <c r="A2935" t="str">
        <v>繡</v>
      </c>
      <c r="B2935">
        <v>19</v>
      </c>
      <c r="C2935" t="b">
        <v>0</v>
      </c>
      <c r="D2935" t="str">
        <v>シュウ</v>
      </c>
      <c r="E2935" t="str">
        <v>うつく（しい） にしき ぬいとり</v>
      </c>
      <c r="F2935">
        <v>0</v>
      </c>
      <c r="G2935" t="str">
        <v>ぬいとり。刺繍。また、ぬいとりした布。 にしき。 美しい。華麗な。</v>
      </c>
      <c r="H2935" t="str">
        <v>#花・彩</v>
      </c>
      <c r="I2935">
        <v>10</v>
      </c>
      <c r="J2935">
        <v>55</v>
      </c>
      <c r="K2935">
        <v>55</v>
      </c>
      <c r="L2935">
        <v>1</v>
      </c>
    </row>
    <row r="2936">
      <c r="A2936" t="str">
        <v>纏</v>
      </c>
      <c r="B2936">
        <v>21</v>
      </c>
      <c r="C2936" t="b">
        <v>0</v>
      </c>
      <c r="D2936" t="str">
        <v>テン</v>
      </c>
      <c r="E2936" t="str">
        <v>まつ（る） まつ（わる） まとい まと（う） まと（める）</v>
      </c>
      <c r="F2936">
        <v>0</v>
      </c>
      <c r="G2936" t="str">
        <v>まとう。まつわる。めぐらす。からまる。たばねる。 まとい。さおの先に飾りをつけたもの。火消しのしるし。 まとめる。</v>
      </c>
      <c r="I2936">
        <v>10</v>
      </c>
      <c r="J2936">
        <v>55</v>
      </c>
      <c r="K2936">
        <v>55</v>
      </c>
      <c r="L2936">
        <v>1</v>
      </c>
    </row>
    <row r="2937">
      <c r="A2937" t="str">
        <v>饗</v>
      </c>
      <c r="B2937">
        <v>22</v>
      </c>
      <c r="C2937" t="b">
        <v>0</v>
      </c>
      <c r="D2937" t="str">
        <v>キョウ</v>
      </c>
      <c r="E2937" t="str">
        <v>あえ う（ける） もてな（す）</v>
      </c>
      <c r="F2937">
        <v>0</v>
      </c>
      <c r="G2937" t="str">
        <v>あえ。人があつまって飲食する。 あえ。もてなす。酒や料理をふるまう。 神をまつる。供物を供える。 うける。受けとる。受け入れる。＝享</v>
      </c>
      <c r="I2937">
        <v>10</v>
      </c>
      <c r="J2937">
        <v>35</v>
      </c>
      <c r="K2937">
        <v>70</v>
      </c>
      <c r="L2937">
        <v>1</v>
      </c>
    </row>
    <row r="2938">
      <c r="A2938" t="str">
        <v>亡</v>
      </c>
      <c r="B2938">
        <v>3</v>
      </c>
      <c r="C2938" t="b">
        <v>1</v>
      </c>
      <c r="D2938" t="str">
        <v>ボウ モウ ブ ム</v>
      </c>
      <c r="E2938" t="str">
        <v>な（い） うしな（う） に（げる） ほろ（びる） ほろ（ぼす）</v>
      </c>
      <c r="F2938">
        <v>0</v>
      </c>
      <c r="G2938" t="str">
        <v>うしなう。なくす。なくなる。 ない。なくなる。死ぬ。 ほろびる。ほろぼす。なくなる。 にげる。逃げ去る。逃げて隠れる。 わすれる。＝忘 ない。＝無</v>
      </c>
      <c r="I2938">
        <v>0</v>
      </c>
      <c r="J2938">
        <v>50</v>
      </c>
      <c r="K2938">
        <v>50</v>
      </c>
      <c r="L2938">
        <v>1</v>
      </c>
    </row>
    <row r="2939">
      <c r="A2939" t="str">
        <v>競</v>
      </c>
      <c r="B2939">
        <v>20</v>
      </c>
      <c r="C2939" t="b">
        <v>1</v>
      </c>
      <c r="D2939" t="str">
        <v>キョウ ケイ</v>
      </c>
      <c r="E2939" t="str">
        <v>きそ（う） せ（る） きお（う） くら（べる）</v>
      </c>
      <c r="F2939" t="str">
        <v>きそう つよし</v>
      </c>
      <c r="G2939" t="str">
        <v>きそう。せる。せりあう。くらべる。争う。 進む。 強い。力強い。 せる。きそって値を上げる。</v>
      </c>
      <c r="H2939" t="str">
        <v>#勇気</v>
      </c>
      <c r="I2939">
        <v>10</v>
      </c>
      <c r="J2939">
        <v>100</v>
      </c>
      <c r="K2939">
        <v>25</v>
      </c>
      <c r="L2939">
        <v>1</v>
      </c>
    </row>
    <row r="2940">
      <c r="A2940" t="str">
        <v>護</v>
      </c>
      <c r="B2940">
        <v>20</v>
      </c>
      <c r="C2940" t="b">
        <v>1</v>
      </c>
      <c r="D2940" t="str">
        <v>ゴ</v>
      </c>
      <c r="E2940" t="str">
        <v>まも（り） まも（る）</v>
      </c>
      <c r="F2940" t="str">
        <v>さね まもる もり</v>
      </c>
      <c r="G2940" t="str">
        <v>まもる。まもり。かばう。助ける。 率いる。統べる。統率する。 お守り。神仏のお守り札。</v>
      </c>
      <c r="H2940" t="str">
        <v>#慈愛</v>
      </c>
      <c r="I2940">
        <v>100</v>
      </c>
      <c r="J2940">
        <v>70</v>
      </c>
      <c r="K2940">
        <v>60</v>
      </c>
      <c r="L2940">
        <v>0</v>
      </c>
      <c r="M2940">
        <f>VLOOKUP(A2940,[1]kanji_data!$A:$N,14,FALSE)</f>
        <v>0</v>
      </c>
    </row>
    <row r="2941">
      <c r="A2941" t="str">
        <v>響</v>
      </c>
      <c r="B2941">
        <v>20</v>
      </c>
      <c r="C2941" t="b">
        <v>1</v>
      </c>
      <c r="D2941" t="str">
        <v>キョウ</v>
      </c>
      <c r="E2941" t="str">
        <v>ひび（く） どよ（めく）</v>
      </c>
      <c r="F2941" t="str">
        <v>おと なり ひびき</v>
      </c>
      <c r="G2941" t="str">
        <v>ひびき。震えひびく音。広がり伝わる音。 ひびく。どよめく。音がひびいて伝わる。</v>
      </c>
      <c r="H2941" t="str">
        <v>#調和</v>
      </c>
      <c r="I2941">
        <v>100</v>
      </c>
      <c r="J2941">
        <v>70</v>
      </c>
      <c r="K2941">
        <v>50</v>
      </c>
      <c r="L2941">
        <v>0</v>
      </c>
      <c r="M2941">
        <f>VLOOKUP(A2941,[1]kanji_data!$A:$N,14,FALSE)</f>
        <v>0</v>
      </c>
    </row>
    <row r="2942">
      <c r="A2942" t="str">
        <v>凶</v>
      </c>
      <c r="B2942">
        <v>4</v>
      </c>
      <c r="C2942" t="b">
        <v>1</v>
      </c>
      <c r="D2942" t="str">
        <v>キョウ</v>
      </c>
      <c r="E2942" t="str">
        <v>おそ（れる） わざわ（い） わる（い）</v>
      </c>
      <c r="F2942">
        <v>0</v>
      </c>
      <c r="G2942" t="str">
        <v>おそれる。こわがる。憂える。 わざわい。わるい。縁起が悪い。不吉なこと。 わるい。心がわるい。邪悪な。人を傷つけるような。例：凶器 ききん。不作。作物が実らない。</v>
      </c>
      <c r="I2942">
        <v>0</v>
      </c>
      <c r="J2942">
        <v>50</v>
      </c>
      <c r="K2942">
        <v>50</v>
      </c>
      <c r="L2942">
        <v>1</v>
      </c>
    </row>
    <row r="2943">
      <c r="A2943" t="str">
        <v>囚</v>
      </c>
      <c r="B2943">
        <v>5</v>
      </c>
      <c r="C2943" t="b">
        <v>1</v>
      </c>
      <c r="D2943" t="str">
        <v>シュウ</v>
      </c>
      <c r="E2943" t="str">
        <v>とら（える） とら（われる）</v>
      </c>
      <c r="F2943">
        <v>0</v>
      </c>
      <c r="G2943" t="str">
        <v>とらえる。罪人などをつかまえて自由を制限する。投獄する。 とらわれる。つかまる。 とりこ。とらえられた人。</v>
      </c>
      <c r="I2943">
        <v>0</v>
      </c>
      <c r="J2943">
        <v>50</v>
      </c>
      <c r="K2943">
        <v>50</v>
      </c>
      <c r="L2943">
        <v>1</v>
      </c>
    </row>
    <row r="2944">
      <c r="A2944" t="str">
        <v>譲</v>
      </c>
      <c r="B2944">
        <v>20</v>
      </c>
      <c r="C2944" t="b">
        <v>1</v>
      </c>
      <c r="D2944" t="str">
        <v>ジョウ</v>
      </c>
      <c r="E2944" t="str">
        <v>ゆず（る） せ（める）</v>
      </c>
      <c r="F2944" t="str">
        <v>のり まさ ゆずる よし</v>
      </c>
      <c r="G2944" t="str">
        <v>ゆずる。自分の物や権利などを他の人に与える。 ゆずる。へりくだる。ひかえる。自分よりも人を先にする。 せめる。せめたてる。せめとがめる。</v>
      </c>
      <c r="H2944" t="str">
        <v>#天空</v>
      </c>
      <c r="I2944">
        <v>100</v>
      </c>
      <c r="J2944">
        <v>40</v>
      </c>
      <c r="K2944">
        <v>85</v>
      </c>
      <c r="L2944">
        <v>0</v>
      </c>
      <c r="M2944">
        <f>VLOOKUP(A2944,[1]kanji_data!$A:$N,14,FALSE)</f>
        <v>0</v>
      </c>
    </row>
    <row r="2945">
      <c r="A2945" t="str">
        <v>籍</v>
      </c>
      <c r="B2945">
        <v>20</v>
      </c>
      <c r="C2945" t="b">
        <v>1</v>
      </c>
      <c r="D2945" t="str">
        <v>セキ ジャク シャ</v>
      </c>
      <c r="E2945" t="str">
        <v>し（く） ふみ ふ（む）</v>
      </c>
      <c r="F2945">
        <v>0</v>
      </c>
      <c r="G2945" t="str">
        <v>ふみ。書物。文書。 人別・戸別・地所などを書き記した帳簿。 記す。書き込む。書き記す。 税のとりたて。取り立てる。 借りる。また、貸す。 下に敷く。敷物。 ふむ。足でふむ。ふみ耕す。 許す。</v>
      </c>
      <c r="H2945" t="str">
        <v>#天空</v>
      </c>
      <c r="I2945">
        <v>10</v>
      </c>
      <c r="J2945">
        <v>50</v>
      </c>
      <c r="K2945">
        <v>50</v>
      </c>
      <c r="L2945">
        <v>1</v>
      </c>
    </row>
    <row r="2946">
      <c r="A2946" t="str">
        <v>懸</v>
      </c>
      <c r="B2946">
        <v>20</v>
      </c>
      <c r="C2946" t="b">
        <v>1</v>
      </c>
      <c r="D2946" t="str">
        <v>ケン ケ</v>
      </c>
      <c r="E2946" t="str">
        <v>か（かる） か（ける） へだ（たる）</v>
      </c>
      <c r="F2946" t="str">
        <v>かける</v>
      </c>
      <c r="G2946" t="str">
        <v>かける。かかる。ぶらさげる。つりさげる。 空中にぶらさがっている。宙に浮いている。決着がつかない。 へだたる。へだたりがある。かけ離れている。</v>
      </c>
      <c r="H2946" t="str">
        <v>#天空</v>
      </c>
      <c r="I2946">
        <v>15</v>
      </c>
      <c r="J2946">
        <v>50</v>
      </c>
      <c r="K2946">
        <v>50</v>
      </c>
      <c r="L2946">
        <v>1</v>
      </c>
    </row>
    <row r="2947">
      <c r="A2947" t="str">
        <v>刑</v>
      </c>
      <c r="B2947">
        <v>6</v>
      </c>
      <c r="C2947" t="b">
        <v>1</v>
      </c>
      <c r="D2947" t="str">
        <v>ケイ ギョウ</v>
      </c>
      <c r="E2947" t="str">
        <v>しおき のり</v>
      </c>
      <c r="F2947">
        <v>0</v>
      </c>
      <c r="G2947" t="str">
        <v>しおき。罰。罰する。 のり。手本。決まり。 治める。ただす。取り締まる。</v>
      </c>
      <c r="I2947">
        <v>0</v>
      </c>
      <c r="J2947">
        <v>50</v>
      </c>
      <c r="K2947">
        <v>50</v>
      </c>
      <c r="L2947">
        <v>1</v>
      </c>
    </row>
    <row r="2948">
      <c r="A2948" t="str">
        <v>騰</v>
      </c>
      <c r="B2948">
        <v>20</v>
      </c>
      <c r="C2948" t="b">
        <v>1</v>
      </c>
      <c r="D2948" t="str">
        <v>トウ</v>
      </c>
      <c r="E2948" t="str">
        <v>あ（がる） のぼ（る）</v>
      </c>
      <c r="F2948">
        <v>0</v>
      </c>
      <c r="G2948" t="str">
        <v>あがる。のぼる。高くあがる。上昇する。 馬が高くはね上がる。 はせる。馬が速く走る。 のる。馬に乗る。 伝える。馬を走らせて伝える。</v>
      </c>
      <c r="H2948" t="str">
        <v>#繁栄</v>
      </c>
      <c r="I2948">
        <v>50</v>
      </c>
      <c r="J2948">
        <v>100</v>
      </c>
      <c r="K2948">
        <v>30</v>
      </c>
      <c r="L2948">
        <v>0</v>
      </c>
      <c r="M2948">
        <f>VLOOKUP(A2948,[1]kanji_data!$A:$N,14,FALSE)</f>
        <v>0</v>
      </c>
    </row>
    <row r="2949">
      <c r="A2949" t="str">
        <v>巌</v>
      </c>
      <c r="B2949">
        <v>20</v>
      </c>
      <c r="C2949" t="b">
        <v>0</v>
      </c>
      <c r="D2949" t="str">
        <v>ガン ゲン</v>
      </c>
      <c r="E2949" t="str">
        <v>いわ いわお がけ けわ（しい）</v>
      </c>
      <c r="F2949" t="str">
        <v>お みち みね</v>
      </c>
      <c r="G2949" t="str">
        <v>いわ。いわお。ごつごつした大きな石。 けわしい。けわしい所。切り立った所。 がけ。ごつごつしたがけ。</v>
      </c>
      <c r="H2949" t="str">
        <v>#自然</v>
      </c>
      <c r="I2949">
        <v>90</v>
      </c>
      <c r="J2949">
        <v>90</v>
      </c>
      <c r="K2949">
        <v>35</v>
      </c>
      <c r="L2949">
        <v>0</v>
      </c>
      <c r="M2949">
        <f>VLOOKUP(A2949,[1]kanji_data!$A:$N,14,FALSE)</f>
        <v>0</v>
      </c>
    </row>
    <row r="2950">
      <c r="A2950" t="str">
        <v>馨</v>
      </c>
      <c r="B2950">
        <v>20</v>
      </c>
      <c r="C2950" t="b">
        <v>0</v>
      </c>
      <c r="D2950" t="str">
        <v>キョウ ケイ</v>
      </c>
      <c r="E2950" t="str">
        <v>か かお（り） かお（る） かぐわ（しい） かんば（しい）</v>
      </c>
      <c r="F2950" t="str">
        <v>かおり かおる きよ よし</v>
      </c>
      <c r="G2950" t="str">
        <v>かおる。かぐわしい。かんばしい。よいにおいがする。 かおり。か。よいにおい。</v>
      </c>
      <c r="H2950" t="str">
        <v>#花・彩</v>
      </c>
      <c r="I2950">
        <v>100</v>
      </c>
      <c r="J2950">
        <v>60</v>
      </c>
      <c r="K2950">
        <v>70</v>
      </c>
      <c r="L2950">
        <v>0</v>
      </c>
      <c r="M2950">
        <f>VLOOKUP(A2950,[1]kanji_data!$A:$N,14,FALSE)</f>
        <v>0</v>
      </c>
    </row>
    <row r="2951">
      <c r="A2951" t="str">
        <v>我</v>
      </c>
      <c r="B2951">
        <v>7</v>
      </c>
      <c r="C2951" t="b">
        <v>1</v>
      </c>
      <c r="D2951" t="str">
        <v>ガ</v>
      </c>
      <c r="E2951" t="str">
        <v>われ わ</v>
      </c>
      <c r="F2951">
        <v>0</v>
      </c>
      <c r="G2951" t="str">
        <v>われ。わが。私。自分。自分の。 自分の考えにこだわり、執拗に押し通す。片意地。ひとりよがり。</v>
      </c>
      <c r="I2951">
        <v>0</v>
      </c>
      <c r="J2951">
        <v>50</v>
      </c>
      <c r="K2951">
        <v>55</v>
      </c>
      <c r="L2951">
        <v>0</v>
      </c>
      <c r="M2951">
        <f>VLOOKUP(A2951,[1]kanji_data!$A:$N,14,FALSE)</f>
        <v>0</v>
      </c>
    </row>
    <row r="2952">
      <c r="A2952" t="str">
        <v>耀</v>
      </c>
      <c r="B2952">
        <v>20</v>
      </c>
      <c r="C2952" t="b">
        <v>0</v>
      </c>
      <c r="D2952" t="str">
        <v>ヨウ</v>
      </c>
      <c r="E2952" t="str">
        <v>かがや（く）</v>
      </c>
      <c r="F2952" t="str">
        <v>あき あきら てる よ</v>
      </c>
      <c r="G2952" t="str">
        <v>かがやく。かがやかす。明らかにする。 かがやき。ひかり。</v>
      </c>
      <c r="H2952" t="str">
        <v>#天空 #知性</v>
      </c>
      <c r="I2952">
        <v>100</v>
      </c>
      <c r="J2952">
        <v>65</v>
      </c>
      <c r="K2952">
        <v>60</v>
      </c>
      <c r="L2952">
        <v>0</v>
      </c>
      <c r="M2952">
        <f>VLOOKUP(A2952,[1]kanji_data!$A:$N,14,FALSE)</f>
        <v>0</v>
      </c>
    </row>
    <row r="2953">
      <c r="A2953" t="str">
        <v>嚴</v>
      </c>
      <c r="B2953">
        <v>20</v>
      </c>
      <c r="C2953" t="b">
        <v>0</v>
      </c>
      <c r="D2953" t="str">
        <v>ゲン ゴン</v>
      </c>
      <c r="E2953" t="str">
        <v>きび（しい） おごそ（か） いか（つい） いかめ（しい）</v>
      </c>
      <c r="F2953">
        <v>0</v>
      </c>
      <c r="G2953" t="str">
        <v>きびしい。きつい。程度がはげしい。一瞬の気のゆるみも許されない。 おごそか。いかめしい。いかつい。 父。父親。母のことは「慈」という。</v>
      </c>
      <c r="H2953" t="str">
        <v>#品格 #慈愛</v>
      </c>
      <c r="I2953">
        <v>10</v>
      </c>
      <c r="J2953">
        <v>80</v>
      </c>
      <c r="K2953">
        <v>45</v>
      </c>
      <c r="L2953">
        <v>0</v>
      </c>
      <c r="M2953">
        <f>VLOOKUP(A2953,[1]kanji_data!$A:$N,14,FALSE)</f>
        <v>0</v>
      </c>
    </row>
    <row r="2954">
      <c r="A2954" t="str">
        <v>殴</v>
      </c>
      <c r="B2954">
        <v>8</v>
      </c>
      <c r="C2954" t="b">
        <v>1</v>
      </c>
      <c r="D2954" t="str">
        <v>オウ</v>
      </c>
      <c r="E2954" t="str">
        <v>なぐ（る） う（つ） たた（く）</v>
      </c>
      <c r="F2954">
        <v>0</v>
      </c>
      <c r="G2954" t="str">
        <v>なぐる。うつ。たたく。むちや杖などでうつ。なぐりうつ。</v>
      </c>
      <c r="I2954">
        <v>0</v>
      </c>
      <c r="J2954">
        <v>50</v>
      </c>
      <c r="K2954">
        <v>50</v>
      </c>
      <c r="L2954">
        <v>1</v>
      </c>
    </row>
    <row r="2955">
      <c r="A2955" t="str">
        <v>騷</v>
      </c>
      <c r="B2955">
        <v>20</v>
      </c>
      <c r="C2955" t="b">
        <v>0</v>
      </c>
      <c r="D2955" t="str">
        <v>ソウ</v>
      </c>
      <c r="E2955" t="str">
        <v>うれ（い） さわ（ぐ） ざわ（つく） ぞめ（く）</v>
      </c>
      <c r="F2955">
        <v>0</v>
      </c>
      <c r="G2955" t="str">
        <v>さわぐ。さわがしい。さわがす。 うれい。うれえる。思い悩む。心配する。 中国の韻文における文体のひとつ。 ぞめく。浮かれてさわぐ。</v>
      </c>
      <c r="H2955" t="str">
        <v>#心・志</v>
      </c>
      <c r="I2955">
        <v>10</v>
      </c>
      <c r="J2955">
        <v>50</v>
      </c>
      <c r="K2955">
        <v>50</v>
      </c>
      <c r="L2955">
        <v>1</v>
      </c>
    </row>
    <row r="2956">
      <c r="A2956" t="str">
        <v>躍</v>
      </c>
      <c r="B2956">
        <v>21</v>
      </c>
      <c r="C2956" t="b">
        <v>1</v>
      </c>
      <c r="D2956" t="str">
        <v>ヤク テキ</v>
      </c>
      <c r="E2956" t="str">
        <v>おど（る）</v>
      </c>
      <c r="F2956" t="str">
        <v>おどる すすむ</v>
      </c>
      <c r="G2956" t="str">
        <v>おどる。はねあがる。飛び上がる。例：飛躍 跳躍 胸がわくわくする。 はやい。速く走る。とびあがって走る。</v>
      </c>
      <c r="H2956" t="str">
        <v>#繁栄</v>
      </c>
      <c r="I2956">
        <v>100</v>
      </c>
      <c r="J2956">
        <v>100</v>
      </c>
      <c r="K2956">
        <v>30</v>
      </c>
      <c r="L2956">
        <v>0</v>
      </c>
      <c r="M2956">
        <f>VLOOKUP(A2956,[1]kanji_data!$A:$N,14,FALSE)</f>
        <v>0</v>
      </c>
    </row>
    <row r="2957">
      <c r="A2957" t="str">
        <v>露</v>
      </c>
      <c r="B2957">
        <v>21</v>
      </c>
      <c r="C2957" t="b">
        <v>1</v>
      </c>
      <c r="D2957" t="str">
        <v>ロ ロウ</v>
      </c>
      <c r="E2957" t="str">
        <v>つゆ あらわ あらわ（す） あらわ（れる）</v>
      </c>
      <c r="F2957" t="str">
        <v>あきら</v>
      </c>
      <c r="G2957" t="str">
        <v>つゆ。しずく。水滴。 あらわす。あらわれる。むきだしにする。 あらわす。あらわれる。表に出す。 つゆ。わずか。少し。少しも。 国名「露西亜（ロシア）」の略。</v>
      </c>
      <c r="H2957" t="str">
        <v>#海・水 #自然</v>
      </c>
      <c r="I2957">
        <v>20</v>
      </c>
      <c r="J2957">
        <v>55</v>
      </c>
      <c r="K2957">
        <v>55</v>
      </c>
      <c r="L2957">
        <v>0</v>
      </c>
      <c r="M2957">
        <f>VLOOKUP(A2957,[1]kanji_data!$A:$N,14,FALSE)</f>
        <v>0</v>
      </c>
    </row>
    <row r="2958">
      <c r="A2958" t="str">
        <v>顧</v>
      </c>
      <c r="B2958">
        <v>21</v>
      </c>
      <c r="C2958" t="b">
        <v>1</v>
      </c>
      <c r="D2958" t="str">
        <v>コ</v>
      </c>
      <c r="E2958" t="str">
        <v>かえり（みる）</v>
      </c>
      <c r="F2958">
        <v>0</v>
      </c>
      <c r="G2958" t="str">
        <v>かえりみる。ふりかえって見まわす。 かえりみる。見まわす。気を配る。 かえりみる。過去をふりかえる。反省する。 かえりみる。目をかける。かわいがる。 かえって。反対に。</v>
      </c>
      <c r="H2958" t="str">
        <v>#心・志 #慈愛</v>
      </c>
      <c r="I2958">
        <v>10</v>
      </c>
      <c r="J2958">
        <v>50</v>
      </c>
      <c r="K2958">
        <v>50</v>
      </c>
      <c r="L2958">
        <v>1</v>
      </c>
    </row>
    <row r="2959">
      <c r="A2959" t="str">
        <v>卑</v>
      </c>
      <c r="B2959">
        <v>9</v>
      </c>
      <c r="C2959" t="b">
        <v>1</v>
      </c>
      <c r="D2959" t="str">
        <v>ヒ</v>
      </c>
      <c r="E2959" t="str">
        <v>いや（しい） いや（しむ） いや（しめる） ひく（い）</v>
      </c>
      <c r="F2959">
        <v>0</v>
      </c>
      <c r="G2959" t="str">
        <v>いやしい。ひくい。身分が低い。また、行いが下品。 いやしむ。いやしめる。さげすむ。見下げる。 自分をへりくだっていうことば。 「しむ」と読み、「～させる」の意。</v>
      </c>
      <c r="I2959">
        <v>0</v>
      </c>
      <c r="J2959">
        <v>50</v>
      </c>
      <c r="K2959">
        <v>55</v>
      </c>
      <c r="L2959">
        <v>1</v>
      </c>
    </row>
    <row r="2960">
      <c r="A2960" t="str">
        <v>虐</v>
      </c>
      <c r="B2960">
        <v>9</v>
      </c>
      <c r="C2960" t="b">
        <v>1</v>
      </c>
      <c r="D2960" t="str">
        <v>ギャク</v>
      </c>
      <c r="E2960" t="str">
        <v>しいた（げる） むご（い）</v>
      </c>
      <c r="F2960">
        <v>0</v>
      </c>
      <c r="G2960" t="str">
        <v>しいたげる。いじめる。いためる。むごく扱う。そこなう。 むごい。手荒い。厳しい。 災い。</v>
      </c>
      <c r="I2960">
        <v>0</v>
      </c>
      <c r="J2960">
        <v>50</v>
      </c>
      <c r="K2960">
        <v>50</v>
      </c>
      <c r="L2960">
        <v>1</v>
      </c>
    </row>
    <row r="2961">
      <c r="A2961" t="str">
        <v>鶴</v>
      </c>
      <c r="B2961">
        <v>21</v>
      </c>
      <c r="C2961" t="b">
        <v>1</v>
      </c>
      <c r="D2961" t="str">
        <v>カク</v>
      </c>
      <c r="E2961" t="str">
        <v>つる</v>
      </c>
      <c r="F2961" t="str">
        <v>ず たず つ づ づる</v>
      </c>
      <c r="G2961" t="str">
        <v>つる。ツル科の鳥。色が白く、首や足が長い鳥。長寿のたとえとされる。 白い色のたとえ。つるが白い鳥であることから。</v>
      </c>
      <c r="H2961" t="str">
        <v>#健康</v>
      </c>
      <c r="I2961">
        <v>95</v>
      </c>
      <c r="J2961">
        <v>50</v>
      </c>
      <c r="K2961">
        <v>55</v>
      </c>
      <c r="L2961">
        <v>0</v>
      </c>
      <c r="M2961">
        <f>VLOOKUP(A2961,[1]kanji_data!$A:$N,14,FALSE)</f>
        <v>0</v>
      </c>
    </row>
    <row r="2962">
      <c r="A2962" t="str">
        <v>鰯</v>
      </c>
      <c r="B2962">
        <v>20</v>
      </c>
      <c r="C2962" t="b">
        <v>0</v>
      </c>
      <c r="D2962">
        <v>0</v>
      </c>
      <c r="E2962" t="str">
        <v>いわし</v>
      </c>
      <c r="F2962">
        <v>0</v>
      </c>
      <c r="G2962" t="str">
        <v>いわし。ニシン科の海水魚。＝鰮</v>
      </c>
      <c r="H2962" t="str">
        <v>#海・水</v>
      </c>
      <c r="I2962">
        <v>10</v>
      </c>
      <c r="J2962">
        <v>50</v>
      </c>
      <c r="K2962">
        <v>50</v>
      </c>
      <c r="L2962">
        <v>1</v>
      </c>
    </row>
    <row r="2963">
      <c r="A2963" t="str">
        <v>卑</v>
      </c>
      <c r="B2963">
        <v>9</v>
      </c>
      <c r="C2963" t="b">
        <v>1</v>
      </c>
      <c r="D2963" t="str">
        <v>ヒ</v>
      </c>
      <c r="E2963" t="str">
        <v>いや（しい） いや（しむ） いや（しめる） ひく（い）</v>
      </c>
      <c r="F2963">
        <v>0</v>
      </c>
      <c r="G2963" t="str">
        <v>いやしい。ひくい。身分が低い。また、行いが下品。 いやしむ。いやしめる。さげすむ。見下げる。 自分をへりくだっていうことば。 「しむ」と読み、「～させる」の意。</v>
      </c>
      <c r="I2963">
        <v>0</v>
      </c>
      <c r="J2963">
        <v>60</v>
      </c>
      <c r="K2963">
        <v>55</v>
      </c>
      <c r="L2963">
        <v>1</v>
      </c>
    </row>
    <row r="2964">
      <c r="A2964" t="str">
        <v>疫</v>
      </c>
      <c r="B2964">
        <v>9</v>
      </c>
      <c r="C2964" t="b">
        <v>1</v>
      </c>
      <c r="D2964" t="str">
        <v>エキ ヤク</v>
      </c>
      <c r="E2964">
        <v>0</v>
      </c>
      <c r="F2964">
        <v>0</v>
      </c>
      <c r="G2964" t="str">
        <v>えやみ。悪性の流行病。感染症。</v>
      </c>
      <c r="I2964">
        <v>0</v>
      </c>
      <c r="J2964">
        <v>50</v>
      </c>
      <c r="K2964">
        <v>50</v>
      </c>
      <c r="L2964">
        <v>1</v>
      </c>
    </row>
    <row r="2965">
      <c r="A2965" t="str">
        <v>臭</v>
      </c>
      <c r="B2965">
        <v>9</v>
      </c>
      <c r="C2965" t="b">
        <v>1</v>
      </c>
      <c r="D2965" t="str">
        <v>シュウ キュウ</v>
      </c>
      <c r="E2965" t="str">
        <v>くさ（い） にお（う）</v>
      </c>
      <c r="F2965">
        <v>0</v>
      </c>
      <c r="G2965" t="str">
        <v>におい。におう。 くさい。悪臭。 くさる。くさらす。 悪いうわさ。悪評。みにくい。 かぐ。においをかぐ。</v>
      </c>
      <c r="I2965">
        <v>0</v>
      </c>
      <c r="J2965">
        <v>50</v>
      </c>
      <c r="K2965">
        <v>50</v>
      </c>
      <c r="L2965">
        <v>1</v>
      </c>
    </row>
    <row r="2966">
      <c r="A2966" t="str">
        <v>病</v>
      </c>
      <c r="B2966">
        <v>10</v>
      </c>
      <c r="C2966" t="b">
        <v>1</v>
      </c>
      <c r="D2966" t="str">
        <v>ビョウ ヘイ</v>
      </c>
      <c r="E2966" t="str">
        <v>やまい や（む）</v>
      </c>
      <c r="F2966">
        <v>0</v>
      </c>
      <c r="G2966" t="str">
        <v>やむ。わずらう。苦しむ。心配する。病気にかかる。 やまい。わずらい。苦しみ。心配。病気。悩み。 欠点。短所。</v>
      </c>
      <c r="I2966">
        <v>0</v>
      </c>
      <c r="J2966">
        <v>50</v>
      </c>
      <c r="K2966">
        <v>50</v>
      </c>
      <c r="L2966">
        <v>1</v>
      </c>
    </row>
    <row r="2967">
      <c r="A2967" t="str">
        <v>櫻</v>
      </c>
      <c r="B2967">
        <v>21</v>
      </c>
      <c r="C2967" t="b">
        <v>0</v>
      </c>
      <c r="D2967" t="str">
        <v>オウ</v>
      </c>
      <c r="E2967" t="str">
        <v>さくら</v>
      </c>
      <c r="F2967" t="str">
        <v>お</v>
      </c>
      <c r="G2967" t="str">
        <v>しなみざくら。バラ科の落葉小高木。また、ゆすらうめ（バラ科の落葉低木）を指すこともある。 さくら。バラ科の落葉高木。</v>
      </c>
      <c r="H2967" t="str">
        <v>#自然</v>
      </c>
      <c r="I2967">
        <v>20</v>
      </c>
      <c r="J2967">
        <v>25</v>
      </c>
      <c r="K2967">
        <v>85</v>
      </c>
      <c r="L2967">
        <v>0</v>
      </c>
      <c r="M2967">
        <f>VLOOKUP(A2967,[1]kanji_data!$A:$N,14,FALSE)</f>
        <v>0</v>
      </c>
    </row>
    <row r="2968">
      <c r="A2968" t="str">
        <v>殺</v>
      </c>
      <c r="B2968">
        <v>10</v>
      </c>
      <c r="C2968" t="b">
        <v>1</v>
      </c>
      <c r="D2968" t="str">
        <v>サツ セツ サイ</v>
      </c>
      <c r="E2968" t="str">
        <v>ころ（す） あや（める） けず（る） そ（ぐ） そ（げる）</v>
      </c>
      <c r="F2968">
        <v>0</v>
      </c>
      <c r="G2968" t="str">
        <v>ころす。あやめる。命をたつ。 なくす。けす。ほろぼす。 動詞のあとにそえて、意味を強める助字。 そぐ。けずる。そぎとる。減らす。</v>
      </c>
      <c r="I2968">
        <v>0</v>
      </c>
      <c r="J2968">
        <v>50</v>
      </c>
      <c r="K2968">
        <v>50</v>
      </c>
      <c r="L2968">
        <v>1</v>
      </c>
    </row>
    <row r="2969">
      <c r="A2969" t="str">
        <v>盗</v>
      </c>
      <c r="B2969">
        <v>11</v>
      </c>
      <c r="C2969" t="b">
        <v>1</v>
      </c>
      <c r="D2969" t="str">
        <v>トウ</v>
      </c>
      <c r="E2969" t="str">
        <v>ぬす（む） と（る）</v>
      </c>
      <c r="F2969">
        <v>0</v>
      </c>
      <c r="G2969" t="str">
        <v>ぬすむ。とる。うばう。人の物を取る。人の物を抜き取る。ぬすみ。 ぬすびと。どろぼう。つまらぬ人。 ぬすむ。ひそかに物事をする。かくして物事をする。ごまかす。</v>
      </c>
      <c r="I2969">
        <v>0</v>
      </c>
      <c r="J2969">
        <v>50</v>
      </c>
      <c r="K2969">
        <v>50</v>
      </c>
      <c r="L2969">
        <v>1</v>
      </c>
    </row>
    <row r="2970">
      <c r="A2970" t="str">
        <v>欺</v>
      </c>
      <c r="B2970">
        <v>12</v>
      </c>
      <c r="C2970" t="b">
        <v>1</v>
      </c>
      <c r="D2970" t="str">
        <v>ギ キ</v>
      </c>
      <c r="E2970" t="str">
        <v>あざむ（く）</v>
      </c>
      <c r="F2970">
        <v>0</v>
      </c>
      <c r="G2970" t="str">
        <v>あざむく。だます。たぶらかす。 あなどる。ばかにする。みくびる。</v>
      </c>
      <c r="I2970">
        <v>0</v>
      </c>
      <c r="J2970">
        <v>50</v>
      </c>
      <c r="K2970">
        <v>50</v>
      </c>
      <c r="L2970">
        <v>1</v>
      </c>
    </row>
    <row r="2971">
      <c r="A2971" t="str">
        <v>葬</v>
      </c>
      <c r="B2971">
        <v>12</v>
      </c>
      <c r="C2971" t="b">
        <v>1</v>
      </c>
      <c r="D2971" t="str">
        <v>ソウ</v>
      </c>
      <c r="E2971" t="str">
        <v>ほうむ（る）</v>
      </c>
      <c r="F2971">
        <v>0</v>
      </c>
      <c r="G2971" t="str">
        <v>ほうむる。死体を墓におさめること。また、その儀式。</v>
      </c>
      <c r="I2971">
        <v>0</v>
      </c>
      <c r="J2971">
        <v>50</v>
      </c>
      <c r="K2971">
        <v>50</v>
      </c>
      <c r="L2971">
        <v>1</v>
      </c>
    </row>
    <row r="2972">
      <c r="A2972" t="str">
        <v>棺</v>
      </c>
      <c r="B2972">
        <v>12</v>
      </c>
      <c r="C2972" t="b">
        <v>1</v>
      </c>
      <c r="D2972" t="str">
        <v>カン</v>
      </c>
      <c r="E2972" t="str">
        <v>ひつぎ</v>
      </c>
      <c r="F2972">
        <v>0</v>
      </c>
      <c r="G2972" t="str">
        <v>ひつぎ。かんおけ。死者を納める箱。</v>
      </c>
      <c r="I2972">
        <v>0</v>
      </c>
      <c r="J2972">
        <v>50</v>
      </c>
      <c r="K2972">
        <v>50</v>
      </c>
      <c r="L2972">
        <v>1</v>
      </c>
    </row>
    <row r="2973">
      <c r="A2973" t="str">
        <v>籠</v>
      </c>
      <c r="B2973">
        <v>22</v>
      </c>
      <c r="C2973" t="b">
        <v>1</v>
      </c>
      <c r="D2973" t="str">
        <v>ロウ ル</v>
      </c>
      <c r="E2973" t="str">
        <v>かご こ（もる） こ（める）</v>
      </c>
      <c r="F2973">
        <v>0</v>
      </c>
      <c r="G2973" t="str">
        <v>かご。竹で編んだかご。 もっこ。土を持って運ぶ道具。 えびら。矢を入れて背負う道具・武具。 こめる。つつむ。つつみこむ。 こもる。とじこもる。かくれる。たてこもる。 こもり。寺社に泊り込み祈願すること。</v>
      </c>
      <c r="H2973" t="str">
        <v>#勇気 #自然</v>
      </c>
      <c r="I2973">
        <v>10</v>
      </c>
      <c r="J2973">
        <v>50</v>
      </c>
      <c r="K2973">
        <v>50</v>
      </c>
      <c r="L2973">
        <v>1</v>
      </c>
    </row>
    <row r="2974">
      <c r="A2974" t="str">
        <v>詐</v>
      </c>
      <c r="B2974">
        <v>12</v>
      </c>
      <c r="C2974" t="b">
        <v>1</v>
      </c>
      <c r="D2974" t="str">
        <v>サ</v>
      </c>
      <c r="E2974" t="str">
        <v>あざむ（く） いつわ（り） いつわ（る）</v>
      </c>
      <c r="F2974">
        <v>0</v>
      </c>
      <c r="G2974" t="str">
        <v>いつわる。あざむく。だます。 いつわり。うそ。</v>
      </c>
      <c r="I2974">
        <v>0</v>
      </c>
      <c r="J2974">
        <v>50</v>
      </c>
      <c r="K2974">
        <v>50</v>
      </c>
      <c r="L2974">
        <v>1</v>
      </c>
    </row>
    <row r="2975">
      <c r="A2975" t="str">
        <v>讃</v>
      </c>
      <c r="B2975">
        <v>22</v>
      </c>
      <c r="C2975" t="b">
        <v>0</v>
      </c>
      <c r="D2975" t="str">
        <v>サン</v>
      </c>
      <c r="E2975" t="str">
        <v>たす（ける） たた（える） ほ（める）</v>
      </c>
      <c r="F2975" t="str">
        <v>あき さ</v>
      </c>
      <c r="G2975" t="str">
        <v>たたえる。ほめる。 明らかにする。 助ける。補佐する。 文体のひとつ。ほめたたえる内容のもの。 仏をほめたたえる歌のことば。</v>
      </c>
      <c r="H2975" t="str">
        <v>#知性</v>
      </c>
      <c r="I2975">
        <v>15</v>
      </c>
      <c r="J2975">
        <v>55</v>
      </c>
      <c r="K2975">
        <v>65</v>
      </c>
      <c r="L2975">
        <v>0</v>
      </c>
      <c r="M2975">
        <f>VLOOKUP(A2975,[1]kanji_data!$A:$N,14,FALSE)</f>
        <v>0</v>
      </c>
    </row>
    <row r="2976">
      <c r="A2976" t="str">
        <v>灘</v>
      </c>
      <c r="B2976">
        <v>22</v>
      </c>
      <c r="C2976" t="b">
        <v>0</v>
      </c>
      <c r="D2976" t="str">
        <v>タン ダン</v>
      </c>
      <c r="E2976" t="str">
        <v>なだ はやせ</v>
      </c>
      <c r="F2976">
        <v>0</v>
      </c>
      <c r="G2976" t="str">
        <v>せ。はやせ。水が浅く流れが急な危険な航路。 なだ。波が荒く、航海の難所となる海。</v>
      </c>
      <c r="H2976" t="str">
        <v>#海・水</v>
      </c>
      <c r="I2976">
        <v>10</v>
      </c>
      <c r="J2976">
        <v>90</v>
      </c>
      <c r="K2976">
        <v>35</v>
      </c>
      <c r="L2976">
        <v>0</v>
      </c>
      <c r="M2976">
        <f>VLOOKUP(A2976,[1]kanji_data!$A:$N,14,FALSE)</f>
        <v>0</v>
      </c>
    </row>
    <row r="2977">
      <c r="A2977" t="str">
        <v>驍</v>
      </c>
      <c r="B2977">
        <v>22</v>
      </c>
      <c r="C2977" t="b">
        <v>0</v>
      </c>
      <c r="D2977" t="str">
        <v>キョウ ギョウ</v>
      </c>
      <c r="E2977" t="str">
        <v>たけ（し） つよ（い）</v>
      </c>
      <c r="F2977" t="str">
        <v>いさ いさむ すぐる たかし たけ たけし</v>
      </c>
      <c r="G2977" t="str">
        <v>すぐれた馬。良馬。 つよい。たけし。たけだけしい。勇ましい。</v>
      </c>
      <c r="H2977" t="str">
        <v>#勇気</v>
      </c>
      <c r="I2977">
        <v>95</v>
      </c>
      <c r="J2977">
        <v>100</v>
      </c>
      <c r="K2977">
        <v>30</v>
      </c>
      <c r="L2977">
        <v>0</v>
      </c>
      <c r="M2977">
        <f>VLOOKUP(A2977,[1]kanji_data!$A:$N,14,FALSE)</f>
        <v>0</v>
      </c>
    </row>
    <row r="2978">
      <c r="A2978" t="str">
        <v>滅</v>
      </c>
      <c r="B2978">
        <v>13</v>
      </c>
      <c r="C2978" t="b">
        <v>1</v>
      </c>
      <c r="D2978" t="str">
        <v>メツ ベツ</v>
      </c>
      <c r="E2978" t="str">
        <v>ほろ（びる） ほろ（ぼす）</v>
      </c>
      <c r="F2978">
        <v>0</v>
      </c>
      <c r="G2978" t="str">
        <v>ほろびる。ほろぼす。なくなる。失う。 消える。火や明かりが消える。光がなくなる。 高僧や仏が死ぬ。</v>
      </c>
      <c r="I2978">
        <v>0</v>
      </c>
      <c r="J2978">
        <v>50</v>
      </c>
      <c r="K2978">
        <v>50</v>
      </c>
      <c r="L2978">
        <v>1</v>
      </c>
    </row>
    <row r="2979">
      <c r="A2979" t="str">
        <v>聽</v>
      </c>
      <c r="B2979">
        <v>22</v>
      </c>
      <c r="C2979" t="b">
        <v>0</v>
      </c>
      <c r="D2979" t="str">
        <v>チョウ テイ</v>
      </c>
      <c r="E2979" t="str">
        <v>き（く） ゆる（す）</v>
      </c>
      <c r="F2979">
        <v>0</v>
      </c>
      <c r="G2979" t="str">
        <v>聞く。聞き入れる。 治める。 まかせる。従う。 聞く。詳しく聞く。注意して聞く。 しのび。まわしもの。 ゆるす。 役所。</v>
      </c>
      <c r="H2979" t="str">
        <v>#知性</v>
      </c>
      <c r="I2979">
        <v>10</v>
      </c>
      <c r="J2979">
        <v>65</v>
      </c>
      <c r="K2979">
        <v>55</v>
      </c>
      <c r="L2979">
        <v>0</v>
      </c>
      <c r="M2979">
        <f>VLOOKUP(A2979,[1]kanji_data!$A:$N,14,FALSE)</f>
        <v>0</v>
      </c>
    </row>
    <row r="2980">
      <c r="A2980" t="str">
        <v>禍</v>
      </c>
      <c r="B2980">
        <v>13</v>
      </c>
      <c r="C2980" t="b">
        <v>1</v>
      </c>
      <c r="D2980" t="str">
        <v>カ</v>
      </c>
      <c r="E2980" t="str">
        <v>まが わざわ（い）</v>
      </c>
      <c r="F2980">
        <v>0</v>
      </c>
      <c r="G2980" t="str">
        <v>わざわい。まが。不幸。神のとがめ。災難。 わざわいする。わざわいを与える。不幸を与える。</v>
      </c>
      <c r="I2980">
        <v>0</v>
      </c>
      <c r="J2980">
        <v>50</v>
      </c>
      <c r="K2980">
        <v>50</v>
      </c>
      <c r="L2980">
        <v>1</v>
      </c>
    </row>
    <row r="2981">
      <c r="A2981" t="str">
        <v>穰</v>
      </c>
      <c r="B2981">
        <v>22</v>
      </c>
      <c r="C2981" t="b">
        <v>0</v>
      </c>
      <c r="D2981" t="str">
        <v>ジョウ</v>
      </c>
      <c r="E2981" t="str">
        <v>みの（る） ゆた（か）</v>
      </c>
      <c r="F2981">
        <v>0</v>
      </c>
      <c r="G2981" t="str">
        <v>みのる。ゆたか。穀物が豊かに実る。 きびがら。黍（きび）の茎。 盛ん。多い。繁栄する。 じょう。数の名。１０の２８乗。</v>
      </c>
      <c r="H2981" t="str">
        <v>#繁栄</v>
      </c>
      <c r="I2981">
        <v>10</v>
      </c>
      <c r="J2981">
        <v>50</v>
      </c>
      <c r="K2981">
        <v>55</v>
      </c>
      <c r="L2981">
        <v>0</v>
      </c>
      <c r="M2981">
        <f>VLOOKUP(A2981,[1]kanji_data!$A:$N,14,FALSE)</f>
        <v>0</v>
      </c>
    </row>
    <row r="2982">
      <c r="A2982" t="str">
        <v>腐</v>
      </c>
      <c r="B2982">
        <v>14</v>
      </c>
      <c r="C2982" t="b">
        <v>1</v>
      </c>
      <c r="D2982" t="str">
        <v>フ</v>
      </c>
      <c r="E2982" t="str">
        <v>くさ（らす） くさ（る） くさ（れる） くさ（す）</v>
      </c>
      <c r="F2982">
        <v>0</v>
      </c>
      <c r="G2982" t="str">
        <v>くさる。くちる。くさらす。いたむ。肉などがくずれただれる。 古い。古くて役に立たない。 くさらす。くさらせる。ただらせる。 いためる。心をいためる。心をなやます。 男子を去勢する刑罰。</v>
      </c>
      <c r="I2982">
        <v>0</v>
      </c>
      <c r="J2982">
        <v>50</v>
      </c>
      <c r="K2982">
        <v>50</v>
      </c>
      <c r="L2982">
        <v>1</v>
      </c>
    </row>
    <row r="2983">
      <c r="A2983" t="str">
        <v>獄</v>
      </c>
      <c r="B2983">
        <v>14</v>
      </c>
      <c r="C2983" t="b">
        <v>1</v>
      </c>
      <c r="D2983" t="str">
        <v>ゴク</v>
      </c>
      <c r="E2983" t="str">
        <v>うった（える） ひとや</v>
      </c>
      <c r="F2983">
        <v>0</v>
      </c>
      <c r="G2983" t="str">
        <v>うったえ。うったえる。裁判。 ひとや。ろうや。罪人を閉じ込めておく場所。例：獄舎</v>
      </c>
      <c r="I2983">
        <v>0</v>
      </c>
      <c r="J2983">
        <v>50</v>
      </c>
      <c r="K2983">
        <v>50</v>
      </c>
      <c r="L2983">
        <v>1</v>
      </c>
    </row>
    <row r="2984">
      <c r="A2984" t="str">
        <v>響</v>
      </c>
      <c r="B2984">
        <v>22</v>
      </c>
      <c r="C2984" t="b">
        <v>0</v>
      </c>
      <c r="D2984" t="str">
        <v>キョウ</v>
      </c>
      <c r="E2984" t="str">
        <v>ひび（く） どよ（めく）</v>
      </c>
      <c r="F2984">
        <v>0</v>
      </c>
      <c r="G2984" t="str">
        <v>ひびき。震えひびく音。広がり伝わる音。 ひびく。どよめく。音がひびいて伝わる。</v>
      </c>
      <c r="H2984" t="str">
        <v>#調和</v>
      </c>
      <c r="I2984">
        <v>40</v>
      </c>
      <c r="J2984">
        <v>55</v>
      </c>
      <c r="K2984">
        <v>55</v>
      </c>
      <c r="L2984">
        <v>1</v>
      </c>
    </row>
    <row r="2985">
      <c r="A2985" t="str">
        <v>奪</v>
      </c>
      <c r="B2985">
        <v>14</v>
      </c>
      <c r="C2985" t="b">
        <v>1</v>
      </c>
      <c r="D2985" t="str">
        <v>ダツ タツ</v>
      </c>
      <c r="E2985" t="str">
        <v>うば（う）</v>
      </c>
      <c r="F2985">
        <v>0</v>
      </c>
      <c r="G2985" t="str">
        <v>うばう。力ずくで取り上げる。 うしなう。また、うしなわせる。</v>
      </c>
      <c r="I2985">
        <v>0</v>
      </c>
      <c r="J2985">
        <v>50</v>
      </c>
      <c r="K2985">
        <v>50</v>
      </c>
      <c r="L2985">
        <v>1</v>
      </c>
    </row>
    <row r="2986">
      <c r="A2986" t="str">
        <v>鑑</v>
      </c>
      <c r="B2986">
        <v>23</v>
      </c>
      <c r="C2986" t="b">
        <v>1</v>
      </c>
      <c r="D2986" t="str">
        <v>カン</v>
      </c>
      <c r="E2986" t="str">
        <v>かんが（みる） かがみ</v>
      </c>
      <c r="F2986" t="str">
        <v>あき あきら かね のり み</v>
      </c>
      <c r="G2986" t="str">
        <v>かがみ。光の反射を利用して人の顔や姿をうつす道具。 かがみ。手本。模範。 かんがみる。手本と照らし合わせてよく考える。見分ける。 水を入れる大きな器。大きな盆。</v>
      </c>
      <c r="H2986" t="str">
        <v>#品格 #知性</v>
      </c>
      <c r="I2986">
        <v>100</v>
      </c>
      <c r="J2986">
        <v>65</v>
      </c>
      <c r="K2986">
        <v>65</v>
      </c>
      <c r="L2986">
        <v>0</v>
      </c>
      <c r="M2986">
        <f>VLOOKUP(A2986,[1]kanji_data!$A:$N,14,FALSE)</f>
        <v>0</v>
      </c>
    </row>
    <row r="2987">
      <c r="A2987" t="str">
        <v>鷲</v>
      </c>
      <c r="B2987">
        <v>23</v>
      </c>
      <c r="C2987" t="b">
        <v>0</v>
      </c>
      <c r="D2987" t="str">
        <v>ジュ シュウ</v>
      </c>
      <c r="E2987" t="str">
        <v>わし</v>
      </c>
      <c r="F2987">
        <v>0</v>
      </c>
      <c r="G2987" t="str">
        <v>わし。タカ科の鳥。</v>
      </c>
      <c r="H2987" t="str">
        <v>#勇気 #天空</v>
      </c>
      <c r="I2987">
        <v>40</v>
      </c>
      <c r="J2987">
        <v>85</v>
      </c>
      <c r="K2987">
        <v>30</v>
      </c>
      <c r="L2987">
        <v>0</v>
      </c>
      <c r="M2987">
        <f>VLOOKUP(A2987,[1]kanji_data!$A:$N,14,FALSE)</f>
        <v>0</v>
      </c>
    </row>
    <row r="2988">
      <c r="A2988" t="str">
        <v>寧</v>
      </c>
      <c r="B2988">
        <v>14</v>
      </c>
      <c r="C2988" t="b">
        <v>1</v>
      </c>
      <c r="D2988" t="str">
        <v>ネイ デイ ニョウ</v>
      </c>
      <c r="E2988" t="str">
        <v>いずく（んぞ） なん（ぞ） ねんご（ろ） むし（ろ） やす（い）</v>
      </c>
      <c r="F2988" t="str">
        <v>さだ しず ね やすし</v>
      </c>
      <c r="G2988" t="str">
        <v>やすい。やすらか。やすらかである。落ち着いている。 やすんじる。安心させる。落ち着かせる。また、「帰寧（きねい）」は嫁いだ女性が里帰りして親を安心させること。 ねんごろ。心がこもっている。 「むしろ」と読み、「どちらかといえば～のほうがよい」「いっそ～のほうがよい」と選択の意を表す。 「いずくんぞ」「なんぞ」と読み、「どうして～か」「どうして～であろうか」と反語の意を表す。</v>
      </c>
      <c r="I2988">
        <v>0</v>
      </c>
      <c r="J2988">
        <v>50</v>
      </c>
      <c r="K2988">
        <v>75</v>
      </c>
      <c r="L2988">
        <v>0</v>
      </c>
      <c r="M2988">
        <f>VLOOKUP(A2988,[1]kanji_data!$A:$N,14,FALSE)</f>
        <v>0</v>
      </c>
    </row>
    <row r="2989">
      <c r="A2989" t="str">
        <v>巖</v>
      </c>
      <c r="B2989">
        <v>23</v>
      </c>
      <c r="C2989" t="b">
        <v>0</v>
      </c>
      <c r="D2989" t="str">
        <v>ガン ゲン</v>
      </c>
      <c r="E2989" t="str">
        <v>いわ いわお がけ けわ（しい）</v>
      </c>
      <c r="F2989">
        <v>0</v>
      </c>
      <c r="G2989" t="str">
        <v>いわ。いわお。ごつごつした大きな石。 けわしい。けわしい所。切り立った所。 がけ。ごつごつしたがけ。</v>
      </c>
      <c r="H2989" t="str">
        <v>#自然</v>
      </c>
      <c r="I2989">
        <v>10</v>
      </c>
      <c r="J2989">
        <v>90</v>
      </c>
      <c r="K2989">
        <v>35</v>
      </c>
      <c r="L2989">
        <v>0</v>
      </c>
      <c r="M2989">
        <f>VLOOKUP(A2989,[1]kanji_data!$A:$N,14,FALSE)</f>
        <v>0</v>
      </c>
    </row>
    <row r="2990">
      <c r="A2990" t="str">
        <v>顯</v>
      </c>
      <c r="B2990">
        <v>23</v>
      </c>
      <c r="C2990" t="b">
        <v>0</v>
      </c>
      <c r="D2990" t="str">
        <v>ケン</v>
      </c>
      <c r="E2990" t="str">
        <v>あき（らか） あらわ（す） あらわ（れる）</v>
      </c>
      <c r="F2990">
        <v>0</v>
      </c>
      <c r="G2990" t="str">
        <v>あきらか。はっきりしている。はっきりとわかる。 あらわれる。はっきりする。はっきりと見える。公になる。 あらわす。はっきりとわかるようにする。あきらかにする。公にする。 身分が高い。高貴なもの。 先祖を敬って呼ぶことば。</v>
      </c>
      <c r="H2990" t="str">
        <v>#品格 #知性</v>
      </c>
      <c r="I2990">
        <v>10</v>
      </c>
      <c r="J2990">
        <v>70</v>
      </c>
      <c r="K2990">
        <v>50</v>
      </c>
      <c r="L2990">
        <v>0</v>
      </c>
      <c r="M2990">
        <f>VLOOKUP(A2990,[1]kanji_data!$A:$N,14,FALSE)</f>
        <v>0</v>
      </c>
    </row>
    <row r="2991">
      <c r="A2991" t="str">
        <v>纖</v>
      </c>
      <c r="B2991">
        <v>23</v>
      </c>
      <c r="C2991" t="b">
        <v>0</v>
      </c>
      <c r="D2991" t="str">
        <v>セン チン</v>
      </c>
      <c r="E2991" t="str">
        <v>しな（やか） ちい（さい） ほそ（い）</v>
      </c>
      <c r="F2991">
        <v>0</v>
      </c>
      <c r="G2991" t="str">
        <v>細い糸。糸すじ。細かいすじ。 細い。かぼそい。小さい。こまかい。 わずか。少し。 こまやか。しなやか。たおやか。</v>
      </c>
      <c r="H2991" t="str">
        <v>#慈愛</v>
      </c>
      <c r="I2991">
        <v>10</v>
      </c>
      <c r="J2991">
        <v>50</v>
      </c>
      <c r="K2991">
        <v>50</v>
      </c>
      <c r="L2991">
        <v>1</v>
      </c>
    </row>
    <row r="2992">
      <c r="A2992" t="str">
        <v>驗</v>
      </c>
      <c r="B2992">
        <v>23</v>
      </c>
      <c r="C2992" t="b">
        <v>0</v>
      </c>
      <c r="D2992" t="str">
        <v>ケン ゲン</v>
      </c>
      <c r="E2992" t="str">
        <v>あかし しるし ため（す）</v>
      </c>
      <c r="F2992">
        <v>0</v>
      </c>
      <c r="G2992" t="str">
        <v>あかし。しるし。証拠。 ためす。こころみる。調べる。 げん。縁起。</v>
      </c>
      <c r="H2992" t="str">
        <v>#心・志</v>
      </c>
      <c r="I2992">
        <v>10</v>
      </c>
      <c r="J2992">
        <v>50</v>
      </c>
      <c r="K2992">
        <v>50</v>
      </c>
      <c r="L2992">
        <v>1</v>
      </c>
    </row>
    <row r="2993">
      <c r="A2993" t="str">
        <v>鷹</v>
      </c>
      <c r="B2993">
        <v>24</v>
      </c>
      <c r="C2993" t="b">
        <v>0</v>
      </c>
      <c r="D2993" t="str">
        <v>オウ ヨウ</v>
      </c>
      <c r="E2993" t="str">
        <v>たか</v>
      </c>
      <c r="F2993" t="str">
        <v>まさ</v>
      </c>
      <c r="G2993" t="str">
        <v>たか。タカ科の鳥。猛鳥。</v>
      </c>
      <c r="H2993" t="str">
        <v>#勇気</v>
      </c>
      <c r="I2993">
        <v>100</v>
      </c>
      <c r="J2993">
        <v>70</v>
      </c>
      <c r="K2993">
        <v>50</v>
      </c>
      <c r="L2993">
        <v>0</v>
      </c>
      <c r="M2993">
        <f>VLOOKUP(A2993,[1]kanji_data!$A:$N,14,FALSE)</f>
        <v>0</v>
      </c>
    </row>
    <row r="2994">
      <c r="A2994" t="str">
        <v>蔑</v>
      </c>
      <c r="B2994">
        <v>14</v>
      </c>
      <c r="C2994" t="b">
        <v>1</v>
      </c>
      <c r="D2994" t="str">
        <v>ベツ</v>
      </c>
      <c r="E2994" t="str">
        <v>さげす（む） くら（い） ないがし（ろ） なみ（する）</v>
      </c>
      <c r="F2994">
        <v>0</v>
      </c>
      <c r="G2994" t="str">
        <v>さげすむ。あなどる。ないがしろにする。なみする。 暗い。よく見えない。視力がとぼしい。 細かい。小さい。詳しい。 ない。なし。</v>
      </c>
      <c r="I2994">
        <v>0</v>
      </c>
      <c r="J2994">
        <v>50</v>
      </c>
      <c r="K2994">
        <v>50</v>
      </c>
      <c r="L2994">
        <v>1</v>
      </c>
    </row>
    <row r="2995">
      <c r="A2995" t="str">
        <v>麟</v>
      </c>
      <c r="B2995">
        <v>24</v>
      </c>
      <c r="C2995" t="b">
        <v>0</v>
      </c>
      <c r="D2995" t="str">
        <v>リン</v>
      </c>
      <c r="E2995" t="str">
        <v>きりん</v>
      </c>
      <c r="F2995">
        <v>0</v>
      </c>
      <c r="G2995" t="str">
        <v>「麒麟（きりん）」は想像上の動物。聖人が世に現れたときに姿をみせるとされる。「麒」が雄、「麟」が雌。 「麟麟（りんりん）」は、光りかがやくさま。</v>
      </c>
      <c r="H2995" t="str">
        <v>#勇気 #品格 #天空</v>
      </c>
      <c r="I2995">
        <v>30</v>
      </c>
      <c r="J2995">
        <v>70</v>
      </c>
      <c r="K2995">
        <v>50</v>
      </c>
      <c r="L2995">
        <v>0</v>
      </c>
      <c r="M2995">
        <f>VLOOKUP(A2995,[1]kanji_data!$A:$N,14,FALSE)</f>
        <v>0</v>
      </c>
    </row>
    <row r="2996">
      <c r="A2996" t="str">
        <v>鷺</v>
      </c>
      <c r="B2996">
        <v>24</v>
      </c>
      <c r="C2996" t="b">
        <v>0</v>
      </c>
      <c r="D2996" t="str">
        <v>ロ</v>
      </c>
      <c r="E2996" t="str">
        <v>さぎ</v>
      </c>
      <c r="F2996">
        <v>0</v>
      </c>
      <c r="G2996" t="str">
        <v>さぎ。サギ科の水鳥。鶴（つる）に似ている。水辺に住み、魚を捕食する。</v>
      </c>
      <c r="H2996" t="str">
        <v>#海・水</v>
      </c>
      <c r="I2996">
        <v>10</v>
      </c>
      <c r="J2996">
        <v>55</v>
      </c>
      <c r="K2996">
        <v>55</v>
      </c>
      <c r="L2996">
        <v>0</v>
      </c>
      <c r="M2996">
        <f>VLOOKUP(A2996,[1]kanji_data!$A:$N,14,FALSE)</f>
        <v>0</v>
      </c>
    </row>
    <row r="2997">
      <c r="A2997" t="str">
        <v>骸</v>
      </c>
      <c r="B2997">
        <v>16</v>
      </c>
      <c r="C2997" t="b">
        <v>1</v>
      </c>
      <c r="D2997" t="str">
        <v>ガイ カイ</v>
      </c>
      <c r="E2997" t="str">
        <v>ほね むくろ</v>
      </c>
      <c r="F2997">
        <v>0</v>
      </c>
      <c r="G2997" t="str">
        <v>むくろ。なきがら。亡くなった人のからだ。 ほね。死者の骨。 ほね。すねの骨。</v>
      </c>
      <c r="I2997">
        <v>0</v>
      </c>
      <c r="J2997">
        <v>50</v>
      </c>
      <c r="K2997">
        <v>50</v>
      </c>
      <c r="L2997">
        <v>1</v>
      </c>
    </row>
    <row r="2998">
      <c r="A2998" t="str">
        <v>讓</v>
      </c>
      <c r="B2998">
        <v>24</v>
      </c>
      <c r="C2998" t="b">
        <v>0</v>
      </c>
      <c r="D2998" t="str">
        <v>ジョウ</v>
      </c>
      <c r="E2998" t="str">
        <v>ゆず（る） せ（める）</v>
      </c>
      <c r="F2998">
        <v>0</v>
      </c>
      <c r="G2998" t="str">
        <v>ゆずる。自分の物や権利などを他の人に与える。 ゆずる。へりくだる。ひかえる。自分よりも人を先にする。 せめる。せめたてる。せめとがめる。</v>
      </c>
      <c r="H2998" t="str">
        <v>#天空</v>
      </c>
      <c r="I2998">
        <v>10</v>
      </c>
      <c r="J2998">
        <v>55</v>
      </c>
      <c r="K2998">
        <v>65</v>
      </c>
      <c r="L2998">
        <v>0</v>
      </c>
      <c r="M2998">
        <f>VLOOKUP(A2998,[1]kanji_data!$A:$N,14,FALSE)</f>
        <v>0</v>
      </c>
    </row>
    <row r="2999">
      <c r="A2999" t="str">
        <v>魔</v>
      </c>
      <c r="B2999">
        <v>21</v>
      </c>
      <c r="C2999" t="b">
        <v>1</v>
      </c>
      <c r="D2999" t="str">
        <v>マ バ</v>
      </c>
      <c r="E2999">
        <v>0</v>
      </c>
      <c r="F2999">
        <v>0</v>
      </c>
      <c r="G2999" t="str">
        <v>人の心をまどわすもの。人をまどわして害を与えるもの。 何かに熱中して本質を見失った者。また、その原因となるもの。 怪しい術。不思議な術。 梵語の「魔羅」を略したもの。仏道修行の妨げをするもの。</v>
      </c>
      <c r="I2999">
        <v>0</v>
      </c>
      <c r="J2999">
        <v>50</v>
      </c>
      <c r="K2999">
        <v>50</v>
      </c>
      <c r="L2999">
        <v>1</v>
      </c>
    </row>
    <row r="3000">
      <c r="A3000" t="str">
        <v>鬱</v>
      </c>
      <c r="B3000">
        <v>29</v>
      </c>
      <c r="C3000" t="b">
        <v>1</v>
      </c>
      <c r="D3000" t="str">
        <v>ウツ</v>
      </c>
      <c r="E3000" t="str">
        <v>さか（ん） しげ（る） ふさ（ぐ）</v>
      </c>
      <c r="F3000" t="str">
        <v>しげる</v>
      </c>
      <c r="G3000" t="str">
        <v>しげる。木がこんもりと茂る。 さかん。さかんなさま。 こもる。熱気や蒸気などがこもる。 ふさぐ。気がふさぐ。気分が晴れない。 にわうめ。バラ科の落葉低木。 鬱金。ショウガ科の多年草。</v>
      </c>
      <c r="H3000" t="str">
        <v>#天空 #繁栄 #自然</v>
      </c>
      <c r="I3000">
        <v>30</v>
      </c>
      <c r="J3000">
        <v>50</v>
      </c>
      <c r="K3000">
        <v>50</v>
      </c>
      <c r="L3000">
        <v>1</v>
      </c>
    </row>
    <row r="3001">
      <c r="A3001" t="str">
        <v>勒</v>
      </c>
      <c r="B3001">
        <v>11</v>
      </c>
      <c r="C3001" t="b">
        <v>0</v>
      </c>
      <c r="D3001" t="str">
        <v>ロク</v>
      </c>
      <c r="E3001" t="str">
        <v>くつわ きざ（む） ほ（る） おさ（める） おさ（える）</v>
      </c>
      <c r="F3001">
        <v>0</v>
      </c>
      <c r="G3001" t="str">
        <v>くつわ。馬の口にかませる道具。きざむ。ほる。おさめる。ととのえる。おさえる。</v>
      </c>
      <c r="H3001" t="str">
        <v>#伝統</v>
      </c>
      <c r="I3001">
        <v>20</v>
      </c>
      <c r="J3001">
        <v>35</v>
      </c>
      <c r="K3001">
        <v>20</v>
      </c>
      <c r="L3001">
        <v>0</v>
      </c>
    </row>
  </sheetData>
  <autoFilter ref="A1:N3000"/>
  <pageMargins left="0.7" right="0.7" top="0.75" bottom="0.75" header="0.3" footer="0.3"/>
  <ignoredErrors>
    <ignoredError numberStoredAsText="1" sqref="A1:M300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2026-02-24T14:41:00Z</dcterms:created>
  <dcterms:modified xsi:type="dcterms:W3CDTF">2026-02-26T13:12:59Z</dcterms:modified>
  <cp:lastModifiedBy>8mits</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1041-11.8.2.8498</vt:lpwstr>
  </property>
</Properties>
</file>